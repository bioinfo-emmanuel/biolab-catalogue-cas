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<sst xmlns="http://schemas.openxmlformats.org/spreadsheetml/2006/main" count="47" uniqueCount="47">
  <si>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DEV-01  Temperature and development rate: degree-days</t>
  </si>
  <si>
    <t xml:space="preserve">Excel version of the card. It does the same calculations as the R script dev01_degree_days.R.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</si>
  <si>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</si>
  <si>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</si>
  <si>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</si>
  <si>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</si>
  <si>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</si>
  <si>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</si>
  <si>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</si>
  <si>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</si>
  <si>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Rate = 1 / days from egg to adult. Model: rate = (T - T0) / K, a straight line in temperature. T0 = -intercept / slope; K = 1 / slope (degree-days).</t>
  </si>
  <si>
    <t xml:space="preserve">Enter the measured mean temperature of each vial, not the set temperature.</t>
  </si>
  <si>
    <t xml:space="preserve">Differences from the R script on the card</t>
  </si>
  <si>
    <t xml:space="preserve">The R script gives bootstrap intervals for T0 and K. This workbook gives an interval for K from the slope and an approximate (delta method) interval for T0. T0 is an extrapolation and is uncertain.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</si>
  <si>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</si>
  <si>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</si>
  <si>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</si>
  <si>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</si>
  <si>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Vials (one row per vial)</t>
  </si>
  <si>
    <t xml:space="preserve">Vial</t>
  </si>
  <si>
    <t xml:space="preserve">Mean temperature (C)</t>
  </si>
  <si>
    <t xml:space="preserve">Days from egg to adult</t>
  </si>
  <si>
    <t xml:space="preserve">Rate (1 / days)</t>
  </si>
  <si>
    <t xml:space="preserve">v1</t>
  </si>
  <si>
    <t xml:space="preserve">Results</t>
  </si>
  <si>
    <t xml:space="preserve">Everything on this sheet is calculated. Change only the yellow settings.</t>
  </si>
  <si>
    <t xml:space="preserve">Settings</t>
  </si>
  <si>
    <t xml:space="preserve">Temperature for a predicted development time (C)</t>
  </si>
  <si>
    <t xml:space="preserve">Straight-line fit of rate on temperature</t>
  </si>
  <si>
    <t xml:space="preserve">Points used</t>
  </si>
  <si>
    <t xml:space="preserve">Slope (per C per day)</t>
  </si>
  <si>
    <t xml:space="preserve">Intercept (per C per day)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</si>
  <si>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</si>
  <si>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</si>
  <si>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</si>
  <si>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</si>
  <si>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</si>
  <si>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Degree-day parameters</t>
  </si>
  <si>
    <t xml:space="preserve">Lower threshold T0 (C)</t>
  </si>
  <si>
    <t xml:space="preserve">Thermal constant K (degree-days)</t>
  </si>
  <si>
    <t xml:space="preserve">K, 95% interval lower (from the slope)</t>
  </si>
  <si>
    <t xml:space="preserve">K, 95% interval upper (from the slope)</t>
  </si>
  <si>
    <t xml:space="preserve">Variance of T0 (delta method)</t>
  </si>
  <si>
    <t xml:space="preserve">T0, approximate 95% interval lower</t>
  </si>
  <si>
    <t xml:space="preserve">T0, approximate 95% interval upper</t>
  </si>
  <si>
    <t xml:space="preserve">Prediction</t>
  </si>
  <si>
    <t xml:space="preserve">Predicted days from egg to adult at the chosen temperature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</si>
</sst>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"/>
    <numFmt numFmtId="167" formatCode="0.00000"/>
    <numFmt numFmtId="168" formatCode="0.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Development rate against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data'!$B$7:$B$36</c:f>
              <c:numCache>
                <c:formatCode>General</c:formatCode>
                <c:ptCount val="30"/>
              </c:numCache>
            </c:numRef>
          </c:xVal>
          <c:yVal>
            <c:numRef>
              <c:f>'Enter data'!$D$7:$D$36</c:f>
              <c:numCache>
                <c:formatCode>General</c:formatCode>
                <c:ptCount val="30"/>
              </c:numCache>
            </c:numRef>
          </c:yVal>
          <c:smooth val="1"/>
        </c:ser>
        <c:axId val="51393702"/>
        <c:axId val="3244526"/>
      </c:scatterChart>
      <c:valAx>
        <c:axId val="5139370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Temperature (C)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4526"/>
        <c:crosses val="autoZero"/>
        <c:crossBetween val="midCat"/>
      </c:valAx>
      <c:valAx>
        <c:axId val="3244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(1 / days)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9370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160920</xdr:rowOff>
    </xdr:from>
    <xdr:to>
      <xdr:col>3</xdr:col>
      <xdr:colOff>536040</xdr:colOff>
      <xdr:row>43</xdr:row>
      <xdr:rowOff>172440</xdr:rowOff>
    </xdr:to>
    <xdr:graphicFrame>
      <xdr:nvGraphicFramePr>
        <xdr:cNvPr id="0" name="Chart 1"/>
        <xdr:cNvGraphicFramePr/>
      </xdr:nvGraphicFramePr>
      <xdr:xfrm>
        <a:off x="211320" y="5334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</row>
    <row r="6" customFormat="false" ht="15" hidden="false" customHeight="false" outlineLevel="0" collapsed="false">
      <c r="A6" s="11" t="s">
        <v>23</v>
      </c>
      <c r="B6" s="11" t="n">
        <v>22.5</v>
      </c>
      <c r="C6" s="11" t="n">
        <v>12.4</v>
      </c>
    </row>
    <row r="7" customFormat="false" ht="15" hidden="false" customHeight="false" outlineLevel="0" collapsed="false">
      <c r="A7" s="12"/>
      <c r="B7" s="12"/>
      <c r="C7" s="12"/>
      <c r="D7" s="13" t="str">
        <f aca="false">IF(AND(ISNUMBER(B7),ISNUMBER(C7)),1/C7,"")</f>
        <v/>
      </c>
    </row>
    <row r="8" customFormat="false" ht="15" hidden="false" customHeight="false" outlineLevel="0" collapsed="false">
      <c r="A8" s="12"/>
      <c r="B8" s="12"/>
      <c r="C8" s="12"/>
      <c r="D8" s="13" t="str">
        <f aca="false">IF(AND(ISNUMBER(B8),ISNUMBER(C8)),1/C8,"")</f>
        <v/>
      </c>
    </row>
    <row r="9" customFormat="false" ht="15" hidden="false" customHeight="false" outlineLevel="0" collapsed="false">
      <c r="A9" s="12"/>
      <c r="B9" s="12"/>
      <c r="C9" s="12"/>
      <c r="D9" s="13" t="str">
        <f aca="false">IF(AND(ISNUMBER(B9),ISNUMBER(C9)),1/C9,"")</f>
        <v/>
      </c>
    </row>
    <row r="10" customFormat="false" ht="15" hidden="false" customHeight="false" outlineLevel="0" collapsed="false">
      <c r="A10" s="12"/>
      <c r="B10" s="12"/>
      <c r="C10" s="12"/>
      <c r="D10" s="13" t="str">
        <f aca="false">IF(AND(ISNUMBER(B10),ISNUMBER(C10)),1/C10,"")</f>
        <v/>
      </c>
    </row>
    <row r="11" customFormat="false" ht="15" hidden="false" customHeight="false" outlineLevel="0" collapsed="false">
      <c r="A11" s="12"/>
      <c r="B11" s="12"/>
      <c r="C11" s="12"/>
      <c r="D11" s="13" t="str">
        <f aca="false">IF(AND(ISNUMBER(B11),ISNUMBER(C11)),1/C11,"")</f>
        <v/>
      </c>
    </row>
    <row r="12" customFormat="false" ht="15" hidden="false" customHeight="false" outlineLevel="0" collapsed="false">
      <c r="A12" s="12"/>
      <c r="B12" s="12"/>
      <c r="C12" s="12"/>
      <c r="D12" s="13" t="str">
        <f aca="false">IF(AND(ISNUMBER(B12),ISNUMBER(C12)),1/C12,"")</f>
        <v/>
      </c>
    </row>
    <row r="13" customFormat="false" ht="15" hidden="false" customHeight="false" outlineLevel="0" collapsed="false">
      <c r="A13" s="12"/>
      <c r="B13" s="12"/>
      <c r="C13" s="12"/>
      <c r="D13" s="13" t="str">
        <f aca="false">IF(AND(ISNUMBER(B13),ISNUMBER(C13)),1/C13,"")</f>
        <v/>
      </c>
    </row>
    <row r="14" customFormat="false" ht="15" hidden="false" customHeight="false" outlineLevel="0" collapsed="false">
      <c r="A14" s="12"/>
      <c r="B14" s="12"/>
      <c r="C14" s="12"/>
      <c r="D14" s="13" t="str">
        <f aca="false">IF(AND(ISNUMBER(B14),ISNUMBER(C14)),1/C14,"")</f>
        <v/>
      </c>
    </row>
    <row r="15" customFormat="false" ht="15" hidden="false" customHeight="false" outlineLevel="0" collapsed="false">
      <c r="A15" s="12"/>
      <c r="B15" s="12"/>
      <c r="C15" s="12"/>
      <c r="D15" s="13" t="str">
        <f aca="false">IF(AND(ISNUMBER(B15),ISNUMBER(C15)),1/C15,"")</f>
        <v/>
      </c>
    </row>
    <row r="16" customFormat="false" ht="15" hidden="false" customHeight="false" outlineLevel="0" collapsed="false">
      <c r="A16" s="12"/>
      <c r="B16" s="12"/>
      <c r="C16" s="12"/>
      <c r="D16" s="13" t="str">
        <f aca="false">IF(AND(ISNUMBER(B16),ISNUMBER(C16)),1/C16,"")</f>
        <v/>
      </c>
    </row>
    <row r="17" customFormat="false" ht="15" hidden="false" customHeight="false" outlineLevel="0" collapsed="false">
      <c r="A17" s="12"/>
      <c r="B17" s="12"/>
      <c r="C17" s="12"/>
      <c r="D17" s="13" t="str">
        <f aca="false">IF(AND(ISNUMBER(B17),ISNUMBER(C17)),1/C17,"")</f>
        <v/>
      </c>
    </row>
    <row r="18" customFormat="false" ht="15" hidden="false" customHeight="false" outlineLevel="0" collapsed="false">
      <c r="A18" s="12"/>
      <c r="B18" s="12"/>
      <c r="C18" s="12"/>
      <c r="D18" s="13" t="str">
        <f aca="false">IF(AND(ISNUMBER(B18),ISNUMBER(C18)),1/C18,"")</f>
        <v/>
      </c>
    </row>
    <row r="19" customFormat="false" ht="15" hidden="false" customHeight="false" outlineLevel="0" collapsed="false">
      <c r="A19" s="12"/>
      <c r="B19" s="12"/>
      <c r="C19" s="12"/>
      <c r="D19" s="13" t="str">
        <f aca="false">IF(AND(ISNUMBER(B19),ISNUMBER(C19)),1/C19,"")</f>
        <v/>
      </c>
    </row>
    <row r="20" customFormat="false" ht="15" hidden="false" customHeight="false" outlineLevel="0" collapsed="false">
      <c r="A20" s="12"/>
      <c r="B20" s="12"/>
      <c r="C20" s="12"/>
      <c r="D20" s="13" t="str">
        <f aca="false">IF(AND(ISNUMBER(B20),ISNUMBER(C20)),1/C20,"")</f>
        <v/>
      </c>
    </row>
    <row r="21" customFormat="false" ht="15" hidden="false" customHeight="false" outlineLevel="0" collapsed="false">
      <c r="A21" s="12"/>
      <c r="B21" s="12"/>
      <c r="C21" s="12"/>
      <c r="D21" s="13" t="str">
        <f aca="false">IF(AND(ISNUMBER(B21),ISNUMBER(C21)),1/C21,"")</f>
        <v/>
      </c>
    </row>
    <row r="22" customFormat="false" ht="15" hidden="false" customHeight="false" outlineLevel="0" collapsed="false">
      <c r="A22" s="12"/>
      <c r="B22" s="12"/>
      <c r="C22" s="12"/>
      <c r="D22" s="13" t="str">
        <f aca="false">IF(AND(ISNUMBER(B22),ISNUMBER(C22)),1/C22,"")</f>
        <v/>
      </c>
    </row>
    <row r="23" customFormat="false" ht="15" hidden="false" customHeight="false" outlineLevel="0" collapsed="false">
      <c r="A23" s="12"/>
      <c r="B23" s="12"/>
      <c r="C23" s="12"/>
      <c r="D23" s="13" t="str">
        <f aca="false">IF(AND(ISNUMBER(B23),ISNUMBER(C23)),1/C23,"")</f>
        <v/>
      </c>
    </row>
    <row r="24" customFormat="false" ht="15" hidden="false" customHeight="false" outlineLevel="0" collapsed="false">
      <c r="A24" s="12"/>
      <c r="B24" s="12"/>
      <c r="C24" s="12"/>
      <c r="D24" s="13" t="str">
        <f aca="false">IF(AND(ISNUMBER(B24),ISNUMBER(C24)),1/C24,"")</f>
        <v/>
      </c>
    </row>
    <row r="25" customFormat="false" ht="15" hidden="false" customHeight="false" outlineLevel="0" collapsed="false">
      <c r="A25" s="12"/>
      <c r="B25" s="12"/>
      <c r="C25" s="12"/>
      <c r="D25" s="13" t="str">
        <f aca="false">IF(AND(ISNUMBER(B25),ISNUMBER(C25)),1/C25,"")</f>
        <v/>
      </c>
    </row>
    <row r="26" customFormat="false" ht="15" hidden="false" customHeight="false" outlineLevel="0" collapsed="false">
      <c r="A26" s="12"/>
      <c r="B26" s="12"/>
      <c r="C26" s="12"/>
      <c r="D26" s="13" t="str">
        <f aca="false">IF(AND(ISNUMBER(B26),ISNUMBER(C26)),1/C26,"")</f>
        <v/>
      </c>
    </row>
    <row r="27" customFormat="false" ht="15" hidden="false" customHeight="false" outlineLevel="0" collapsed="false">
      <c r="A27" s="12"/>
      <c r="B27" s="12"/>
      <c r="C27" s="12"/>
      <c r="D27" s="13" t="str">
        <f aca="false">IF(AND(ISNUMBER(B27),ISNUMBER(C27)),1/C27,"")</f>
        <v/>
      </c>
    </row>
    <row r="28" customFormat="false" ht="15" hidden="false" customHeight="false" outlineLevel="0" collapsed="false">
      <c r="A28" s="12"/>
      <c r="B28" s="12"/>
      <c r="C28" s="12"/>
      <c r="D28" s="13" t="str">
        <f aca="false">IF(AND(ISNUMBER(B28),ISNUMBER(C28)),1/C28,"")</f>
        <v/>
      </c>
    </row>
    <row r="29" customFormat="false" ht="15" hidden="false" customHeight="false" outlineLevel="0" collapsed="false">
      <c r="A29" s="12"/>
      <c r="B29" s="12"/>
      <c r="C29" s="12"/>
      <c r="D29" s="13" t="str">
        <f aca="false">IF(AND(ISNUMBER(B29),ISNUMBER(C29)),1/C29,"")</f>
        <v/>
      </c>
    </row>
    <row r="30" customFormat="false" ht="15" hidden="false" customHeight="false" outlineLevel="0" collapsed="false">
      <c r="A30" s="12"/>
      <c r="B30" s="12"/>
      <c r="C30" s="12"/>
      <c r="D30" s="13" t="str">
        <f aca="false">IF(AND(ISNUMBER(B30),ISNUMBER(C30)),1/C30,"")</f>
        <v/>
      </c>
    </row>
    <row r="31" customFormat="false" ht="15" hidden="false" customHeight="false" outlineLevel="0" collapsed="false">
      <c r="A31" s="12"/>
      <c r="B31" s="12"/>
      <c r="C31" s="12"/>
      <c r="D31" s="13" t="str">
        <f aca="false">IF(AND(ISNUMBER(B31),ISNUMBER(C31)),1/C31,"")</f>
        <v/>
      </c>
    </row>
    <row r="32" customFormat="false" ht="15" hidden="false" customHeight="false" outlineLevel="0" collapsed="false">
      <c r="A32" s="12"/>
      <c r="B32" s="12"/>
      <c r="C32" s="12"/>
      <c r="D32" s="13" t="str">
        <f aca="false">IF(AND(ISNUMBER(B32),ISNUMBER(C32)),1/C32,"")</f>
        <v/>
      </c>
    </row>
    <row r="33" customFormat="false" ht="15" hidden="false" customHeight="false" outlineLevel="0" collapsed="false">
      <c r="A33" s="12"/>
      <c r="B33" s="12"/>
      <c r="C33" s="12"/>
      <c r="D33" s="13" t="str">
        <f aca="false">IF(AND(ISNUMBER(B33),ISNUMBER(C33)),1/C33,"")</f>
        <v/>
      </c>
    </row>
    <row r="34" customFormat="false" ht="15" hidden="false" customHeight="false" outlineLevel="0" collapsed="false">
      <c r="A34" s="12"/>
      <c r="B34" s="12"/>
      <c r="C34" s="12"/>
      <c r="D34" s="13" t="str">
        <f aca="false">IF(AND(ISNUMBER(B34),ISNUMBER(C34)),1/C34,"")</f>
        <v/>
      </c>
    </row>
    <row r="35" customFormat="false" ht="15" hidden="false" customHeight="false" outlineLevel="0" collapsed="false">
      <c r="A35" s="12"/>
      <c r="B35" s="12"/>
      <c r="C35" s="12"/>
      <c r="D35" s="13" t="str">
        <f aca="false">IF(AND(ISNUMBER(B35),ISNUMBER(C35)),1/C35,"")</f>
        <v/>
      </c>
    </row>
    <row r="36" customFormat="false" ht="15" hidden="false" customHeight="false" outlineLevel="0" collapsed="false">
      <c r="A36" s="12"/>
      <c r="B36" s="12"/>
      <c r="C36" s="12"/>
      <c r="D36" s="13" t="str">
        <f aca="false">IF(AND(ISNUMBER(B36),ISNUMBER(C36)),1/C36,"")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C3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24</v>
      </c>
    </row>
    <row r="2" customFormat="false" ht="15" hidden="false" customHeight="false" outlineLevel="0" collapsed="false">
      <c r="B2" s="8" t="s">
        <v>25</v>
      </c>
    </row>
    <row r="4" customFormat="false" ht="15" hidden="false" customHeight="false" outlineLevel="0" collapsed="false">
      <c r="B4" s="9" t="s">
        <v>26</v>
      </c>
    </row>
    <row r="5" customFormat="false" ht="15" hidden="false" customHeight="false" outlineLevel="0" collapsed="false">
      <c r="B5" s="14" t="s">
        <v>27</v>
      </c>
      <c r="C5" s="12" t="n">
        <v>25</v>
      </c>
      <c r="D5" s="8"/>
    </row>
    <row r="7" customFormat="false" ht="15" hidden="false" customHeight="false" outlineLevel="0" collapsed="false">
      <c r="B7" s="9" t="s">
        <v>28</v>
      </c>
    </row>
    <row r="8" customFormat="false" ht="15" hidden="false" customHeight="false" outlineLevel="0" collapsed="false">
      <c r="B8" s="14" t="s">
        <v>29</v>
      </c>
      <c r="C8" s="15" t="n">
        <f aca="false">IFERROR(SUMPRODUCT(--ISNUMBER('Enter data'!$B$7:$B$36),--ISNUMBER('Enter data'!$D$7:$D$36)),"")</f>
        <v>0</v>
      </c>
    </row>
    <row r="9" customFormat="false" ht="15" hidden="false" customHeight="false" outlineLevel="0" collapsed="false">
      <c r="B9" s="14" t="s">
        <v>30</v>
      </c>
      <c r="C9" s="16" t="str">
        <f aca="false">IFERROR(SLOPE('Enter data'!$D$7:$D$36,'Enter data'!$B$7:$B$36),"")</f>
        <v/>
      </c>
    </row>
    <row r="10" customFormat="false" ht="15" hidden="false" customHeight="false" outlineLevel="0" collapsed="false">
      <c r="B10" s="14" t="s">
        <v>31</v>
      </c>
      <c r="C10" s="16" t="str">
        <f aca="false">IFERROR(INTERCEPT('Enter data'!$D$7:$D$36,'Enter data'!$B$7:$B$36),"")</f>
        <v/>
      </c>
    </row>
    <row r="11" customFormat="false" ht="15" hidden="false" customHeight="false" outlineLevel="0" collapsed="false">
      <c r="B11" s="14" t="s">
        <v>32</v>
      </c>
      <c r="C11" s="17" t="str">
        <f aca="false">IFERROR(RSQ('Enter data'!$D$7:$D$36,'Enter data'!$B$7:$B$36),"")</f>
        <v/>
      </c>
    </row>
    <row r="12" customFormat="false" ht="15" hidden="false" customHeight="false" outlineLevel="0" collapsed="false">
      <c r="B12" s="14" t="s">
        <v>33</v>
      </c>
      <c r="C12" s="16" t="str">
        <f aca="false">IFERROR(STEYX('Enter data'!$D$7:$D$36,'Enter data'!$B$7:$B$36),"")</f>
        <v/>
      </c>
    </row>
    <row r="13" customFormat="false" ht="15" hidden="false" customHeight="false" outlineLevel="0" collapsed="false">
      <c r="B13" s="14" t="s">
        <v>34</v>
      </c>
      <c r="C13" s="16" t="str">
        <f aca="false">IFERROR($C$12/SQRT(DEVSQ('Enter data'!$B$7:$B$36)),"")</f>
        <v/>
      </c>
    </row>
    <row r="14" customFormat="false" ht="15" hidden="false" customHeight="false" outlineLevel="0" collapsed="false">
      <c r="B14" s="14" t="s">
        <v>35</v>
      </c>
      <c r="C14" s="16" t="str">
        <f aca="false">IFERROR($C$9-TINV(0.05,$C$8-2)*$C$13,"")</f>
        <v/>
      </c>
    </row>
    <row r="15" customFormat="false" ht="15" hidden="false" customHeight="false" outlineLevel="0" collapsed="false">
      <c r="B15" s="14" t="s">
        <v>36</v>
      </c>
      <c r="C15" s="16" t="str">
        <f aca="false">IFERROR($C$9+TINV(0.05,$C$8-2)*$C$13,"")</f>
        <v/>
      </c>
    </row>
    <row r="17" customFormat="false" ht="15" hidden="false" customHeight="false" outlineLevel="0" collapsed="false">
      <c r="B17" s="9" t="s">
        <v>37</v>
      </c>
    </row>
    <row r="18" customFormat="false" ht="15" hidden="false" customHeight="false" outlineLevel="0" collapsed="false">
      <c r="B18" s="14" t="s">
        <v>38</v>
      </c>
      <c r="C18" s="18" t="str">
        <f aca="false">IFERROR(-$C$10/$C$9,"")</f>
        <v/>
      </c>
    </row>
    <row r="19" customFormat="false" ht="15" hidden="false" customHeight="false" outlineLevel="0" collapsed="false">
      <c r="B19" s="14" t="s">
        <v>39</v>
      </c>
      <c r="C19" s="15" t="str">
        <f aca="false">IFERROR(1/$C$9,"")</f>
        <v/>
      </c>
    </row>
    <row r="20" customFormat="false" ht="15" hidden="false" customHeight="false" outlineLevel="0" collapsed="false">
      <c r="B20" s="14" t="s">
        <v>40</v>
      </c>
      <c r="C20" s="15" t="str">
        <f aca="false">IFERROR(1/$C$15,"")</f>
        <v/>
      </c>
    </row>
    <row r="21" customFormat="false" ht="15" hidden="false" customHeight="false" outlineLevel="0" collapsed="false">
      <c r="B21" s="14" t="s">
        <v>41</v>
      </c>
      <c r="C21" s="15" t="str">
        <f aca="false">IFERROR(1/$C$14,"")</f>
        <v/>
      </c>
    </row>
    <row r="22" customFormat="false" ht="15" hidden="false" customHeight="false" outlineLevel="0" collapsed="false">
      <c r="B22" s="14" t="s">
        <v>42</v>
      </c>
      <c r="C22" s="19" t="str">
        <f aca="false">IFERROR(($C$12^2/$C$9^2)*(1/$C$8+(AVERAGE('Enter data'!$B$7:$B$36)-$C$18)^2/DEVSQ('Enter data'!$B$7:$B$36)),"")</f>
        <v/>
      </c>
    </row>
    <row r="23" customFormat="false" ht="15" hidden="false" customHeight="false" outlineLevel="0" collapsed="false">
      <c r="B23" s="14" t="s">
        <v>43</v>
      </c>
      <c r="C23" s="18" t="str">
        <f aca="false">IFERROR($C$18-TINV(0.05,$C$8-2)*SQRT($C$22),"")</f>
        <v/>
      </c>
    </row>
    <row r="24" customFormat="false" ht="15" hidden="false" customHeight="false" outlineLevel="0" collapsed="false">
      <c r="B24" s="14" t="s">
        <v>44</v>
      </c>
      <c r="C24" s="18" t="str">
        <f aca="false">IFERROR($C$18+TINV(0.05,$C$8-2)*SQRT($C$22),"")</f>
        <v/>
      </c>
    </row>
    <row r="26" customFormat="false" ht="15" hidden="false" customHeight="false" outlineLevel="0" collapsed="false">
      <c r="B26" s="9" t="s">
        <v>45</v>
      </c>
    </row>
    <row r="27" customFormat="false" ht="15" hidden="false" customHeight="false" outlineLevel="0" collapsed="false">
      <c r="B27" s="14" t="s">
        <v>46</v>
      </c>
      <c r="C27" s="18" t="str">
        <f aca="false">IFERROR($C$19/(Results!$C$5-$C$18),"")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2026-10-01T00:30:25Z</dcterms:modified>
  <cp:revision>1</cp:revision>
  <dc:subject/>
  <dc:title>DEV-01 Temperature and development rate: degree-days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