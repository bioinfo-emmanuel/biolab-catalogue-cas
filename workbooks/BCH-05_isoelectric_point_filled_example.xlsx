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<sst xmlns="http://schemas.openxmlformats.org/spreadsheetml/2006/main" count="55" uniqueCount="54">
  <si>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BCH-05  Isoelectric point from a protein sequence</t>
  </si>
  <si>
    <t xml:space="preserve">Excel version of the card. It does the same calculations as the R script bch05_isoelectric_point.R.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</si>
  <si>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</si>
  <si>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</si>
  <si>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</si>
  <si>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</si>
  <si>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</si>
  <si>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</si>
  <si>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</si>
  <si>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</si>
  <si>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Paste one sequence (one-letter codes) in the yellow cell. Net charge is the sum of the fractions protonated (N-terminus, Lys, Arg, His) minus the fractions deprotonated (C-terminus, Asp, Glu, Cys, Tyr), from the Henderson-Hasselbalch relation. Interactions between groups are ignored.</t>
  </si>
  <si>
    <t xml:space="preserve">pK sets: EMBOSS (Rice, Longden, Bleasby 2000, Trends Genet 16:276-277) and the mean measured values of Grimsley, Gray, Pace (2009), Protein Sci 18:247-251 (Arg uses the EMBOSS value there). Cys and Tyr counts include all of them in the sequence.</t>
  </si>
  <si>
    <t xml:space="preserve">The pI is found by linear interpolation on a pH grid in steps of 0.1 (accurate to a few thousandths of a pH unit).</t>
  </si>
  <si>
    <t xml:space="preserve">Differences from the R script on the card</t>
  </si>
  <si>
    <t xml:space="preserve">The R script reads a FASTA file with many sequences and uses an exact root finder. Here one sequence at a time is analysed on a pH grid.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</si>
  <si>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</si>
  <si>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</si>
  <si>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</si>
  <si>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</si>
  <si>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Sequence (one-letter codes, letters only)</t>
  </si>
  <si>
    <t xml:space="preserve">Sequence</t>
  </si>
  <si>
    <t xml:space="preserve">PQGGGGWGQPHGGGWGQPHGGGGWGQGGSHSQG</t>
  </si>
  <si>
    <t xml:space="preserve">Results</t>
  </si>
  <si>
    <t xml:space="preserve">Everything on this sheet is calculated. Change only the yellow settings.</t>
  </si>
  <si>
    <t xml:space="preserve">Composition</t>
  </si>
  <si>
    <t xml:space="preserve">Lys (K)</t>
  </si>
  <si>
    <t xml:space="preserve">Arg (R)</t>
  </si>
  <si>
    <t xml:space="preserve">His (H)</t>
  </si>
  <si>
    <t xml:space="preserve">Asp (D)</t>
  </si>
  <si>
    <t xml:space="preserve">Glu (E)</t>
  </si>
  <si>
    <t xml:space="preserve">Cys (C)</t>
  </si>
  <si>
    <t xml:space="preserve">Tyr (Y)</t>
  </si>
  <si>
    <t xml:space="preserve">Length</t>
  </si>
  <si>
    <t xml:space="preserve">pK values (N-terminus, C-terminus, Lys, Arg, His, Asp, Glu, Cys, Tyr)</t>
  </si>
  <si>
    <t xml:space="preserve">Group</t>
  </si>
  <si>
    <t xml:space="preserve">EMBOSS</t>
  </si>
  <si>
    <t xml:space="preserve">Grimsley</t>
  </si>
  <si>
    <t xml:space="preserve">N-terminus</t>
  </si>
  <si>
    <t xml:space="preserve">C-terminus</t>
  </si>
  <si>
    <t xml:space="preserve">Lys</t>
  </si>
  <si>
    <t xml:space="preserve">Arg</t>
  </si>
  <si>
    <t xml:space="preserve">His</t>
  </si>
  <si>
    <t xml:space="preserve">Asp</t>
  </si>
  <si>
    <t xml:space="preserve">Glu</t>
  </si>
  <si>
    <t xml:space="preserve">Cys</t>
  </si>
  <si>
    <t xml:space="preserve">Tyr</t>
  </si>
  <si>
    <t xml:space="preserve">Net charge on a pH grid</t>
  </si>
  <si>
    <t xml:space="preserve">pH</t>
  </si>
  <si>
    <t xml:space="preserve">Net charge (EMBOSS)</t>
  </si>
  <si>
    <t xml:space="preserve">Net charge (Grimsley)</t>
  </si>
  <si>
    <t xml:space="preserve">Isoelectric point</t>
  </si>
  <si>
    <t xml:space="preserve">pI with the EMBOSS pK values</t>
  </si>
  <si>
    <t xml:space="preserve">pI with the Grimsley pK values</t>
  </si>
  <si>
    <t xml:space="preserve">Net charge at pH 7.3 (EMBOSS; grid value)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</si>
</sst>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35.0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</row>
    <row r="6" customFormat="false" ht="15" hidden="false" customHeight="false" outlineLevel="0" collapsed="false">
      <c r="A6" s="11" t="s">
        <v>21</v>
      </c>
    </row>
    <row r="7" customFormat="false" ht="15" hidden="false" customHeight="false" outlineLevel="0" collapsed="false">
      <c r="A7" s="12" t="s">
        <v>21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22</v>
      </c>
    </row>
    <row r="2" customFormat="false" ht="15" hidden="false" customHeight="false" outlineLevel="0" collapsed="false">
      <c r="B2" s="8" t="s">
        <v>23</v>
      </c>
    </row>
    <row r="4" customFormat="false" ht="15" hidden="false" customHeight="false" outlineLevel="0" collapsed="false">
      <c r="B4" s="9" t="s">
        <v>24</v>
      </c>
    </row>
    <row r="5" customFormat="false" ht="15" hidden="false" customHeight="false" outlineLevel="0" collapsed="false">
      <c r="B5" s="13" t="s">
        <v>25</v>
      </c>
      <c r="C5" s="14" t="n">
        <f aca="false">IFERROR((LEN(UPPER('Enter data'!$A$7))-LEN(SUBSTITUTE(UPPER('Enter data'!$A$7),"K",""))),"")</f>
        <v>0</v>
      </c>
    </row>
    <row r="6" customFormat="false" ht="15" hidden="false" customHeight="false" outlineLevel="0" collapsed="false">
      <c r="B6" s="13" t="s">
        <v>26</v>
      </c>
      <c r="C6" s="14" t="n">
        <f aca="false">IFERROR((LEN(UPPER('Enter data'!$A$7))-LEN(SUBSTITUTE(UPPER('Enter data'!$A$7),"R",""))),"")</f>
        <v>0</v>
      </c>
    </row>
    <row r="7" customFormat="false" ht="15" hidden="false" customHeight="false" outlineLevel="0" collapsed="false">
      <c r="B7" s="13" t="s">
        <v>27</v>
      </c>
      <c r="C7" s="14" t="n">
        <f aca="false">IFERROR((LEN(UPPER('Enter data'!$A$7))-LEN(SUBSTITUTE(UPPER('Enter data'!$A$7),"H",""))),"")</f>
        <v>3</v>
      </c>
    </row>
    <row r="8" customFormat="false" ht="15" hidden="false" customHeight="false" outlineLevel="0" collapsed="false">
      <c r="B8" s="13" t="s">
        <v>28</v>
      </c>
      <c r="C8" s="14" t="n">
        <f aca="false">IFERROR((LEN(UPPER('Enter data'!$A$7))-LEN(SUBSTITUTE(UPPER('Enter data'!$A$7),"D",""))),"")</f>
        <v>0</v>
      </c>
    </row>
    <row r="9" customFormat="false" ht="15" hidden="false" customHeight="false" outlineLevel="0" collapsed="false">
      <c r="B9" s="13" t="s">
        <v>29</v>
      </c>
      <c r="C9" s="14" t="n">
        <f aca="false">IFERROR((LEN(UPPER('Enter data'!$A$7))-LEN(SUBSTITUTE(UPPER('Enter data'!$A$7),"E",""))),"")</f>
        <v>0</v>
      </c>
    </row>
    <row r="10" customFormat="false" ht="15" hidden="false" customHeight="false" outlineLevel="0" collapsed="false">
      <c r="B10" s="13" t="s">
        <v>30</v>
      </c>
      <c r="C10" s="14" t="n">
        <f aca="false">IFERROR((LEN(UPPER('Enter data'!$A$7))-LEN(SUBSTITUTE(UPPER('Enter data'!$A$7),"C",""))),"")</f>
        <v>0</v>
      </c>
    </row>
    <row r="11" customFormat="false" ht="15" hidden="false" customHeight="false" outlineLevel="0" collapsed="false">
      <c r="B11" s="13" t="s">
        <v>31</v>
      </c>
      <c r="C11" s="14" t="n">
        <f aca="false">IFERROR((LEN(UPPER('Enter data'!$A$7))-LEN(SUBSTITUTE(UPPER('Enter data'!$A$7),"Y",""))),"")</f>
        <v>0</v>
      </c>
    </row>
    <row r="12" customFormat="false" ht="15" hidden="false" customHeight="false" outlineLevel="0" collapsed="false">
      <c r="B12" s="13" t="s">
        <v>32</v>
      </c>
      <c r="C12" s="14" t="n">
        <f aca="false">IFERROR(LEN(UPPER('Enter data'!$A$7)),"")</f>
        <v>33</v>
      </c>
    </row>
    <row r="14" customFormat="false" ht="15" hidden="false" customHeight="false" outlineLevel="0" collapsed="false">
      <c r="B14" s="9" t="s">
        <v>33</v>
      </c>
    </row>
    <row r="15" customFormat="false" ht="30" hidden="false" customHeight="true" outlineLevel="0" collapsed="false">
      <c r="B15" s="10" t="s">
        <v>34</v>
      </c>
      <c r="C15" s="10" t="s">
        <v>35</v>
      </c>
      <c r="D15" s="10" t="s">
        <v>36</v>
      </c>
    </row>
    <row r="16" customFormat="false" ht="15" hidden="false" customHeight="false" outlineLevel="0" collapsed="false">
      <c r="B16" s="15" t="s">
        <v>37</v>
      </c>
      <c r="C16" s="16" t="n">
        <v>8.6</v>
      </c>
      <c r="D16" s="16" t="n">
        <v>7.7</v>
      </c>
    </row>
    <row r="17" customFormat="false" ht="15" hidden="false" customHeight="false" outlineLevel="0" collapsed="false">
      <c r="B17" s="15" t="s">
        <v>38</v>
      </c>
      <c r="C17" s="16" t="n">
        <v>3.6</v>
      </c>
      <c r="D17" s="16" t="n">
        <v>3.3</v>
      </c>
    </row>
    <row r="18" customFormat="false" ht="15" hidden="false" customHeight="false" outlineLevel="0" collapsed="false">
      <c r="B18" s="15" t="s">
        <v>39</v>
      </c>
      <c r="C18" s="16" t="n">
        <v>10.8</v>
      </c>
      <c r="D18" s="16" t="n">
        <v>10.5</v>
      </c>
    </row>
    <row r="19" customFormat="false" ht="15" hidden="false" customHeight="false" outlineLevel="0" collapsed="false">
      <c r="B19" s="15" t="s">
        <v>40</v>
      </c>
      <c r="C19" s="16" t="n">
        <v>12.5</v>
      </c>
      <c r="D19" s="16" t="n">
        <v>12.5</v>
      </c>
    </row>
    <row r="20" customFormat="false" ht="15" hidden="false" customHeight="false" outlineLevel="0" collapsed="false">
      <c r="B20" s="15" t="s">
        <v>41</v>
      </c>
      <c r="C20" s="16" t="n">
        <v>6.5</v>
      </c>
      <c r="D20" s="16" t="n">
        <v>6.6</v>
      </c>
    </row>
    <row r="21" customFormat="false" ht="15" hidden="false" customHeight="false" outlineLevel="0" collapsed="false">
      <c r="B21" s="15" t="s">
        <v>42</v>
      </c>
      <c r="C21" s="16" t="n">
        <v>3.9</v>
      </c>
      <c r="D21" s="16" t="n">
        <v>3.5</v>
      </c>
    </row>
    <row r="22" customFormat="false" ht="15" hidden="false" customHeight="false" outlineLevel="0" collapsed="false">
      <c r="B22" s="15" t="s">
        <v>43</v>
      </c>
      <c r="C22" s="16" t="n">
        <v>4.1</v>
      </c>
      <c r="D22" s="16" t="n">
        <v>4.2</v>
      </c>
    </row>
    <row r="23" customFormat="false" ht="15" hidden="false" customHeight="false" outlineLevel="0" collapsed="false">
      <c r="B23" s="15" t="s">
        <v>44</v>
      </c>
      <c r="C23" s="16" t="n">
        <v>8.5</v>
      </c>
      <c r="D23" s="16" t="n">
        <v>6.8</v>
      </c>
    </row>
    <row r="24" customFormat="false" ht="15" hidden="false" customHeight="false" outlineLevel="0" collapsed="false">
      <c r="B24" s="15" t="s">
        <v>45</v>
      </c>
      <c r="C24" s="16" t="n">
        <v>10.1</v>
      </c>
      <c r="D24" s="16" t="n">
        <v>10.3</v>
      </c>
    </row>
    <row r="27" customFormat="false" ht="15" hidden="false" customHeight="false" outlineLevel="0" collapsed="false">
      <c r="B27" s="9" t="s">
        <v>46</v>
      </c>
    </row>
    <row r="28" customFormat="false" ht="30" hidden="false" customHeight="true" outlineLevel="0" collapsed="false">
      <c r="B28" s="10" t="s">
        <v>47</v>
      </c>
      <c r="C28" s="10" t="s">
        <v>48</v>
      </c>
      <c r="D28" s="10" t="s">
        <v>49</v>
      </c>
    </row>
    <row r="29" customFormat="false" ht="15" hidden="false" customHeight="false" outlineLevel="0" collapsed="false">
      <c r="B29" s="17" t="n">
        <v>0</v>
      </c>
      <c r="C29" s="18" t="n">
        <f aca="false">IFERROR(1/(1+10^(B29-$C$16))+$C$5/(1+10^(B29-$C$18))+$C$6/(1+10^(B29-$C$19))+$C$7/(1+10^(B29-$C$20))-(1/(1+10^($C$17-B29))+$C$8/(1+10^($C$21-B29))+$C$9/(1+10^($C$22-B29))+$C$10/(1+10^($C$23-B29))+$C$11/(1+10^($C$24-B29))),"")</f>
        <v>3.99974792324185</v>
      </c>
      <c r="D29" s="18" t="n">
        <f aca="false">IFERROR(1/(1+10^(B29-$D$16))+$C$5/(1+10^(B29-$D$18))+$C$6/(1+10^(B29-$D$19))+$C$7/(1+10^(B29-$D$20))-(1/(1+10^($D$17-B29))+$C$8/(1+10^($D$21-B29))+$C$9/(1+10^($D$22-B29))+$C$10/(1+10^($D$23-B29))+$C$11/(1+10^($D$24-B29))),"")</f>
        <v>3.99949829031082</v>
      </c>
    </row>
    <row r="30" customFormat="false" ht="15" hidden="false" customHeight="false" outlineLevel="0" collapsed="false">
      <c r="B30" s="17" t="n">
        <v>0.1</v>
      </c>
      <c r="C30" s="18" t="n">
        <f aca="false">IFERROR(1/(1+10^(B30-$C$16))+$C$5/(1+10^(B30-$C$18))+$C$6/(1+10^(B30-$C$19))+$C$7/(1+10^(B30-$C$20))-(1/(1+10^($C$17-B30))+$C$8/(1+10^($C$21-B30))+$C$9/(1+10^($C$22-B30))+$C$10/(1+10^($C$23-B30))+$C$11/(1+10^($C$24-B30))),"")</f>
        <v>3.99968267471906</v>
      </c>
      <c r="D30" s="18" t="n">
        <f aca="false">IFERROR(1/(1+10^(B30-$D$16))+$C$5/(1+10^(B30-$D$18))+$C$6/(1+10^(B30-$D$19))+$C$7/(1+10^(B30-$D$20))-(1/(1+10^($D$17-B30))+$C$8/(1+10^($D$21-B30))+$C$9/(1+10^($D$22-B30))+$C$10/(1+10^($D$23-B30))+$C$11/(1+10^($D$24-B30))),"")</f>
        <v>3.9993684667098</v>
      </c>
    </row>
    <row r="31" customFormat="false" ht="15" hidden="false" customHeight="false" outlineLevel="0" collapsed="false">
      <c r="B31" s="17" t="n">
        <v>0.2</v>
      </c>
      <c r="C31" s="18" t="n">
        <f aca="false">IFERROR(1/(1+10^(B31-$C$16))+$C$5/(1+10^(B31-$C$18))+$C$6/(1+10^(B31-$C$19))+$C$7/(1+10^(B31-$C$20))-(1/(1+10^($C$17-B31))+$C$8/(1+10^($C$21-B31))+$C$9/(1+10^($C$22-B31))+$C$10/(1+10^($C$23-B31))+$C$11/(1+10^($C$24-B31))),"")</f>
        <v>3.99960054371368</v>
      </c>
      <c r="D31" s="18" t="n">
        <f aca="false">IFERROR(1/(1+10^(B31-$D$16))+$C$5/(1+10^(B31-$D$18))+$C$6/(1+10^(B31-$D$19))+$C$7/(1+10^(B31-$D$20))-(1/(1+10^($D$17-B31))+$C$8/(1+10^($D$21-B31))+$C$9/(1+10^($D$22-B31))+$C$10/(1+10^($D$23-B31))+$C$11/(1+10^($D$24-B31))),"")</f>
        <v>3.99920507627802</v>
      </c>
    </row>
    <row r="32" customFormat="false" ht="15" hidden="false" customHeight="false" outlineLevel="0" collapsed="false">
      <c r="B32" s="17" t="n">
        <v>0.3</v>
      </c>
      <c r="C32" s="18" t="n">
        <f aca="false">IFERROR(1/(1+10^(B32-$C$16))+$C$5/(1+10^(B32-$C$18))+$C$6/(1+10^(B32-$C$19))+$C$7/(1+10^(B32-$C$20))-(1/(1+10^($C$17-B32))+$C$8/(1+10^($C$21-B32))+$C$9/(1+10^($C$22-B32))+$C$10/(1+10^($C$23-B32))+$C$11/(1+10^($C$24-B32))),"")</f>
        <v>3.99949716594648</v>
      </c>
      <c r="D32" s="18" t="n">
        <f aca="false">IFERROR(1/(1+10^(B32-$D$16))+$C$5/(1+10^(B32-$D$18))+$C$6/(1+10^(B32-$D$19))+$C$7/(1+10^(B32-$D$20))-(1/(1+10^($D$17-B32))+$C$8/(1+10^($D$21-B32))+$C$9/(1+10^($D$22-B32))+$C$10/(1+10^($D$23-B32))+$C$11/(1+10^($D$24-B32))),"")</f>
        <v>3.99899945562934</v>
      </c>
    </row>
    <row r="33" customFormat="false" ht="15" hidden="false" customHeight="false" outlineLevel="0" collapsed="false">
      <c r="B33" s="17" t="n">
        <v>0.4</v>
      </c>
      <c r="C33" s="18" t="n">
        <f aca="false">IFERROR(1/(1+10^(B33-$C$16))+$C$5/(1+10^(B33-$C$18))+$C$6/(1+10^(B33-$C$19))+$C$7/(1+10^(B33-$C$20))-(1/(1+10^($C$17-B33))+$C$8/(1+10^($C$21-B33))+$C$9/(1+10^($C$22-B33))+$C$10/(1+10^($C$23-B33))+$C$11/(1+10^($C$24-B33))),"")</f>
        <v>3.99936705121928</v>
      </c>
      <c r="D33" s="18" t="n">
        <f aca="false">IFERROR(1/(1+10^(B33-$D$16))+$C$5/(1+10^(B33-$D$18))+$C$6/(1+10^(B33-$D$19))+$C$7/(1+10^(B33-$D$20))-(1/(1+10^($D$17-B33))+$C$8/(1+10^($D$21-B33))+$C$9/(1+10^($D$22-B33))+$C$10/(1+10^($D$23-B33))+$C$11/(1+10^($D$24-B33))),"")</f>
        <v>3.99874071449909</v>
      </c>
    </row>
    <row r="34" customFormat="false" ht="15" hidden="false" customHeight="false" outlineLevel="0" collapsed="false">
      <c r="B34" s="17" t="n">
        <v>0.5</v>
      </c>
      <c r="C34" s="18" t="n">
        <f aca="false">IFERROR(1/(1+10^(B34-$C$16))+$C$5/(1+10^(B34-$C$18))+$C$6/(1+10^(B34-$C$19))+$C$7/(1+10^(B34-$C$20))-(1/(1+10^($C$17-B34))+$C$8/(1+10^($C$21-B34))+$C$9/(1+10^($C$22-B34))+$C$10/(1+10^($C$23-B34))+$C$11/(1+10^($C$24-B34))),"")</f>
        <v>3.99920329428155</v>
      </c>
      <c r="D34" s="18" t="n">
        <f aca="false">IFERROR(1/(1+10^(B34-$D$16))+$C$5/(1+10^(B34-$D$18))+$C$6/(1+10^(B34-$D$19))+$C$7/(1+10^(B34-$D$20))-(1/(1+10^($D$17-B34))+$C$8/(1+10^($D$21-B34))+$C$9/(1+10^($D$22-B34))+$C$10/(1+10^($D$23-B34))+$C$11/(1+10^($D$24-B34))),"")</f>
        <v>3.99841516864066</v>
      </c>
    </row>
    <row r="35" customFormat="false" ht="15" hidden="false" customHeight="false" outlineLevel="0" collapsed="false">
      <c r="B35" s="17" t="n">
        <v>0.6</v>
      </c>
      <c r="C35" s="18" t="n">
        <f aca="false">IFERROR(1/(1+10^(B35-$C$16))+$C$5/(1+10^(B35-$C$18))+$C$6/(1+10^(B35-$C$19))+$C$7/(1+10^(B35-$C$20))-(1/(1+10^($C$17-B35))+$C$8/(1+10^($C$21-B35))+$C$9/(1+10^($C$22-B35))+$C$10/(1+10^($C$23-B35))+$C$11/(1+10^($C$24-B35))),"")</f>
        <v>3.99899721222952</v>
      </c>
      <c r="D35" s="18" t="n">
        <f aca="false">IFERROR(1/(1+10^(B35-$D$16))+$C$5/(1+10^(B35-$D$18))+$C$6/(1+10^(B35-$D$19))+$C$7/(1+10^(B35-$D$20))-(1/(1+10^($D$17-B35))+$C$8/(1+10^($D$21-B35))+$C$9/(1+10^($D$22-B35))+$C$10/(1+10^($D$23-B35))+$C$11/(1+10^($D$24-B35))),"")</f>
        <v>3.99800563139946</v>
      </c>
    </row>
    <row r="36" customFormat="false" ht="15" hidden="false" customHeight="false" outlineLevel="0" collapsed="false">
      <c r="B36" s="17" t="n">
        <v>0.7</v>
      </c>
      <c r="C36" s="18" t="n">
        <f aca="false">IFERROR(1/(1+10^(B36-$C$16))+$C$5/(1+10^(B36-$C$18))+$C$6/(1+10^(B36-$C$19))+$C$7/(1+10^(B36-$C$20))-(1/(1+10^($C$17-B36))+$C$8/(1+10^($C$21-B36))+$C$9/(1+10^($C$22-B36))+$C$10/(1+10^($C$23-B36))+$C$11/(1+10^($C$24-B36))),"")</f>
        <v>3.99873789022735</v>
      </c>
      <c r="D36" s="18" t="n">
        <f aca="false">IFERROR(1/(1+10^(B36-$D$16))+$C$5/(1+10^(B36-$D$18))+$C$6/(1+10^(B36-$D$19))+$C$7/(1+10^(B36-$D$20))-(1/(1+10^($D$17-B36))+$C$8/(1+10^($D$21-B36))+$C$9/(1+10^($D$22-B36))+$C$10/(1+10^($D$23-B36))+$C$11/(1+10^($D$24-B36))),"")</f>
        <v>3.99749053056124</v>
      </c>
    </row>
    <row r="37" customFormat="false" ht="15" hidden="false" customHeight="false" outlineLevel="0" collapsed="false">
      <c r="B37" s="17" t="n">
        <v>0.8</v>
      </c>
      <c r="C37" s="18" t="n">
        <f aca="false">IFERROR(1/(1+10^(B37-$C$16))+$C$5/(1+10^(B37-$C$18))+$C$6/(1+10^(B37-$C$19))+$C$7/(1+10^(B37-$C$20))-(1/(1+10^($C$17-B37))+$C$8/(1+10^($C$21-B37))+$C$9/(1+10^($C$22-B37))+$C$10/(1+10^($C$23-B37))+$C$11/(1+10^($C$24-B37))),"")</f>
        <v>3.99841161309527</v>
      </c>
      <c r="D37" s="18" t="n">
        <f aca="false">IFERROR(1/(1+10^(B37-$D$16))+$C$5/(1+10^(B37-$D$18))+$C$6/(1+10^(B37-$D$19))+$C$7/(1+10^(B37-$D$20))-(1/(1+10^($D$17-B37))+$C$8/(1+10^($D$21-B37))+$C$9/(1+10^($D$22-B37))+$C$10/(1+10^($D$23-B37))+$C$11/(1+10^($D$24-B37))),"")</f>
        <v>3.99684281025217</v>
      </c>
    </row>
    <row r="38" customFormat="false" ht="15" hidden="false" customHeight="false" outlineLevel="0" collapsed="false">
      <c r="B38" s="17" t="n">
        <v>0.9</v>
      </c>
      <c r="C38" s="18" t="n">
        <f aca="false">IFERROR(1/(1+10^(B38-$C$16))+$C$5/(1+10^(B38-$C$18))+$C$6/(1+10^(B38-$C$19))+$C$7/(1+10^(B38-$C$20))-(1/(1+10^($C$17-B38))+$C$8/(1+10^($C$21-B38))+$C$9/(1+10^($C$22-B38))+$C$10/(1+10^($C$23-B38))+$C$11/(1+10^($C$24-B38))),"")</f>
        <v>3.99800115523628</v>
      </c>
      <c r="D38" s="18" t="n">
        <f aca="false">IFERROR(1/(1+10^(B38-$D$16))+$C$5/(1+10^(B38-$D$18))+$C$6/(1+10^(B38-$D$19))+$C$7/(1+10^(B38-$D$20))-(1/(1+10^($D$17-B38))+$C$8/(1+10^($D$21-B38))+$C$9/(1+10^($D$22-B38))+$C$10/(1+10^($D$23-B38))+$C$11/(1+10^($D$24-B38))),"")</f>
        <v>3.99602857011655</v>
      </c>
    </row>
    <row r="39" customFormat="false" ht="15" hidden="false" customHeight="false" outlineLevel="0" collapsed="false">
      <c r="B39" s="17" t="n">
        <v>1</v>
      </c>
      <c r="C39" s="18" t="n">
        <f aca="false">IFERROR(1/(1+10^(B39-$C$16))+$C$5/(1+10^(B39-$C$18))+$C$6/(1+10^(B39-$C$19))+$C$7/(1+10^(B39-$C$20))-(1/(1+10^($C$17-B39))+$C$8/(1+10^($C$21-B39))+$C$9/(1+10^($C$22-B39))+$C$10/(1+10^($C$23-B39))+$C$11/(1+10^($C$24-B39))),"")</f>
        <v>3.99748489541087</v>
      </c>
      <c r="D39" s="18" t="n">
        <f aca="false">IFERROR(1/(1+10^(B39-$D$16))+$C$5/(1+10^(B39-$D$18))+$C$6/(1+10^(B39-$D$19))+$C$7/(1+10^(B39-$D$20))-(1/(1+10^($D$17-B39))+$C$8/(1+10^($D$21-B39))+$C$9/(1+10^($D$22-B39))+$C$10/(1+10^($D$23-B39))+$C$11/(1+10^($D$24-B39))),"")</f>
        <v>3.99500538609675</v>
      </c>
    </row>
    <row r="40" customFormat="false" ht="15" hidden="false" customHeight="false" outlineLevel="0" collapsed="false">
      <c r="B40" s="17" t="n">
        <v>1.1</v>
      </c>
      <c r="C40" s="18" t="n">
        <f aca="false">IFERROR(1/(1+10^(B40-$C$16))+$C$5/(1+10^(B40-$C$18))+$C$6/(1+10^(B40-$C$19))+$C$7/(1+10^(B40-$C$20))-(1/(1+10^($C$17-B40))+$C$8/(1+10^($C$21-B40))+$C$9/(1+10^($C$22-B40))+$C$10/(1+10^($C$23-B40))+$C$11/(1+10^($C$24-B40))),"")</f>
        <v>3.99683571602639</v>
      </c>
      <c r="D40" s="18" t="n">
        <f aca="false">IFERROR(1/(1+10^(B40-$D$16))+$C$5/(1+10^(B40-$D$18))+$C$6/(1+10^(B40-$D$19))+$C$7/(1+10^(B40-$D$20))-(1/(1+10^($D$17-B40))+$C$8/(1+10^($D$21-B40))+$C$9/(1+10^($D$22-B40))+$C$10/(1+10^($D$23-B40))+$C$11/(1+10^($D$24-B40))),"")</f>
        <v>3.99372024966701</v>
      </c>
    </row>
    <row r="41" customFormat="false" ht="15" hidden="false" customHeight="false" outlineLevel="0" collapsed="false">
      <c r="B41" s="17" t="n">
        <v>1.2</v>
      </c>
      <c r="C41" s="18" t="n">
        <f aca="false">IFERROR(1/(1+10^(B41-$C$16))+$C$5/(1+10^(B41-$C$18))+$C$6/(1+10^(B41-$C$19))+$C$7/(1+10^(B41-$C$20))-(1/(1+10^($C$17-B41))+$C$8/(1+10^($C$21-B41))+$C$9/(1+10^($C$22-B41))+$C$10/(1+10^($C$23-B41))+$C$11/(1+10^($C$24-B41))),"")</f>
        <v>3.99601963902848</v>
      </c>
      <c r="D41" s="18" t="n">
        <f aca="false">IFERROR(1/(1+10^(B41-$D$16))+$C$5/(1+10^(B41-$D$18))+$C$6/(1+10^(B41-$D$19))+$C$7/(1+10^(B41-$D$20))-(1/(1+10^($D$17-B41))+$C$8/(1+10^($D$21-B41))+$C$9/(1+10^($D$22-B41))+$C$10/(1+10^($D$23-B41))+$C$11/(1+10^($D$24-B41))),"")</f>
        <v>3.99210705675443</v>
      </c>
    </row>
    <row r="42" customFormat="false" ht="15" hidden="false" customHeight="false" outlineLevel="0" collapsed="false">
      <c r="B42" s="17" t="n">
        <v>1.3</v>
      </c>
      <c r="C42" s="18" t="n">
        <f aca="false">IFERROR(1/(1+10^(B42-$C$16))+$C$5/(1+10^(B42-$C$18))+$C$6/(1+10^(B42-$C$19))+$C$7/(1+10^(B42-$C$20))-(1/(1+10^($C$17-B42))+$C$8/(1+10^($C$21-B42))+$C$9/(1+10^($C$22-B42))+$C$10/(1+10^($C$23-B42))+$C$11/(1+10^($C$24-B42))),"")</f>
        <v>3.99499414254369</v>
      </c>
      <c r="D42" s="18" t="n">
        <f aca="false">IFERROR(1/(1+10^(B42-$D$16))+$C$5/(1+10^(B42-$D$18))+$C$6/(1+10^(B42-$D$19))+$C$7/(1+10^(B42-$D$20))-(1/(1+10^($D$17-B42))+$C$8/(1+10^($D$21-B42))+$C$9/(1+10^($D$22-B42))+$C$10/(1+10^($D$23-B42))+$C$11/(1+10^($D$24-B42))),"")</f>
        <v>3.99008357625233</v>
      </c>
    </row>
    <row r="43" customFormat="false" ht="15" hidden="false" customHeight="false" outlineLevel="0" collapsed="false">
      <c r="B43" s="17" t="n">
        <v>1.4</v>
      </c>
      <c r="C43" s="18" t="n">
        <f aca="false">IFERROR(1/(1+10^(B43-$C$16))+$C$5/(1+10^(B43-$C$18))+$C$6/(1+10^(B43-$C$19))+$C$7/(1+10^(B43-$C$20))-(1/(1+10^($C$17-B43))+$C$8/(1+10^($C$21-B43))+$C$9/(1+10^($C$22-B43))+$C$10/(1+10^($C$23-B43))+$C$11/(1+10^($C$24-B43))),"")</f>
        <v>3.99370609490508</v>
      </c>
      <c r="D43" s="18" t="n">
        <f aca="false">IFERROR(1/(1+10^(B43-$D$16))+$C$5/(1+10^(B43-$D$18))+$C$6/(1+10^(B43-$D$19))+$C$7/(1+10^(B43-$D$20))-(1/(1+10^($D$17-B43))+$C$8/(1+10^($D$21-B43))+$C$9/(1+10^($D$22-B43))+$C$10/(1+10^($D$23-B43))+$C$11/(1+10^($D$24-B43))),"")</f>
        <v>3.98754783495767</v>
      </c>
    </row>
    <row r="44" customFormat="false" ht="15" hidden="false" customHeight="false" outlineLevel="0" collapsed="false">
      <c r="B44" s="17" t="n">
        <v>1.5</v>
      </c>
      <c r="C44" s="18" t="n">
        <f aca="false">IFERROR(1/(1+10^(B44-$C$16))+$C$5/(1+10^(B44-$C$18))+$C$6/(1+10^(B44-$C$19))+$C$7/(1+10^(B44-$C$20))-(1/(1+10^($C$17-B44))+$C$8/(1+10^($C$21-B44))+$C$9/(1+10^($C$22-B44))+$C$10/(1+10^($C$23-B44))+$C$11/(1+10^($C$24-B44))),"")</f>
        <v>3.99208923701685</v>
      </c>
      <c r="D44" s="18" t="n">
        <f aca="false">IFERROR(1/(1+10^(B44-$D$16))+$C$5/(1+10^(B44-$D$18))+$C$6/(1+10^(B44-$D$19))+$C$7/(1+10^(B44-$D$20))-(1/(1+10^($D$17-B44))+$C$8/(1+10^($D$21-B44))+$C$9/(1+10^($D$22-B44))+$C$10/(1+10^($D$23-B44))+$C$11/(1+10^($D$24-B44))),"")</f>
        <v>3.98437387714347</v>
      </c>
    </row>
    <row r="45" customFormat="false" ht="15" hidden="false" customHeight="false" outlineLevel="0" collapsed="false">
      <c r="B45" s="17" t="n">
        <v>1.6</v>
      </c>
      <c r="C45" s="18" t="n">
        <f aca="false">IFERROR(1/(1+10^(B45-$C$16))+$C$5/(1+10^(B45-$C$18))+$C$6/(1+10^(B45-$C$19))+$C$7/(1+10^(B45-$C$20))-(1/(1+10^($C$17-B45))+$C$8/(1+10^($C$21-B45))+$C$9/(1+10^($C$22-B45))+$C$10/(1+10^($C$23-B45))+$C$11/(1+10^($C$24-B45))),"")</f>
        <v>3.99006114261411</v>
      </c>
      <c r="D45" s="18" t="n">
        <f aca="false">IFERROR(1/(1+10^(B45-$D$16))+$C$5/(1+10^(B45-$D$18))+$C$6/(1+10^(B45-$D$19))+$C$7/(1+10^(B45-$D$20))-(1/(1+10^($D$17-B45))+$C$8/(1+10^($D$21-B45))+$C$9/(1+10^($D$22-B45))+$C$10/(1+10^($D$23-B45))+$C$11/(1+10^($D$24-B45))),"")</f>
        <v>3.98040690209981</v>
      </c>
    </row>
    <row r="46" customFormat="false" ht="15" hidden="false" customHeight="false" outlineLevel="0" collapsed="false">
      <c r="B46" s="17" t="n">
        <v>1.7</v>
      </c>
      <c r="C46" s="18" t="n">
        <f aca="false">IFERROR(1/(1+10^(B46-$C$16))+$C$5/(1+10^(B46-$C$18))+$C$6/(1+10^(B46-$C$19))+$C$7/(1+10^(B46-$C$20))-(1/(1+10^($C$17-B46))+$C$8/(1+10^($C$21-B46))+$C$9/(1+10^($C$22-B46))+$C$10/(1+10^($C$23-B46))+$C$11/(1+10^($C$24-B46))),"")</f>
        <v>3.98751959281081</v>
      </c>
      <c r="D46" s="18" t="n">
        <f aca="false">IFERROR(1/(1+10^(B46-$D$16))+$C$5/(1+10^(B46-$D$18))+$C$6/(1+10^(B46-$D$19))+$C$7/(1+10^(B46-$D$20))-(1/(1+10^($D$17-B46))+$C$8/(1+10^($D$21-B46))+$C$9/(1+10^($D$22-B46))+$C$10/(1+10^($D$23-B46))+$C$11/(1+10^($D$24-B46))),"")</f>
        <v>3.97545786516377</v>
      </c>
    </row>
    <row r="47" customFormat="false" ht="15" hidden="false" customHeight="false" outlineLevel="0" collapsed="false">
      <c r="B47" s="17" t="n">
        <v>1.8</v>
      </c>
      <c r="C47" s="18" t="n">
        <f aca="false">IFERROR(1/(1+10^(B47-$C$16))+$C$5/(1+10^(B47-$C$18))+$C$6/(1+10^(B47-$C$19))+$C$7/(1+10^(B47-$C$20))-(1/(1+10^($C$17-B47))+$C$8/(1+10^($C$21-B47))+$C$9/(1+10^($C$22-B47))+$C$10/(1+10^($C$23-B47))+$C$11/(1+10^($C$24-B47))),"")</f>
        <v>3.98433832259373</v>
      </c>
      <c r="D47" s="18" t="n">
        <f aca="false">IFERROR(1/(1+10^(B47-$D$16))+$C$5/(1+10^(B47-$D$18))+$C$6/(1+10^(B47-$D$19))+$C$7/(1+10^(B47-$D$20))-(1/(1+10^($D$17-B47))+$C$8/(1+10^($D$21-B47))+$C$9/(1+10^($D$22-B47))+$C$10/(1+10^($D$23-B47))+$C$11/(1+10^($D$24-B47))),"")</f>
        <v>3.96929776500224</v>
      </c>
    </row>
    <row r="48" customFormat="false" ht="15" hidden="false" customHeight="false" outlineLevel="0" collapsed="false">
      <c r="B48" s="17" t="n">
        <v>1.9</v>
      </c>
      <c r="C48" s="18" t="n">
        <f aca="false">IFERROR(1/(1+10^(B48-$C$16))+$C$5/(1+10^(B48-$C$18))+$C$6/(1+10^(B48-$C$19))+$C$7/(1+10^(B48-$C$20))-(1/(1+10^($C$17-B48))+$C$8/(1+10^($C$21-B48))+$C$9/(1+10^($C$22-B48))+$C$10/(1+10^($C$23-B48))+$C$11/(1+10^($C$24-B48))),"")</f>
        <v>3.98036214190111</v>
      </c>
      <c r="D48" s="18" t="n">
        <f aca="false">IFERROR(1/(1+10^(B48-$D$16))+$C$5/(1+10^(B48-$D$18))+$C$6/(1+10^(B48-$D$19))+$C$7/(1+10^(B48-$D$20))-(1/(1+10^($D$17-B48))+$C$8/(1+10^($D$21-B48))+$C$9/(1+10^($D$22-B48))+$C$10/(1+10^($D$23-B48))+$C$11/(1+10^($D$24-B48))),"")</f>
        <v>3.96165205455191</v>
      </c>
    </row>
    <row r="49" customFormat="false" ht="15" hidden="false" customHeight="false" outlineLevel="0" collapsed="false">
      <c r="B49" s="17" t="n">
        <v>2</v>
      </c>
      <c r="C49" s="18" t="n">
        <f aca="false">IFERROR(1/(1+10^(B49-$C$16))+$C$5/(1+10^(B49-$C$18))+$C$6/(1+10^(B49-$C$19))+$C$7/(1+10^(B49-$C$20))-(1/(1+10^($C$17-B49))+$C$8/(1+10^($C$21-B49))+$C$9/(1+10^($C$22-B49))+$C$10/(1+10^($C$23-B49))+$C$11/(1+10^($C$24-B49))),"")</f>
        <v>3.97540151593118</v>
      </c>
      <c r="D49" s="18" t="n">
        <f aca="false">IFERROR(1/(1+10^(B49-$D$16))+$C$5/(1+10^(B49-$D$18))+$C$6/(1+10^(B49-$D$19))+$C$7/(1+10^(B49-$D$20))-(1/(1+10^($D$17-B49))+$C$8/(1+10^($D$21-B49))+$C$9/(1+10^($D$22-B49))+$C$10/(1+10^($D$23-B49))+$C$11/(1+10^($D$24-B49))),"")</f>
        <v>3.95219592900734</v>
      </c>
    </row>
    <row r="50" customFormat="false" ht="15" hidden="false" customHeight="false" outlineLevel="0" collapsed="false">
      <c r="B50" s="17" t="n">
        <v>2.1</v>
      </c>
      <c r="C50" s="18" t="n">
        <f aca="false">IFERROR(1/(1+10^(B50-$C$16))+$C$5/(1+10^(B50-$C$18))+$C$6/(1+10^(B50-$C$19))+$C$7/(1+10^(B50-$C$20))-(1/(1+10^($C$17-B50))+$C$8/(1+10^($C$21-B50))+$C$9/(1+10^($C$22-B50))+$C$10/(1+10^($C$23-B50))+$C$11/(1+10^($C$24-B50))),"")</f>
        <v>3.96922682634394</v>
      </c>
      <c r="D50" s="18" t="n">
        <f aca="false">IFERROR(1/(1+10^(B50-$D$16))+$C$5/(1+10^(B50-$D$18))+$C$6/(1+10^(B50-$D$19))+$C$7/(1+10^(B50-$D$20))-(1/(1+10^($D$17-B50))+$C$8/(1+10^($D$21-B50))+$C$9/(1+10^($D$22-B50))+$C$10/(1+10^($D$23-B50))+$C$11/(1+10^($D$24-B50))),"")</f>
        <v>3.94055167968721</v>
      </c>
    </row>
    <row r="51" customFormat="false" ht="15" hidden="false" customHeight="false" outlineLevel="0" collapsed="false">
      <c r="B51" s="17" t="n">
        <v>2.2</v>
      </c>
      <c r="C51" s="18" t="n">
        <f aca="false">IFERROR(1/(1+10^(B51-$C$16))+$C$5/(1+10^(B51-$C$18))+$C$6/(1+10^(B51-$C$19))+$C$7/(1+10^(B51-$C$20))-(1/(1+10^($C$17-B51))+$C$8/(1+10^($C$21-B51))+$C$9/(1+10^($C$22-B51))+$C$10/(1+10^($C$23-B51))+$C$11/(1+10^($C$24-B51))),"")</f>
        <v>3.96156274937593</v>
      </c>
      <c r="D51" s="18" t="n">
        <f aca="false">IFERROR(1/(1+10^(B51-$D$16))+$C$5/(1+10^(B51-$D$18))+$C$6/(1+10^(B51-$D$19))+$C$7/(1+10^(B51-$D$20))-(1/(1+10^($D$17-B51))+$C$8/(1+10^($D$21-B51))+$C$9/(1+10^($D$22-B51))+$C$10/(1+10^($D$23-B51))+$C$11/(1+10^($D$24-B51))),"")</f>
        <v>3.92628985421809</v>
      </c>
    </row>
    <row r="52" customFormat="false" ht="15" hidden="false" customHeight="false" outlineLevel="0" collapsed="false">
      <c r="B52" s="17" t="n">
        <v>2.3</v>
      </c>
      <c r="C52" s="18" t="n">
        <f aca="false">IFERROR(1/(1+10^(B52-$C$16))+$C$5/(1+10^(B52-$C$18))+$C$6/(1+10^(B52-$C$19))+$C$7/(1+10^(B52-$C$20))-(1/(1+10^($C$17-B52))+$C$8/(1+10^($C$21-B52))+$C$9/(1+10^($C$22-B52))+$C$10/(1+10^($C$23-B52))+$C$11/(1+10^($C$24-B52))),"")</f>
        <v>3.95208350251793</v>
      </c>
      <c r="D52" s="18" t="n">
        <f aca="false">IFERROR(1/(1+10^(B52-$D$16))+$C$5/(1+10^(B52-$D$18))+$C$6/(1+10^(B52-$D$19))+$C$7/(1+10^(B52-$D$20))-(1/(1+10^($D$17-B52))+$C$8/(1+10^($D$21-B52))+$C$9/(1+10^($D$22-B52))+$C$10/(1+10^($D$23-B52))+$C$11/(1+10^($D$24-B52))),"")</f>
        <v>3.90893657940025</v>
      </c>
    </row>
    <row r="53" customFormat="false" ht="15" hidden="false" customHeight="false" outlineLevel="0" collapsed="false">
      <c r="B53" s="17" t="n">
        <v>2.4</v>
      </c>
      <c r="C53" s="18" t="n">
        <f aca="false">IFERROR(1/(1+10^(B53-$C$16))+$C$5/(1+10^(B53-$C$18))+$C$6/(1+10^(B53-$C$19))+$C$7/(1+10^(B53-$C$20))-(1/(1+10^($C$17-B53))+$C$8/(1+10^($C$21-B53))+$C$9/(1+10^($C$22-B53))+$C$10/(1+10^($C$23-B53))+$C$11/(1+10^($C$24-B53))),"")</f>
        <v>3.94041014639709</v>
      </c>
      <c r="D53" s="18" t="n">
        <f aca="false">IFERROR(1/(1+10^(B53-$D$16))+$C$5/(1+10^(B53-$D$18))+$C$6/(1+10^(B53-$D$19))+$C$7/(1+10^(B53-$D$20))-(1/(1+10^($D$17-B53))+$C$8/(1+10^($D$21-B53))+$C$9/(1+10^($D$22-B53))+$C$10/(1+10^($D$23-B53))+$C$11/(1+10^($D$24-B53))),"")</f>
        <v>3.88798994311378</v>
      </c>
    </row>
    <row r="54" customFormat="false" ht="15" hidden="false" customHeight="false" outlineLevel="0" collapsed="false">
      <c r="B54" s="17" t="n">
        <v>2.5</v>
      </c>
      <c r="C54" s="18" t="n">
        <f aca="false">IFERROR(1/(1+10^(B54-$C$16))+$C$5/(1+10^(B54-$C$18))+$C$6/(1+10^(B54-$C$19))+$C$7/(1+10^(B54-$C$20))-(1/(1+10^($C$17-B54))+$C$8/(1+10^($C$21-B54))+$C$9/(1+10^($C$22-B54))+$C$10/(1+10^($C$23-B54))+$C$11/(1+10^($C$24-B54))),"")</f>
        <v>3.92611167955182</v>
      </c>
      <c r="D54" s="18" t="n">
        <f aca="false">IFERROR(1/(1+10^(B54-$D$16))+$C$5/(1+10^(B54-$D$18))+$C$6/(1+10^(B54-$D$19))+$C$7/(1+10^(B54-$D$20))-(1/(1+10^($D$17-B54))+$C$8/(1+10^($D$21-B54))+$C$9/(1+10^($D$22-B54))+$C$10/(1+10^($D$23-B54))+$C$11/(1+10^($D$24-B54))),"")</f>
        <v>3.86294852231996</v>
      </c>
    </row>
    <row r="55" customFormat="false" ht="15" hidden="false" customHeight="false" outlineLevel="0" collapsed="false">
      <c r="B55" s="17" t="n">
        <v>2.6</v>
      </c>
      <c r="C55" s="18" t="n">
        <f aca="false">IFERROR(1/(1+10^(B55-$C$16))+$C$5/(1+10^(B55-$C$18))+$C$6/(1+10^(B55-$C$19))+$C$7/(1+10^(B55-$C$20))-(1/(1+10^($C$17-B55))+$C$8/(1+10^($C$21-B55))+$C$9/(1+10^($C$22-B55))+$C$10/(1+10^($C$23-B55))+$C$11/(1+10^($C$24-B55))),"")</f>
        <v>3.90871227900918</v>
      </c>
      <c r="D55" s="18" t="n">
        <f aca="false">IFERROR(1/(1+10^(B55-$D$16))+$C$5/(1+10^(B55-$D$18))+$C$6/(1+10^(B55-$D$19))+$C$7/(1+10^(B55-$D$20))-(1/(1+10^($D$17-B55))+$C$8/(1+10^($D$21-B55))+$C$9/(1+10^($D$22-B55))+$C$10/(1+10^($D$23-B55))+$C$11/(1+10^($D$24-B55))),"")</f>
        <v>3.83335455596119</v>
      </c>
    </row>
    <row r="56" customFormat="false" ht="15" hidden="false" customHeight="false" outlineLevel="0" collapsed="false">
      <c r="B56" s="17" t="n">
        <v>2.7</v>
      </c>
      <c r="C56" s="18" t="n">
        <f aca="false">IFERROR(1/(1+10^(B56-$C$16))+$C$5/(1+10^(B56-$C$18))+$C$6/(1+10^(B56-$C$19))+$C$7/(1+10^(B56-$C$20))-(1/(1+10^($C$17-B56))+$C$8/(1+10^($C$21-B56))+$C$9/(1+10^($C$22-B56))+$C$10/(1+10^($C$23-B56))+$C$11/(1+10^($C$24-B56))),"")</f>
        <v>3.88770757868497</v>
      </c>
      <c r="D56" s="18" t="n">
        <f aca="false">IFERROR(1/(1+10^(B56-$D$16))+$C$5/(1+10^(B56-$D$18))+$C$6/(1+10^(B56-$D$19))+$C$7/(1+10^(B56-$D$20))-(1/(1+10^($D$17-B56))+$C$8/(1+10^($D$21-B56))+$C$9/(1+10^($D$22-B56))+$C$10/(1+10^($D$23-B56))+$C$11/(1+10^($D$24-B56))),"")</f>
        <v>3.79885236110417</v>
      </c>
    </row>
    <row r="57" customFormat="false" ht="15" hidden="false" customHeight="false" outlineLevel="0" collapsed="false">
      <c r="B57" s="17" t="n">
        <v>2.8</v>
      </c>
      <c r="C57" s="18" t="n">
        <f aca="false">IFERROR(1/(1+10^(B57-$C$16))+$C$5/(1+10^(B57-$C$18))+$C$6/(1+10^(B57-$C$19))+$C$7/(1+10^(B57-$C$20))-(1/(1+10^($C$17-B57))+$C$8/(1+10^($C$21-B57))+$C$9/(1+10^($C$22-B57))+$C$10/(1+10^($C$23-B57))+$C$11/(1+10^($C$24-B57))),"")</f>
        <v>3.86259306721994</v>
      </c>
      <c r="D57" s="18" t="n">
        <f aca="false">IFERROR(1/(1+10^(B57-$D$16))+$C$5/(1+10^(B57-$D$18))+$C$6/(1+10^(B57-$D$19))+$C$7/(1+10^(B57-$D$20))-(1/(1+10^($D$17-B57))+$C$8/(1+10^($D$21-B57))+$C$9/(1+10^($D$22-B57))+$C$10/(1+10^($D$23-B57))+$C$11/(1+10^($D$24-B57))),"")</f>
        <v>3.75925894493924</v>
      </c>
    </row>
    <row r="58" customFormat="false" ht="15" hidden="false" customHeight="false" outlineLevel="0" collapsed="false">
      <c r="B58" s="17" t="n">
        <v>2.9</v>
      </c>
      <c r="C58" s="18" t="n">
        <f aca="false">IFERROR(1/(1+10^(B58-$C$16))+$C$5/(1+10^(B58-$C$18))+$C$6/(1+10^(B58-$C$19))+$C$7/(1+10^(B58-$C$20))-(1/(1+10^($C$17-B58))+$C$8/(1+10^($C$21-B58))+$C$9/(1+10^($C$22-B58))+$C$10/(1+10^($C$23-B58))+$C$11/(1+10^($C$24-B58))),"")</f>
        <v>3.83290709723532</v>
      </c>
      <c r="D58" s="18" t="n">
        <f aca="false">IFERROR(1/(1+10^(B58-$D$16))+$C$5/(1+10^(B58-$D$18))+$C$6/(1+10^(B58-$D$19))+$C$7/(1+10^(B58-$D$20))-(1/(1+10^($D$17-B58))+$C$8/(1+10^($D$21-B58))+$C$9/(1+10^($D$22-B58))+$C$10/(1+10^($D$23-B58))+$C$11/(1+10^($D$24-B58))),"")</f>
        <v>3.71463844308229</v>
      </c>
    </row>
    <row r="59" customFormat="false" ht="15" hidden="false" customHeight="false" outlineLevel="0" collapsed="false">
      <c r="B59" s="17" t="n">
        <v>3</v>
      </c>
      <c r="C59" s="18" t="n">
        <f aca="false">IFERROR(1/(1+10^(B59-$C$16))+$C$5/(1+10^(B59-$C$18))+$C$6/(1+10^(B59-$C$19))+$C$7/(1+10^(B59-$C$20))-(1/(1+10^($C$17-B59))+$C$8/(1+10^($C$21-B59))+$C$9/(1+10^($C$22-B59))+$C$10/(1+10^($C$23-B59))+$C$11/(1+10^($C$24-B59))),"")</f>
        <v>3.79828909581389</v>
      </c>
      <c r="D59" s="18" t="n">
        <f aca="false">IFERROR(1/(1+10^(B59-$D$16))+$C$5/(1+10^(B59-$D$18))+$C$6/(1+10^(B59-$D$19))+$C$7/(1+10^(B59-$D$20))-(1/(1+10^($D$17-B59))+$C$8/(1+10^($D$21-B59))+$C$9/(1+10^($D$22-B59))+$C$10/(1+10^($D$23-B59))+$C$11/(1+10^($D$24-B59))),"")</f>
        <v>3.66536609566829</v>
      </c>
    </row>
    <row r="60" customFormat="false" ht="15" hidden="false" customHeight="false" outlineLevel="0" collapsed="false">
      <c r="B60" s="17" t="n">
        <v>3.1</v>
      </c>
      <c r="C60" s="18" t="n">
        <f aca="false">IFERROR(1/(1+10^(B60-$C$16))+$C$5/(1+10^(B60-$C$18))+$C$6/(1+10^(B60-$C$19))+$C$7/(1+10^(B60-$C$20))-(1/(1+10^($C$17-B60))+$C$8/(1+10^($C$21-B60))+$C$9/(1+10^($C$22-B60))+$C$10/(1+10^($C$23-B60))+$C$11/(1+10^($C$24-B60))),"")</f>
        <v>3.75854991814738</v>
      </c>
      <c r="D60" s="18" t="n">
        <f aca="false">IFERROR(1/(1+10^(B60-$D$16))+$C$5/(1+10^(B60-$D$18))+$C$6/(1+10^(B60-$D$19))+$C$7/(1+10^(B60-$D$20))-(1/(1+10^($D$17-B60))+$C$8/(1+10^($D$21-B60))+$C$9/(1+10^($D$22-B60))+$C$10/(1+10^($D$23-B60))+$C$11/(1+10^($D$24-B60))),"")</f>
        <v>3.61216331852688</v>
      </c>
    </row>
    <row r="61" customFormat="false" ht="15" hidden="false" customHeight="false" outlineLevel="0" collapsed="false">
      <c r="B61" s="17" t="n">
        <v>3.2</v>
      </c>
      <c r="C61" s="18" t="n">
        <f aca="false">IFERROR(1/(1+10^(B61-$C$16))+$C$5/(1+10^(B61-$C$18))+$C$6/(1+10^(B61-$C$19))+$C$7/(1+10^(B61-$C$20))-(1/(1+10^($C$17-B61))+$C$8/(1+10^($C$21-B61))+$C$9/(1+10^($C$22-B61))+$C$10/(1+10^($C$23-B61))+$C$11/(1+10^($C$24-B61))),"")</f>
        <v>3.7137459614809</v>
      </c>
      <c r="D61" s="18" t="n">
        <f aca="false">IFERROR(1/(1+10^(B61-$D$16))+$C$5/(1+10^(B61-$D$18))+$C$6/(1+10^(B61-$D$19))+$C$7/(1+10^(B61-$D$20))-(1/(1+10^($D$17-B61))+$C$8/(1+10^($D$21-B61))+$C$9/(1+10^($D$22-B61))+$C$10/(1+10^($D$23-B61))+$C$11/(1+10^($D$24-B61))),"")</f>
        <v>3.55608616575274</v>
      </c>
    </row>
    <row r="62" customFormat="false" ht="15" hidden="false" customHeight="false" outlineLevel="0" collapsed="false">
      <c r="B62" s="17" t="n">
        <v>3.3</v>
      </c>
      <c r="C62" s="18" t="n">
        <f aca="false">IFERROR(1/(1+10^(B62-$C$16))+$C$5/(1+10^(B62-$C$18))+$C$6/(1+10^(B62-$C$19))+$C$7/(1+10^(B62-$C$20))-(1/(1+10^($C$17-B62))+$C$8/(1+10^($C$21-B62))+$C$9/(1+10^($C$22-B62))+$C$10/(1+10^($C$23-B62))+$C$11/(1+10^($C$24-B62))),"")</f>
        <v>3.66424273427088</v>
      </c>
      <c r="D62" s="18" t="n">
        <f aca="false">IFERROR(1/(1+10^(B62-$D$16))+$C$5/(1+10^(B62-$D$18))+$C$6/(1+10^(B62-$D$19))+$C$7/(1+10^(B62-$D$20))-(1/(1+10^($D$17-B62))+$C$8/(1+10^($D$21-B62))+$C$9/(1+10^($D$22-B62))+$C$10/(1+10^($D$23-B62))+$C$11/(1+10^($D$24-B62))),"")</f>
        <v>3.49845738235533</v>
      </c>
    </row>
    <row r="63" customFormat="false" ht="15" hidden="false" customHeight="false" outlineLevel="0" collapsed="false">
      <c r="B63" s="17" t="n">
        <v>3.4</v>
      </c>
      <c r="C63" s="18" t="n">
        <f aca="false">IFERROR(1/(1+10^(B63-$C$16))+$C$5/(1+10^(B63-$C$18))+$C$6/(1+10^(B63-$C$19))+$C$7/(1+10^(B63-$C$20))-(1/(1+10^($C$17-B63))+$C$8/(1+10^($C$21-B63))+$C$9/(1+10^($C$22-B63))+$C$10/(1+10^($C$23-B63))+$C$11/(1+10^($C$24-B63))),"")</f>
        <v>3.610749417285</v>
      </c>
      <c r="D63" s="18" t="n">
        <f aca="false">IFERROR(1/(1+10^(B63-$D$16))+$C$5/(1+10^(B63-$D$18))+$C$6/(1+10^(B63-$D$19))+$C$7/(1+10^(B63-$D$20))-(1/(1+10^($D$17-B63))+$C$8/(1+10^($D$21-B63))+$C$9/(1+10^($D$22-B63))+$C$10/(1+10^($D$23-B63))+$C$11/(1+10^($D$24-B63))),"")</f>
        <v>3.44074657156109</v>
      </c>
    </row>
    <row r="64" customFormat="false" ht="15" hidden="false" customHeight="false" outlineLevel="0" collapsed="false">
      <c r="B64" s="17" t="n">
        <v>3.5</v>
      </c>
      <c r="C64" s="18" t="n">
        <f aca="false">IFERROR(1/(1+10^(B64-$C$16))+$C$5/(1+10^(B64-$C$18))+$C$6/(1+10^(B64-$C$19))+$C$7/(1+10^(B64-$C$20))-(1/(1+10^($C$17-B64))+$C$8/(1+10^($C$21-B64))+$C$9/(1+10^($C$22-B64))+$C$10/(1+10^($C$23-B64))+$C$11/(1+10^($C$24-B64))),"")</f>
        <v>3.55430668754604</v>
      </c>
      <c r="D64" s="18" t="n">
        <f aca="false">IFERROR(1/(1+10^(B64-$D$16))+$C$5/(1+10^(B64-$D$18))+$C$6/(1+10^(B64-$D$19))+$C$7/(1+10^(B64-$D$20))-(1/(1+10^($D$17-B64))+$C$8/(1+10^($D$21-B64))+$C$9/(1+10^($D$22-B64))+$C$10/(1+10^($D$23-B64))+$C$11/(1+10^($D$24-B64))),"")</f>
        <v>3.38441899475872</v>
      </c>
    </row>
    <row r="65" customFormat="false" ht="15" hidden="false" customHeight="false" outlineLevel="0" collapsed="false">
      <c r="B65" s="17" t="n">
        <v>3.6</v>
      </c>
      <c r="C65" s="18" t="n">
        <f aca="false">IFERROR(1/(1+10^(B65-$C$16))+$C$5/(1+10^(B65-$C$18))+$C$6/(1+10^(B65-$C$19))+$C$7/(1+10^(B65-$C$20))-(1/(1+10^($C$17-B65))+$C$8/(1+10^($C$21-B65))+$C$9/(1+10^($C$22-B65))+$C$10/(1+10^($C$23-B65))+$C$11/(1+10^($C$24-B65))),"")</f>
        <v>3.49621797256593</v>
      </c>
      <c r="D65" s="18" t="n">
        <f aca="false">IFERROR(1/(1+10^(B65-$D$16))+$C$5/(1+10^(B65-$D$18))+$C$6/(1+10^(B65-$D$19))+$C$7/(1+10^(B65-$D$20))-(1/(1+10^($D$17-B65))+$C$8/(1+10^($D$21-B65))+$C$9/(1+10^($D$22-B65))+$C$10/(1+10^($D$23-B65))+$C$11/(1+10^($D$24-B65))),"")</f>
        <v>3.33078414590547</v>
      </c>
    </row>
    <row r="66" customFormat="false" ht="15" hidden="false" customHeight="false" outlineLevel="0" collapsed="false">
      <c r="B66" s="17" t="n">
        <v>3.7</v>
      </c>
      <c r="C66" s="18" t="n">
        <f aca="false">IFERROR(1/(1+10^(B66-$C$16))+$C$5/(1+10^(B66-$C$18))+$C$6/(1+10^(B66-$C$19))+$C$7/(1+10^(B66-$C$20))-(1/(1+10^($C$17-B66))+$C$8/(1+10^($C$21-B66))+$C$9/(1+10^($C$22-B66))+$C$10/(1+10^($C$23-B66))+$C$11/(1+10^($C$24-B66))),"")</f>
        <v>3.43792862129967</v>
      </c>
      <c r="D66" s="18" t="n">
        <f aca="false">IFERROR(1/(1+10^(B66-$D$16))+$C$5/(1+10^(B66-$D$18))+$C$6/(1+10^(B66-$D$19))+$C$7/(1+10^(B66-$D$20))-(1/(1+10^($D$17-B66))+$C$8/(1+10^($D$21-B66))+$C$9/(1+10^($D$22-B66))+$C$10/(1+10^($D$23-B66))+$C$11/(1+10^($D$24-B66))),"")</f>
        <v>3.28087523141574</v>
      </c>
    </row>
    <row r="67" customFormat="false" ht="15" hidden="false" customHeight="false" outlineLevel="0" collapsed="false">
      <c r="B67" s="17" t="n">
        <v>3.8</v>
      </c>
      <c r="C67" s="18" t="n">
        <f aca="false">IFERROR(1/(1+10^(B67-$C$16))+$C$5/(1+10^(B67-$C$18))+$C$6/(1+10^(B67-$C$19))+$C$7/(1+10^(B67-$C$20))-(1/(1+10^($C$17-B67))+$C$8/(1+10^($C$21-B67))+$C$9/(1+10^($C$22-B67))+$C$10/(1+10^($C$23-B67))+$C$11/(1+10^($C$24-B67))),"")</f>
        <v>3.38087346365393</v>
      </c>
      <c r="D67" s="18" t="n">
        <f aca="false">IFERROR(1/(1+10^(B67-$D$16))+$C$5/(1+10^(B67-$D$18))+$C$6/(1+10^(B67-$D$19))+$C$7/(1+10^(B67-$D$20))-(1/(1+10^($D$17-B67))+$C$8/(1+10^($D$21-B67))+$C$9/(1+10^($D$22-B67))+$C$10/(1+10^($D$23-B67))+$C$11/(1+10^($D$24-B67))),"")</f>
        <v>3.23538004081539</v>
      </c>
    </row>
    <row r="68" customFormat="false" ht="15" hidden="false" customHeight="false" outlineLevel="0" collapsed="false">
      <c r="B68" s="17" t="n">
        <v>3.9</v>
      </c>
      <c r="C68" s="18" t="n">
        <f aca="false">IFERROR(1/(1+10^(B68-$C$16))+$C$5/(1+10^(B68-$C$18))+$C$6/(1+10^(B68-$C$19))+$C$7/(1+10^(B68-$C$20))-(1/(1+10^($C$17-B68))+$C$8/(1+10^($C$21-B68))+$C$9/(1+10^($C$22-B68))+$C$10/(1+10^($C$23-B68))+$C$11/(1+10^($C$24-B68))),"")</f>
        <v>3.32632384518997</v>
      </c>
      <c r="D68" s="18" t="n">
        <f aca="false">IFERROR(1/(1+10^(B68-$D$16))+$C$5/(1+10^(B68-$D$18))+$C$6/(1+10^(B68-$D$19))+$C$7/(1+10^(B68-$D$20))-(1/(1+10^($D$17-B68))+$C$8/(1+10^($D$21-B68))+$C$9/(1+10^($D$22-B68))+$C$10/(1+10^($D$23-B68))+$C$11/(1+10^($D$24-B68))),"")</f>
        <v>3.19462767719655</v>
      </c>
    </row>
    <row r="69" customFormat="false" ht="15" hidden="false" customHeight="false" outlineLevel="0" collapsed="false">
      <c r="B69" s="17" t="n">
        <v>4</v>
      </c>
      <c r="C69" s="18" t="n">
        <f aca="false">IFERROR(1/(1+10^(B69-$C$16))+$C$5/(1+10^(B69-$C$18))+$C$6/(1+10^(B69-$C$19))+$C$7/(1+10^(B69-$C$20))-(1/(1+10^($C$17-B69))+$C$8/(1+10^($C$21-B69))+$C$9/(1+10^($C$22-B69))+$C$10/(1+10^($C$23-B69))+$C$11/(1+10^($C$24-B69))),"")</f>
        <v>3.27526520316765</v>
      </c>
      <c r="D69" s="18" t="n">
        <f aca="false">IFERROR(1/(1+10^(B69-$D$16))+$C$5/(1+10^(B69-$D$18))+$C$6/(1+10^(B69-$D$19))+$C$7/(1+10^(B69-$D$20))-(1/(1+10^($D$17-B69))+$C$8/(1+10^($D$21-B69))+$C$9/(1+10^($D$22-B69))+$C$10/(1+10^($D$23-B69))+$C$11/(1+10^($D$24-B69))),"")</f>
        <v>3.15862126638598</v>
      </c>
    </row>
    <row r="70" customFormat="false" ht="15" hidden="false" customHeight="false" outlineLevel="0" collapsed="false">
      <c r="B70" s="17" t="n">
        <v>4.1</v>
      </c>
      <c r="C70" s="18" t="n">
        <f aca="false">IFERROR(1/(1+10^(B70-$C$16))+$C$5/(1+10^(B70-$C$18))+$C$6/(1+10^(B70-$C$19))+$C$7/(1+10^(B70-$C$20))-(1/(1+10^($C$17-B70))+$C$8/(1+10^($C$21-B70))+$C$9/(1+10^($C$22-B70))+$C$10/(1+10^($C$23-B70))+$C$11/(1+10^($C$24-B70))),"")</f>
        <v>3.22832559471795</v>
      </c>
      <c r="D70" s="18" t="n">
        <f aca="false">IFERROR(1/(1+10^(B70-$D$16))+$C$5/(1+10^(B70-$D$18))+$C$6/(1+10^(B70-$D$19))+$C$7/(1+10^(B70-$D$20))-(1/(1+10^($D$17-B70))+$C$8/(1+10^($D$21-B70))+$C$9/(1+10^($D$22-B70))+$C$10/(1+10^($D$23-B70))+$C$11/(1+10^($D$24-B70))),"")</f>
        <v>3.12709883549017</v>
      </c>
    </row>
    <row r="71" customFormat="false" ht="15" hidden="false" customHeight="false" outlineLevel="0" collapsed="false">
      <c r="B71" s="17" t="n">
        <v>4.2</v>
      </c>
      <c r="C71" s="18" t="n">
        <f aca="false">IFERROR(1/(1+10^(B71-$C$16))+$C$5/(1+10^(B71-$C$18))+$C$6/(1+10^(B71-$C$19))+$C$7/(1+10^(B71-$C$20))-(1/(1+10^($C$17-B71))+$C$8/(1+10^($C$21-B71))+$C$9/(1+10^($C$22-B71))+$C$10/(1+10^($C$23-B71))+$C$11/(1+10^($C$24-B71))),"")</f>
        <v>3.18575956357081</v>
      </c>
      <c r="D71" s="18" t="n">
        <f aca="false">IFERROR(1/(1+10^(B71-$D$16))+$C$5/(1+10^(B71-$D$18))+$C$6/(1+10^(B71-$D$19))+$C$7/(1+10^(B71-$D$20))-(1/(1+10^($D$17-B71))+$C$8/(1+10^($D$21-B71))+$C$9/(1+10^($D$22-B71))+$C$10/(1+10^($D$23-B71))+$C$11/(1+10^($D$24-B71))),"")</f>
        <v>3.09960378512303</v>
      </c>
    </row>
    <row r="72" customFormat="false" ht="15" hidden="false" customHeight="false" outlineLevel="0" collapsed="false">
      <c r="B72" s="17" t="n">
        <v>4.3</v>
      </c>
      <c r="C72" s="18" t="n">
        <f aca="false">IFERROR(1/(1+10^(B72-$C$16))+$C$5/(1+10^(B72-$C$18))+$C$6/(1+10^(B72-$C$19))+$C$7/(1+10^(B72-$C$20))-(1/(1+10^($C$17-B72))+$C$8/(1+10^($C$21-B72))+$C$9/(1+10^($C$22-B72))+$C$10/(1+10^($C$23-B72))+$C$11/(1+10^($C$24-B72))),"")</f>
        <v>3.14747737758066</v>
      </c>
      <c r="D72" s="18" t="n">
        <f aca="false">IFERROR(1/(1+10^(B72-$D$16))+$C$5/(1+10^(B72-$D$18))+$C$6/(1+10^(B72-$D$19))+$C$7/(1+10^(B72-$D$20))-(1/(1+10^($D$17-B72))+$C$8/(1+10^($D$21-B72))+$C$9/(1+10^($D$22-B72))+$C$10/(1+10^($D$23-B72))+$C$11/(1+10^($D$24-B72))),"")</f>
        <v>3.07555050595472</v>
      </c>
    </row>
    <row r="73" customFormat="false" ht="15" hidden="false" customHeight="false" outlineLevel="0" collapsed="false">
      <c r="B73" s="17" t="n">
        <v>4.4</v>
      </c>
      <c r="C73" s="18" t="n">
        <f aca="false">IFERROR(1/(1+10^(B73-$C$16))+$C$5/(1+10^(B73-$C$18))+$C$6/(1+10^(B73-$C$19))+$C$7/(1+10^(B73-$C$20))-(1/(1+10^($C$17-B73))+$C$8/(1+10^($C$21-B73))+$C$9/(1+10^($C$22-B73))+$C$10/(1+10^($C$23-B73))+$C$11/(1+10^($C$24-B73))),"")</f>
        <v>3.11310174529859</v>
      </c>
      <c r="D73" s="18" t="n">
        <f aca="false">IFERROR(1/(1+10^(B73-$D$16))+$C$5/(1+10^(B73-$D$18))+$C$6/(1+10^(B73-$D$19))+$C$7/(1+10^(B73-$D$20))-(1/(1+10^($D$17-B73))+$C$8/(1+10^($D$21-B73))+$C$9/(1+10^($D$22-B73))+$C$10/(1+10^($D$23-B73))+$C$11/(1+10^($D$24-B73))),"")</f>
        <v>3.05427658292246</v>
      </c>
    </row>
    <row r="74" customFormat="false" ht="15" hidden="false" customHeight="false" outlineLevel="0" collapsed="false">
      <c r="B74" s="17" t="n">
        <v>4.5</v>
      </c>
      <c r="C74" s="18" t="n">
        <f aca="false">IFERROR(1/(1+10^(B74-$C$16))+$C$5/(1+10^(B74-$C$18))+$C$6/(1+10^(B74-$C$19))+$C$7/(1+10^(B74-$C$20))-(1/(1+10^($C$17-B74))+$C$8/(1+10^($C$21-B74))+$C$9/(1+10^($C$22-B74))+$C$10/(1+10^($C$23-B74))+$C$11/(1+10^($C$24-B74))),"")</f>
        <v>3.08203337296669</v>
      </c>
      <c r="D74" s="18" t="n">
        <f aca="false">IFERROR(1/(1+10^(B74-$D$16))+$C$5/(1+10^(B74-$D$18))+$C$6/(1+10^(B74-$D$19))+$C$7/(1+10^(B74-$D$20))-(1/(1+10^($D$17-B74))+$C$8/(1+10^($D$21-B74))+$C$9/(1+10^($D$22-B74))+$C$10/(1+10^($D$23-B74))+$C$11/(1+10^($D$24-B74))),"")</f>
        <v>3.03507833206344</v>
      </c>
    </row>
    <row r="75" customFormat="false" ht="15" hidden="false" customHeight="false" outlineLevel="0" collapsed="false">
      <c r="B75" s="17" t="n">
        <v>4.6</v>
      </c>
      <c r="C75" s="18" t="n">
        <f aca="false">IFERROR(1/(1+10^(B75-$C$16))+$C$5/(1+10^(B75-$C$18))+$C$6/(1+10^(B75-$C$19))+$C$7/(1+10^(B75-$C$20))-(1/(1+10^($C$17-B75))+$C$8/(1+10^($C$21-B75))+$C$9/(1+10^($C$22-B75))+$C$10/(1+10^($C$23-B75))+$C$11/(1+10^($C$24-B75))),"")</f>
        <v>3.05351089514476</v>
      </c>
      <c r="D75" s="18" t="n">
        <f aca="false">IFERROR(1/(1+10^(B75-$D$16))+$C$5/(1+10^(B75-$D$18))+$C$6/(1+10^(B75-$D$19))+$C$7/(1+10^(B75-$D$20))-(1/(1+10^($D$17-B75))+$C$8/(1+10^($D$21-B75))+$C$9/(1+10^($D$22-B75))+$C$10/(1+10^($D$23-B75))+$C$11/(1+10^($D$24-B75))),"")</f>
        <v>3.01723005295901</v>
      </c>
    </row>
    <row r="76" customFormat="false" ht="15" hidden="false" customHeight="false" outlineLevel="0" collapsed="false">
      <c r="B76" s="17" t="n">
        <v>4.7</v>
      </c>
      <c r="C76" s="18" t="n">
        <f aca="false">IFERROR(1/(1+10^(B76-$C$16))+$C$5/(1+10^(B76-$C$18))+$C$6/(1+10^(B76-$C$19))+$C$7/(1+10^(B76-$C$20))-(1/(1+10^($C$17-B76))+$C$8/(1+10^($C$21-B76))+$C$9/(1+10^($C$22-B76))+$C$10/(1+10^($C$23-B76))+$C$11/(1+10^($C$24-B76))),"")</f>
        <v>3.02665669269784</v>
      </c>
      <c r="D76" s="18" t="n">
        <f aca="false">IFERROR(1/(1+10^(B76-$D$16))+$C$5/(1+10^(B76-$D$18))+$C$6/(1+10^(B76-$D$19))+$C$7/(1+10^(B76-$D$20))-(1/(1+10^($D$17-B76))+$C$8/(1+10^($D$21-B76))+$C$9/(1+10^($D$22-B76))+$C$10/(1+10^($D$23-B76))+$C$11/(1+10^($D$24-B76))),"")</f>
        <v>2.99998929711993</v>
      </c>
    </row>
    <row r="77" customFormat="false" ht="15" hidden="false" customHeight="false" outlineLevel="0" collapsed="false">
      <c r="B77" s="17" t="n">
        <v>4.8</v>
      </c>
      <c r="C77" s="18" t="n">
        <f aca="false">IFERROR(1/(1+10^(B77-$C$16))+$C$5/(1+10^(B77-$C$18))+$C$6/(1+10^(B77-$C$19))+$C$7/(1+10^(B77-$C$20))-(1/(1+10^($C$17-B77))+$C$8/(1+10^($C$21-B77))+$C$9/(1+10^($C$22-B77))+$C$10/(1+10^($C$23-B77))+$C$11/(1+10^($C$24-B77))),"")</f>
        <v>3.00050556728067</v>
      </c>
      <c r="D77" s="18" t="n">
        <f aca="false">IFERROR(1/(1+10^(B77-$D$16))+$C$5/(1+10^(B77-$D$18))+$C$6/(1+10^(B77-$D$19))+$C$7/(1+10^(B77-$D$20))-(1/(1+10^($D$17-B77))+$C$8/(1+10^($D$21-B77))+$C$9/(1+10^($D$22-B77))+$C$10/(1+10^($D$23-B77))+$C$11/(1+10^($D$24-B77))),"")</f>
        <v>2.98259110079487</v>
      </c>
    </row>
    <row r="78" customFormat="false" ht="15" hidden="false" customHeight="false" outlineLevel="0" collapsed="false">
      <c r="B78" s="17" t="n">
        <v>4.9</v>
      </c>
      <c r="C78" s="18" t="n">
        <f aca="false">IFERROR(1/(1+10^(B78-$C$16))+$C$5/(1+10^(B78-$C$18))+$C$6/(1+10^(B78-$C$19))+$C$7/(1+10^(B78-$C$20))-(1/(1+10^($C$17-B78))+$C$8/(1+10^($C$21-B78))+$C$9/(1+10^($C$22-B78))+$C$10/(1+10^($C$23-B78))+$C$11/(1+10^($C$24-B78))),"")</f>
        <v>2.97401713195447</v>
      </c>
      <c r="D78" s="18" t="n">
        <f aca="false">IFERROR(1/(1+10^(B78-$D$16))+$C$5/(1+10^(B78-$D$18))+$C$6/(1+10^(B78-$D$19))+$C$7/(1+10^(B78-$D$20))-(1/(1+10^($D$17-B78))+$C$8/(1+10^($D$21-B78))+$C$9/(1+10^($D$22-B78))+$C$10/(1+10^($D$23-B78))+$C$11/(1+10^($D$24-B78))),"")</f>
        <v>2.9642340706518</v>
      </c>
    </row>
    <row r="79" customFormat="false" ht="15" hidden="false" customHeight="false" outlineLevel="0" collapsed="false">
      <c r="B79" s="17" t="n">
        <v>5</v>
      </c>
      <c r="C79" s="18" t="n">
        <f aca="false">IFERROR(1/(1+10^(B79-$C$16))+$C$5/(1+10^(B79-$C$18))+$C$6/(1+10^(B79-$C$19))+$C$7/(1+10^(B79-$C$20))-(1/(1+10^($C$17-B79))+$C$8/(1+10^($C$21-B79))+$C$9/(1+10^($C$22-B79))+$C$10/(1+10^($C$23-B79))+$C$11/(1+10^($C$24-B79))),"")</f>
        <v>2.94607508822385</v>
      </c>
      <c r="D79" s="18" t="n">
        <f aca="false">IFERROR(1/(1+10^(B79-$D$16))+$C$5/(1+10^(B79-$D$18))+$C$6/(1+10^(B79-$D$19))+$C$7/(1+10^(B79-$D$20))-(1/(1+10^($D$17-B79))+$C$8/(1+10^($D$21-B79))+$C$9/(1+10^($D$22-B79))+$C$10/(1+10^($D$23-B79))+$C$11/(1+10^($D$24-B79))),"")</f>
        <v>2.94406091205084</v>
      </c>
    </row>
    <row r="80" customFormat="false" ht="15" hidden="false" customHeight="false" outlineLevel="0" collapsed="false">
      <c r="B80" s="17" t="n">
        <v>5.1</v>
      </c>
      <c r="C80" s="18" t="n">
        <f aca="false">IFERROR(1/(1+10^(B80-$C$16))+$C$5/(1+10^(B80-$C$18))+$C$6/(1+10^(B80-$C$19))+$C$7/(1+10^(B80-$C$20))-(1/(1+10^($C$17-B80))+$C$8/(1+10^($C$21-B80))+$C$9/(1+10^($C$22-B80))+$C$10/(1+10^($C$23-B80))+$C$11/(1+10^($C$24-B80))),"")</f>
        <v>2.91547779058732</v>
      </c>
      <c r="D80" s="18" t="n">
        <f aca="false">IFERROR(1/(1+10^(B80-$D$16))+$C$5/(1+10^(B80-$D$18))+$C$6/(1+10^(B80-$D$19))+$C$7/(1+10^(B80-$D$20))-(1/(1+10^($D$17-B80))+$C$8/(1+10^($D$21-B80))+$C$9/(1+10^($D$22-B80))+$C$10/(1+10^($D$23-B80))+$C$11/(1+10^($D$24-B80))),"")</f>
        <v>2.9211357794794</v>
      </c>
    </row>
    <row r="81" customFormat="false" ht="15" hidden="false" customHeight="false" outlineLevel="0" collapsed="false">
      <c r="B81" s="17" t="n">
        <v>5.2</v>
      </c>
      <c r="C81" s="18" t="n">
        <f aca="false">IFERROR(1/(1+10^(B81-$C$16))+$C$5/(1+10^(B81-$C$18))+$C$6/(1+10^(B81-$C$19))+$C$7/(1+10^(B81-$C$20))-(1/(1+10^($C$17-B81))+$C$8/(1+10^($C$21-B81))+$C$9/(1+10^($C$22-B81))+$C$10/(1+10^($C$23-B81))+$C$11/(1+10^($C$24-B81))),"")</f>
        <v>2.88092525570342</v>
      </c>
      <c r="D81" s="18" t="n">
        <f aca="false">IFERROR(1/(1+10^(B81-$D$16))+$C$5/(1+10^(B81-$D$18))+$C$6/(1+10^(B81-$D$19))+$C$7/(1+10^(B81-$D$20))-(1/(1+10^($D$17-B81))+$C$8/(1+10^($D$21-B81))+$C$9/(1+10^($D$22-B81))+$C$10/(1+10^($D$23-B81))+$C$11/(1+10^($D$24-B81))),"")</f>
        <v>2.89442091442442</v>
      </c>
    </row>
    <row r="82" customFormat="false" ht="15" hidden="false" customHeight="false" outlineLevel="0" collapsed="false">
      <c r="B82" s="17" t="n">
        <v>5.3</v>
      </c>
      <c r="C82" s="18" t="n">
        <f aca="false">IFERROR(1/(1+10^(B82-$C$16))+$C$5/(1+10^(B82-$C$18))+$C$6/(1+10^(B82-$C$19))+$C$7/(1+10^(B82-$C$20))-(1/(1+10^($C$17-B82))+$C$8/(1+10^($C$21-B82))+$C$9/(1+10^($C$22-B82))+$C$10/(1+10^($C$23-B82))+$C$11/(1+10^($C$24-B82))),"")</f>
        <v>2.84100853839346</v>
      </c>
      <c r="D82" s="18" t="n">
        <f aca="false">IFERROR(1/(1+10^(B82-$D$16))+$C$5/(1+10^(B82-$D$18))+$C$6/(1+10^(B82-$D$19))+$C$7/(1+10^(B82-$D$20))-(1/(1+10^($D$17-B82))+$C$8/(1+10^($D$21-B82))+$C$9/(1+10^($D$22-B82))+$C$10/(1+10^($D$23-B82))+$C$11/(1+10^($D$24-B82))),"")</f>
        <v>2.86275554137725</v>
      </c>
    </row>
    <row r="83" customFormat="false" ht="15" hidden="false" customHeight="false" outlineLevel="0" collapsed="false">
      <c r="B83" s="17" t="n">
        <v>5.4</v>
      </c>
      <c r="C83" s="18" t="n">
        <f aca="false">IFERROR(1/(1+10^(B83-$C$16))+$C$5/(1+10^(B83-$C$18))+$C$6/(1+10^(B83-$C$19))+$C$7/(1+10^(B83-$C$20))-(1/(1+10^($C$17-B83))+$C$8/(1+10^($C$21-B83))+$C$9/(1+10^($C$22-B83))+$C$10/(1+10^($C$23-B83))+$C$11/(1+10^($C$24-B83))),"")</f>
        <v>2.79420843440077</v>
      </c>
      <c r="D83" s="18" t="n">
        <f aca="false">IFERROR(1/(1+10^(B83-$D$16))+$C$5/(1+10^(B83-$D$18))+$C$6/(1+10^(B83-$D$19))+$C$7/(1+10^(B83-$D$20))-(1/(1+10^($D$17-B83))+$C$8/(1+10^($D$21-B83))+$C$9/(1+10^($D$22-B83))+$C$10/(1+10^($D$23-B83))+$C$11/(1+10^($D$24-B83))),"")</f>
        <v>2.82484097580534</v>
      </c>
    </row>
    <row r="84" customFormat="false" ht="15" hidden="false" customHeight="false" outlineLevel="0" collapsed="false">
      <c r="B84" s="17" t="n">
        <v>5.5</v>
      </c>
      <c r="C84" s="18" t="n">
        <f aca="false">IFERROR(1/(1+10^(B84-$C$16))+$C$5/(1+10^(B84-$C$18))+$C$6/(1+10^(B84-$C$19))+$C$7/(1+10^(B84-$C$20))-(1/(1+10^($C$17-B84))+$C$8/(1+10^($C$21-B84))+$C$9/(1+10^($C$22-B84))+$C$10/(1+10^($C$23-B84))+$C$11/(1+10^($C$24-B84))),"")</f>
        <v>2.738911764749</v>
      </c>
      <c r="D84" s="18" t="n">
        <f aca="false">IFERROR(1/(1+10^(B84-$D$16))+$C$5/(1+10^(B84-$D$18))+$C$6/(1+10^(B84-$D$19))+$C$7/(1+10^(B84-$D$20))-(1/(1+10^($D$17-B84))+$C$8/(1+10^($D$21-B84))+$C$9/(1+10^($D$22-B84))+$C$10/(1+10^($D$23-B84))+$C$11/(1+10^($D$24-B84))),"")</f>
        <v>2.77923733164728</v>
      </c>
    </row>
    <row r="85" customFormat="false" ht="15" hidden="false" customHeight="false" outlineLevel="0" collapsed="false">
      <c r="B85" s="17" t="n">
        <v>5.6</v>
      </c>
      <c r="C85" s="18" t="n">
        <f aca="false">IFERROR(1/(1+10^(B85-$C$16))+$C$5/(1+10^(B85-$C$18))+$C$6/(1+10^(B85-$C$19))+$C$7/(1+10^(B85-$C$20))-(1/(1+10^($C$17-B85))+$C$8/(1+10^($C$21-B85))+$C$9/(1+10^($C$22-B85))+$C$10/(1+10^($C$23-B85))+$C$11/(1+10^($C$24-B85))),"")</f>
        <v>2.67345467976566</v>
      </c>
      <c r="D85" s="18" t="n">
        <f aca="false">IFERROR(1/(1+10^(B85-$D$16))+$C$5/(1+10^(B85-$D$18))+$C$6/(1+10^(B85-$D$19))+$C$7/(1+10^(B85-$D$20))-(1/(1+10^($D$17-B85))+$C$8/(1+10^($D$21-B85))+$C$9/(1+10^($D$22-B85))+$C$10/(1+10^($D$23-B85))+$C$11/(1+10^($D$24-B85))),"")</f>
        <v>2.72437892215909</v>
      </c>
    </row>
    <row r="86" customFormat="false" ht="15" hidden="false" customHeight="false" outlineLevel="0" collapsed="false">
      <c r="B86" s="17" t="n">
        <v>5.7</v>
      </c>
      <c r="C86" s="18" t="n">
        <f aca="false">IFERROR(1/(1+10^(B86-$C$16))+$C$5/(1+10^(B86-$C$18))+$C$6/(1+10^(B86-$C$19))+$C$7/(1+10^(B86-$C$20))-(1/(1+10^($C$17-B86))+$C$8/(1+10^($C$21-B86))+$C$9/(1+10^($C$22-B86))+$C$10/(1+10^($C$23-B86))+$C$11/(1+10^($C$24-B86))),"")</f>
        <v>2.59620267552935</v>
      </c>
      <c r="D86" s="18" t="n">
        <f aca="false">IFERROR(1/(1+10^(B86-$D$16))+$C$5/(1+10^(B86-$D$18))+$C$6/(1+10^(B86-$D$19))+$C$7/(1+10^(B86-$D$20))-(1/(1+10^($D$17-B86))+$C$8/(1+10^($D$21-B86))+$C$9/(1+10^($D$22-B86))+$C$10/(1+10^($D$23-B86))+$C$11/(1+10^($D$24-B86))),"")</f>
        <v>2.65861698618579</v>
      </c>
    </row>
    <row r="87" customFormat="false" ht="15" hidden="false" customHeight="false" outlineLevel="0" collapsed="false">
      <c r="B87" s="17" t="n">
        <v>5.8</v>
      </c>
      <c r="C87" s="18" t="n">
        <f aca="false">IFERROR(1/(1+10^(B87-$C$16))+$C$5/(1+10^(B87-$C$18))+$C$6/(1+10^(B87-$C$19))+$C$7/(1+10^(B87-$C$20))-(1/(1+10^($C$17-B87))+$C$8/(1+10^($C$21-B87))+$C$9/(1+10^($C$22-B87))+$C$10/(1+10^($C$23-B87))+$C$11/(1+10^($C$24-B87))),"")</f>
        <v>2.50567503461095</v>
      </c>
      <c r="D87" s="18" t="n">
        <f aca="false">IFERROR(1/(1+10^(B87-$D$16))+$C$5/(1+10^(B87-$D$18))+$C$6/(1+10^(B87-$D$19))+$C$7/(1+10^(B87-$D$20))-(1/(1+10^($D$17-B87))+$C$8/(1+10^($D$21-B87))+$C$9/(1+10^($D$22-B87))+$C$10/(1+10^($D$23-B87))+$C$11/(1+10^($D$24-B87))),"")</f>
        <v>2.58029890811919</v>
      </c>
    </row>
    <row r="88" customFormat="false" ht="15" hidden="false" customHeight="false" outlineLevel="0" collapsed="false">
      <c r="B88" s="17" t="n">
        <v>5.9</v>
      </c>
      <c r="C88" s="18" t="n">
        <f aca="false">IFERROR(1/(1+10^(B88-$C$16))+$C$5/(1+10^(B88-$C$18))+$C$6/(1+10^(B88-$C$19))+$C$7/(1+10^(B88-$C$20))-(1/(1+10^($C$17-B88))+$C$8/(1+10^($C$21-B88))+$C$9/(1+10^($C$22-B88))+$C$10/(1+10^($C$23-B88))+$C$11/(1+10^($C$24-B88))),"")</f>
        <v>2.40071556282665</v>
      </c>
      <c r="D88" s="18" t="n">
        <f aca="false">IFERROR(1/(1+10^(B88-$D$16))+$C$5/(1+10^(B88-$D$18))+$C$6/(1+10^(B88-$D$19))+$C$7/(1+10^(B88-$D$20))-(1/(1+10^($D$17-B88))+$C$8/(1+10^($D$21-B88))+$C$9/(1+10^($D$22-B88))+$C$10/(1+10^($D$23-B88))+$C$11/(1+10^($D$24-B88))),"")</f>
        <v>2.48789133797577</v>
      </c>
    </row>
    <row r="89" customFormat="false" ht="15" hidden="false" customHeight="false" outlineLevel="0" collapsed="false">
      <c r="B89" s="17" t="n">
        <v>6</v>
      </c>
      <c r="C89" s="18" t="n">
        <f aca="false">IFERROR(1/(1+10^(B89-$C$16))+$C$5/(1+10^(B89-$C$18))+$C$6/(1+10^(B89-$C$19))+$C$7/(1+10^(B89-$C$20))-(1/(1+10^($C$17-B89))+$C$8/(1+10^($C$21-B89))+$C$9/(1+10^($C$22-B89))+$C$10/(1+10^($C$23-B89))+$C$11/(1+10^($C$24-B89))),"")</f>
        <v>2.28070047289574</v>
      </c>
      <c r="D89" s="18" t="n">
        <f aca="false">IFERROR(1/(1+10^(B89-$D$16))+$C$5/(1+10^(B89-$D$18))+$C$6/(1+10^(B89-$D$19))+$C$7/(1+10^(B89-$D$20))-(1/(1+10^($D$17-B89))+$C$8/(1+10^($D$21-B89))+$C$9/(1+10^($D$22-B89))+$C$10/(1+10^($D$23-B89))+$C$11/(1+10^($D$24-B89))),"")</f>
        <v>2.38014895855884</v>
      </c>
    </row>
    <row r="90" customFormat="false" ht="15" hidden="false" customHeight="false" outlineLevel="0" collapsed="false">
      <c r="B90" s="17" t="n">
        <v>6.1</v>
      </c>
      <c r="C90" s="18" t="n">
        <f aca="false">IFERROR(1/(1+10^(B90-$C$16))+$C$5/(1+10^(B90-$C$18))+$C$6/(1+10^(B90-$C$19))+$C$7/(1+10^(B90-$C$20))-(1/(1+10^($C$17-B90))+$C$8/(1+10^($C$21-B90))+$C$9/(1+10^($C$22-B90))+$C$10/(1+10^($C$23-B90))+$C$11/(1+10^($C$24-B90))),"")</f>
        <v>2.1457582531476</v>
      </c>
      <c r="D90" s="18" t="n">
        <f aca="false">IFERROR(1/(1+10^(B90-$D$16))+$C$5/(1+10^(B90-$D$18))+$C$6/(1+10^(B90-$D$19))+$C$7/(1+10^(B90-$D$20))-(1/(1+10^($D$17-B90))+$C$8/(1+10^($D$21-B90))+$C$9/(1+10^($D$22-B90))+$C$10/(1+10^($D$23-B90))+$C$11/(1+10^($D$24-B90))),"")</f>
        <v>2.25631979767434</v>
      </c>
    </row>
    <row r="91" customFormat="false" ht="15" hidden="false" customHeight="false" outlineLevel="0" collapsed="false">
      <c r="B91" s="17" t="n">
        <v>6.2</v>
      </c>
      <c r="C91" s="18" t="n">
        <f aca="false">IFERROR(1/(1+10^(B91-$C$16))+$C$5/(1+10^(B91-$C$18))+$C$6/(1+10^(B91-$C$19))+$C$7/(1+10^(B91-$C$20))-(1/(1+10^($C$17-B91))+$C$8/(1+10^($C$21-B91))+$C$9/(1+10^($C$22-B91))+$C$10/(1+10^($C$23-B91))+$C$11/(1+10^($C$24-B91))),"")</f>
        <v>1.9969585807975</v>
      </c>
      <c r="D91" s="18" t="n">
        <f aca="false">IFERROR(1/(1+10^(B91-$D$16))+$C$5/(1+10^(B91-$D$18))+$C$6/(1+10^(B91-$D$19))+$C$7/(1+10^(B91-$D$20))-(1/(1+10^($D$17-B91))+$C$8/(1+10^($D$21-B91))+$C$9/(1+10^($D$22-B91))+$C$10/(1+10^($D$23-B91))+$C$11/(1+10^($D$24-B91))),"")</f>
        <v>2.11636216562723</v>
      </c>
    </row>
    <row r="92" customFormat="false" ht="15" hidden="false" customHeight="false" outlineLevel="0" collapsed="false">
      <c r="B92" s="17" t="n">
        <v>6.3</v>
      </c>
      <c r="C92" s="18" t="n">
        <f aca="false">IFERROR(1/(1+10^(B92-$C$16))+$C$5/(1+10^(B92-$C$18))+$C$6/(1+10^(B92-$C$19))+$C$7/(1+10^(B92-$C$20))-(1/(1+10^($C$17-B92))+$C$8/(1+10^($C$21-B92))+$C$9/(1+10^($C$22-B92))+$C$10/(1+10^($C$23-B92))+$C$11/(1+10^($C$24-B92))),"")</f>
        <v>1.83641487089347</v>
      </c>
      <c r="D92" s="18" t="n">
        <f aca="false">IFERROR(1/(1+10^(B92-$D$16))+$C$5/(1+10^(B92-$D$18))+$C$6/(1+10^(B92-$D$19))+$C$7/(1+10^(B92-$D$20))-(1/(1+10^($D$17-B92))+$C$8/(1+10^($D$21-B92))+$C$9/(1+10^($D$22-B92))+$C$10/(1+10^($D$23-B92))+$C$11/(1+10^($D$24-B92))),"")</f>
        <v>1.96113077086611</v>
      </c>
    </row>
    <row r="93" customFormat="false" ht="15" hidden="false" customHeight="false" outlineLevel="0" collapsed="false">
      <c r="B93" s="17" t="n">
        <v>6.4</v>
      </c>
      <c r="C93" s="18" t="n">
        <f aca="false">IFERROR(1/(1+10^(B93-$C$16))+$C$5/(1+10^(B93-$C$18))+$C$6/(1+10^(B93-$C$19))+$C$7/(1+10^(B93-$C$20))-(1/(1+10^($C$17-B93))+$C$8/(1+10^($C$21-B93))+$C$9/(1+10^($C$22-B93))+$C$10/(1+10^($C$23-B93))+$C$11/(1+10^($C$24-B93))),"")</f>
        <v>1.66724727422625</v>
      </c>
      <c r="D93" s="18" t="n">
        <f aca="false">IFERROR(1/(1+10^(B93-$D$16))+$C$5/(1+10^(B93-$D$18))+$C$6/(1+10^(B93-$D$19))+$C$7/(1+10^(B93-$D$20))-(1/(1+10^($D$17-B93))+$C$8/(1+10^($D$21-B93))+$C$9/(1+10^($D$22-B93))+$C$10/(1+10^($D$23-B93))+$C$11/(1+10^($D$24-B93))),"")</f>
        <v>1.79247743720339</v>
      </c>
    </row>
    <row r="94" customFormat="false" ht="15" hidden="false" customHeight="false" outlineLevel="0" collapsed="false">
      <c r="B94" s="17" t="n">
        <v>6.5</v>
      </c>
      <c r="C94" s="18" t="n">
        <f aca="false">IFERROR(1/(1+10^(B94-$C$16))+$C$5/(1+10^(B94-$C$18))+$C$6/(1+10^(B94-$C$19))+$C$7/(1+10^(B94-$C$20))-(1/(1+10^($C$17-B94))+$C$8/(1+10^($C$21-B94))+$C$9/(1+10^($C$22-B94))+$C$10/(1+10^($C$23-B94))+$C$11/(1+10^($C$24-B94))),"")</f>
        <v>1.49337665866102</v>
      </c>
      <c r="D94" s="18" t="n">
        <f aca="false">IFERROR(1/(1+10^(B94-$D$16))+$C$5/(1+10^(B94-$D$18))+$C$6/(1+10^(B94-$D$19))+$C$7/(1+10^(B94-$D$20))-(1/(1+10^($D$17-B94))+$C$8/(1+10^($D$21-B94))+$C$9/(1+10^($D$22-B94))+$C$10/(1+10^($D$23-B94))+$C$11/(1+10^($D$24-B94))),"")</f>
        <v>1.61321451767245</v>
      </c>
    </row>
    <row r="95" customFormat="false" ht="15" hidden="false" customHeight="false" outlineLevel="0" collapsed="false">
      <c r="B95" s="17" t="n">
        <v>6.6</v>
      </c>
      <c r="C95" s="18" t="n">
        <f aca="false">IFERROR(1/(1+10^(B95-$C$16))+$C$5/(1+10^(B95-$C$18))+$C$6/(1+10^(B95-$C$19))+$C$7/(1+10^(B95-$C$20))-(1/(1+10^($C$17-B95))+$C$8/(1+10^($C$21-B95))+$C$9/(1+10^($C$22-B95))+$C$10/(1+10^($C$23-B95))+$C$11/(1+10^($C$24-B95))),"")</f>
        <v>1.31916310961311</v>
      </c>
      <c r="D95" s="18" t="n">
        <f aca="false">IFERROR(1/(1+10^(B95-$D$16))+$C$5/(1+10^(B95-$D$18))+$C$6/(1+10^(B95-$D$19))+$C$7/(1+10^(B95-$D$20))-(1/(1+10^($D$17-B95))+$C$8/(1+10^($D$21-B95))+$C$9/(1+10^($D$22-B95))+$C$10/(1+10^($D$23-B95))+$C$11/(1+10^($D$24-B95))),"")</f>
        <v>1.42691338005324</v>
      </c>
    </row>
    <row r="96" customFormat="false" ht="15" hidden="false" customHeight="false" outlineLevel="0" collapsed="false">
      <c r="B96" s="17" t="n">
        <v>6.7</v>
      </c>
      <c r="C96" s="18" t="n">
        <f aca="false">IFERROR(1/(1+10^(B96-$C$16))+$C$5/(1+10^(B96-$C$18))+$C$6/(1+10^(B96-$C$19))+$C$7/(1+10^(B96-$C$20))-(1/(1+10^($C$17-B96))+$C$8/(1+10^($C$21-B96))+$C$9/(1+10^($C$22-B96))+$C$10/(1+10^($C$23-B96))+$C$11/(1+10^($C$24-B96))),"")</f>
        <v>1.1489505020643</v>
      </c>
      <c r="D96" s="18" t="n">
        <f aca="false">IFERROR(1/(1+10^(B96-$D$16))+$C$5/(1+10^(B96-$D$18))+$C$6/(1+10^(B96-$D$19))+$C$7/(1+10^(B96-$D$20))-(1/(1+10^($D$17-B96))+$C$8/(1+10^($D$21-B96))+$C$9/(1+10^($D$22-B96))+$C$10/(1+10^($D$23-B96))+$C$11/(1+10^($D$24-B96))),"")</f>
        <v>1.23755395654833</v>
      </c>
    </row>
    <row r="97" customFormat="false" ht="15" hidden="false" customHeight="false" outlineLevel="0" collapsed="false">
      <c r="B97" s="17" t="n">
        <v>6.8</v>
      </c>
      <c r="C97" s="18" t="n">
        <f aca="false">IFERROR(1/(1+10^(B97-$C$16))+$C$5/(1+10^(B97-$C$18))+$C$6/(1+10^(B97-$C$19))+$C$7/(1+10^(B97-$C$20))-(1/(1+10^($C$17-B97))+$C$8/(1+10^($C$21-B97))+$C$9/(1+10^($C$22-B97))+$C$10/(1+10^($C$23-B97))+$C$11/(1+10^($C$24-B97))),"")</f>
        <v>0.986610623497145</v>
      </c>
      <c r="D97" s="18" t="n">
        <f aca="false">IFERROR(1/(1+10^(B97-$D$16))+$C$5/(1+10^(B97-$D$18))+$C$6/(1+10^(B97-$D$19))+$C$7/(1+10^(B97-$D$20))-(1/(1+10^($D$17-B97))+$C$8/(1+10^($D$21-B97))+$C$9/(1+10^($D$22-B97))+$C$10/(1+10^($D$23-B97))+$C$11/(1+10^($D$24-B97))),"")</f>
        <v>1.04908989756008</v>
      </c>
    </row>
    <row r="98" customFormat="false" ht="15" hidden="false" customHeight="false" outlineLevel="0" collapsed="false">
      <c r="B98" s="17" t="n">
        <v>6.9</v>
      </c>
      <c r="C98" s="18" t="n">
        <f aca="false">IFERROR(1/(1+10^(B98-$C$16))+$C$5/(1+10^(B98-$C$18))+$C$6/(1+10^(B98-$C$19))+$C$7/(1+10^(B98-$C$20))-(1/(1+10^($C$17-B98))+$C$8/(1+10^($C$21-B98))+$C$9/(1+10^($C$22-B98))+$C$10/(1+10^($C$23-B98))+$C$11/(1+10^($C$24-B98))),"")</f>
        <v>0.835180379150638</v>
      </c>
      <c r="D98" s="18" t="n">
        <f aca="false">IFERROR(1/(1+10^(B98-$D$16))+$C$5/(1+10^(B98-$D$18))+$C$6/(1+10^(B98-$D$19))+$C$7/(1+10^(B98-$D$20))-(1/(1+10^($D$17-B98))+$C$8/(1+10^($D$21-B98))+$C$9/(1+10^($D$22-B98))+$C$10/(1+10^($D$23-B98))+$C$11/(1+10^($D$24-B98))),"")</f>
        <v>0.865025963210684</v>
      </c>
    </row>
    <row r="99" customFormat="false" ht="15" hidden="false" customHeight="false" outlineLevel="0" collapsed="false">
      <c r="B99" s="17" t="n">
        <v>7</v>
      </c>
      <c r="C99" s="18" t="n">
        <f aca="false">IFERROR(1/(1+10^(B99-$C$16))+$C$5/(1+10^(B99-$C$18))+$C$6/(1+10^(B99-$C$19))+$C$7/(1+10^(B99-$C$20))-(1/(1+10^($C$17-B99))+$C$8/(1+10^($C$21-B99))+$C$9/(1+10^($C$22-B99))+$C$10/(1+10^($C$23-B99))+$C$11/(1+10^($C$24-B99))),"")</f>
        <v>0.696653801250095</v>
      </c>
      <c r="D99" s="18" t="n">
        <f aca="false">IFERROR(1/(1+10^(B99-$D$16))+$C$5/(1+10^(B99-$D$18))+$C$6/(1+10^(B99-$D$19))+$C$7/(1+10^(B99-$D$20))-(1/(1+10^($D$17-B99))+$C$8/(1+10^($D$21-B99))+$C$9/(1+10^($D$22-B99))+$C$10/(1+10^($D$23-B99))+$C$11/(1+10^($D$24-B99))),"")</f>
        <v>0.688103702464563</v>
      </c>
    </row>
    <row r="100" customFormat="false" ht="15" hidden="false" customHeight="false" outlineLevel="0" collapsed="false">
      <c r="B100" s="17" t="n">
        <v>7.1</v>
      </c>
      <c r="C100" s="18" t="n">
        <f aca="false">IFERROR(1/(1+10^(B100-$C$16))+$C$5/(1+10^(B100-$C$18))+$C$6/(1+10^(B100-$C$19))+$C$7/(1+10^(B100-$C$20))-(1/(1+10^($C$17-B100))+$C$8/(1+10^($C$21-B100))+$C$9/(1+10^($C$22-B100))+$C$10/(1+10^($C$23-B100))+$C$11/(1+10^($C$24-B100))),"")</f>
        <v>0.57194272450522</v>
      </c>
      <c r="D100" s="18" t="n">
        <f aca="false">IFERROR(1/(1+10^(B100-$D$16))+$C$5/(1+10^(B100-$D$18))+$C$6/(1+10^(B100-$D$19))+$C$7/(1+10^(B100-$D$20))-(1/(1+10^($D$17-B100))+$C$8/(1+10^($D$21-B100))+$C$9/(1+10^($D$22-B100))+$C$10/(1+10^($D$23-B100))+$C$11/(1+10^($D$24-B100))),"")</f>
        <v>0.520157675347387</v>
      </c>
    </row>
    <row r="101" customFormat="false" ht="15" hidden="false" customHeight="false" outlineLevel="0" collapsed="false">
      <c r="B101" s="17" t="n">
        <v>7.2</v>
      </c>
      <c r="C101" s="18" t="n">
        <f aca="false">IFERROR(1/(1+10^(B101-$C$16))+$C$5/(1+10^(B101-$C$18))+$C$6/(1+10^(B101-$C$19))+$C$7/(1+10^(B101-$C$20))-(1/(1+10^($C$17-B101))+$C$8/(1+10^($C$21-B101))+$C$9/(1+10^($C$22-B101))+$C$10/(1+10^($C$23-B101))+$C$11/(1+10^($C$24-B101))),"")</f>
        <v>0.460977214130692</v>
      </c>
      <c r="D101" s="18" t="n">
        <f aca="false">IFERROR(1/(1+10^(B101-$D$16))+$C$5/(1+10^(B101-$D$18))+$C$6/(1+10^(B101-$D$19))+$C$7/(1+10^(B101-$D$20))-(1/(1+10^($D$17-B101))+$C$8/(1+10^($D$21-B101))+$C$9/(1+10^($D$22-B101))+$C$10/(1+10^($D$23-B101))+$C$11/(1+10^($D$24-B101))),"")</f>
        <v>0.362152830081505</v>
      </c>
    </row>
    <row r="102" customFormat="false" ht="15" hidden="false" customHeight="false" outlineLevel="0" collapsed="false">
      <c r="B102" s="17" t="n">
        <v>7.3</v>
      </c>
      <c r="C102" s="18" t="n">
        <f aca="false">IFERROR(1/(1+10^(B102-$C$16))+$C$5/(1+10^(B102-$C$18))+$C$6/(1+10^(B102-$C$19))+$C$7/(1+10^(B102-$C$20))-(1/(1+10^($C$17-B102))+$C$8/(1+10^($C$21-B102))+$C$9/(1+10^($C$22-B102))+$C$10/(1+10^($C$23-B102))+$C$11/(1+10^($C$24-B102))),"")</f>
        <v>0.362893431204148</v>
      </c>
      <c r="D102" s="18" t="n">
        <f aca="false">IFERROR(1/(1+10^(B102-$D$16))+$C$5/(1+10^(B102-$D$18))+$C$6/(1+10^(B102-$D$19))+$C$7/(1+10^(B102-$D$20))-(1/(1+10^($D$17-B102))+$C$8/(1+10^($D$21-B102))+$C$9/(1+10^($D$22-B102))+$C$10/(1+10^($D$23-B102))+$C$11/(1+10^($D$24-B102))),"")</f>
        <v>0.214365333499884</v>
      </c>
    </row>
    <row r="103" customFormat="false" ht="15" hidden="false" customHeight="false" outlineLevel="0" collapsed="false">
      <c r="B103" s="17" t="n">
        <v>7.4</v>
      </c>
      <c r="C103" s="18" t="n">
        <f aca="false">IFERROR(1/(1+10^(B103-$C$16))+$C$5/(1+10^(B103-$C$18))+$C$6/(1+10^(B103-$C$19))+$C$7/(1+10^(B103-$C$20))-(1/(1+10^($C$17-B103))+$C$8/(1+10^($C$21-B103))+$C$9/(1+10^($C$22-B103))+$C$10/(1+10^($C$23-B103))+$C$11/(1+10^($C$24-B103))),"")</f>
        <v>0.276254830435945</v>
      </c>
      <c r="D103" s="18" t="n">
        <f aca="false">IFERROR(1/(1+10^(B103-$D$16))+$C$5/(1+10^(B103-$D$18))+$C$6/(1+10^(B103-$D$19))+$C$7/(1+10^(B103-$D$20))-(1/(1+10^($D$17-B103))+$C$8/(1+10^($D$21-B103))+$C$9/(1+10^($D$22-B103))+$C$10/(1+10^($D$23-B103))+$C$11/(1+10^($D$24-B103))),"")</f>
        <v>0.0766395169071515</v>
      </c>
    </row>
    <row r="104" customFormat="false" ht="15" hidden="false" customHeight="false" outlineLevel="0" collapsed="false">
      <c r="B104" s="17" t="n">
        <v>7.5</v>
      </c>
      <c r="C104" s="18" t="n">
        <f aca="false">IFERROR(1/(1+10^(B104-$C$16))+$C$5/(1+10^(B104-$C$18))+$C$6/(1+10^(B104-$C$19))+$C$7/(1+10^(B104-$C$20))-(1/(1+10^($C$17-B104))+$C$8/(1+10^($C$21-B104))+$C$9/(1+10^($C$22-B104))+$C$10/(1+10^($C$23-B104))+$C$11/(1+10^($C$24-B104))),"")</f>
        <v>0.199265593303942</v>
      </c>
      <c r="D104" s="18" t="n">
        <f aca="false">IFERROR(1/(1+10^(B104-$D$16))+$C$5/(1+10^(B104-$D$18))+$C$6/(1+10^(B104-$D$19))+$C$7/(1+10^(B104-$D$20))-(1/(1+10^($D$17-B104))+$C$8/(1+10^($D$21-B104))+$C$9/(1+10^($D$22-B104))+$C$10/(1+10^($D$23-B104))+$C$11/(1+10^($D$24-B104))),"")</f>
        <v>-0.0513527787588788</v>
      </c>
    </row>
    <row r="105" customFormat="false" ht="15" hidden="false" customHeight="false" outlineLevel="0" collapsed="false">
      <c r="B105" s="17" t="n">
        <v>7.6</v>
      </c>
      <c r="C105" s="18" t="n">
        <f aca="false">IFERROR(1/(1+10^(B105-$C$16))+$C$5/(1+10^(B105-$C$18))+$C$6/(1+10^(B105-$C$19))+$C$7/(1+10^(B105-$C$20))-(1/(1+10^($C$17-B105))+$C$8/(1+10^($C$21-B105))+$C$9/(1+10^($C$22-B105))+$C$10/(1+10^($C$23-B105))+$C$11/(1+10^($C$24-B105))),"")</f>
        <v>0.12995356744463</v>
      </c>
      <c r="D105" s="18" t="n">
        <f aca="false">IFERROR(1/(1+10^(B105-$D$16))+$C$5/(1+10^(B105-$D$18))+$C$6/(1+10^(B105-$D$19))+$C$7/(1+10^(B105-$D$20))-(1/(1+10^($D$17-B105))+$C$8/(1+10^($D$21-B105))+$C$9/(1+10^($D$22-B105))+$C$10/(1+10^($D$23-B105))+$C$11/(1+10^($D$24-B105))),"")</f>
        <v>-0.169910977298832</v>
      </c>
    </row>
    <row r="106" customFormat="false" ht="15" hidden="false" customHeight="false" outlineLevel="0" collapsed="false">
      <c r="B106" s="17" t="n">
        <v>7.7</v>
      </c>
      <c r="C106" s="18" t="n">
        <f aca="false">IFERROR(1/(1+10^(B106-$C$16))+$C$5/(1+10^(B106-$C$18))+$C$6/(1+10^(B106-$C$19))+$C$7/(1+10^(B106-$C$20))-(1/(1+10^($C$17-B106))+$C$8/(1+10^($C$21-B106))+$C$9/(1+10^($C$22-B106))+$C$10/(1+10^($C$23-B106))+$C$11/(1+10^($C$24-B106))),"")</f>
        <v>0.0663164860445856</v>
      </c>
      <c r="D106" s="18" t="n">
        <f aca="false">IFERROR(1/(1+10^(B106-$D$16))+$C$5/(1+10^(B106-$D$18))+$C$6/(1+10^(B106-$D$19))+$C$7/(1+10^(B106-$D$20))-(1/(1+10^($D$17-B106))+$C$8/(1+10^($D$21-B106))+$C$9/(1+10^($D$22-B106))+$C$10/(1+10^($D$23-B106))+$C$11/(1+10^($D$24-B106))),"")</f>
        <v>-0.279197522515054</v>
      </c>
    </row>
    <row r="107" customFormat="false" ht="15" hidden="false" customHeight="false" outlineLevel="0" collapsed="false">
      <c r="B107" s="17" t="n">
        <v>7.8</v>
      </c>
      <c r="C107" s="18" t="n">
        <f aca="false">IFERROR(1/(1+10^(B107-$C$16))+$C$5/(1+10^(B107-$C$18))+$C$6/(1+10^(B107-$C$19))+$C$7/(1+10^(B107-$C$20))-(1/(1+10^($C$17-B107))+$C$8/(1+10^($C$21-B107))+$C$9/(1+10^($C$22-B107))+$C$10/(1+10^($C$23-B107))+$C$11/(1+10^($C$24-B107))),"")</f>
        <v>0.00643636625302912</v>
      </c>
      <c r="D107" s="18" t="n">
        <f aca="false">IFERROR(1/(1+10^(B107-$D$16))+$C$5/(1+10^(B107-$D$18))+$C$6/(1+10^(B107-$D$19))+$C$7/(1+10^(B107-$D$20))-(1/(1+10^($D$17-B107))+$C$8/(1+10^($D$21-B107))+$C$9/(1+10^($D$22-B107))+$C$10/(1+10^($D$23-B107))+$C$11/(1+10^($D$24-B107))),"")</f>
        <v>-0.379227182677357</v>
      </c>
    </row>
    <row r="108" customFormat="false" ht="15" hidden="false" customHeight="false" outlineLevel="0" collapsed="false">
      <c r="B108" s="17" t="n">
        <v>7.9</v>
      </c>
      <c r="C108" s="18" t="n">
        <f aca="false">IFERROR(1/(1+10^(B108-$C$16))+$C$5/(1+10^(B108-$C$18))+$C$6/(1+10^(B108-$C$19))+$C$7/(1+10^(B108-$C$20))-(1/(1+10^($C$17-B108))+$C$8/(1+10^($C$21-B108))+$C$9/(1+10^($C$22-B108))+$C$10/(1+10^($C$23-B108))+$C$11/(1+10^($C$24-B108))),"")</f>
        <v>-0.0514279029581958</v>
      </c>
      <c r="D108" s="18" t="n">
        <f aca="false">IFERROR(1/(1+10^(B108-$D$16))+$C$5/(1+10^(B108-$D$18))+$C$6/(1+10^(B108-$D$19))+$C$7/(1+10^(B108-$D$20))-(1/(1+10^($D$17-B108))+$C$8/(1+10^($D$21-B108))+$C$9/(1+10^($D$22-B108))+$C$10/(1+10^($D$23-B108))+$C$11/(1+10^($D$24-B108))),"")</f>
        <v>-0.469931538817158</v>
      </c>
    </row>
    <row r="109" customFormat="false" ht="15" hidden="false" customHeight="false" outlineLevel="0" collapsed="false">
      <c r="B109" s="17" t="n">
        <v>8</v>
      </c>
      <c r="C109" s="18" t="n">
        <f aca="false">IFERROR(1/(1+10^(B109-$C$16))+$C$5/(1+10^(B109-$C$18))+$C$6/(1+10^(B109-$C$19))+$C$7/(1+10^(B109-$C$20))-(1/(1+10^($C$17-B109))+$C$8/(1+10^($C$21-B109))+$C$9/(1+10^($C$22-B109))+$C$10/(1+10^($C$23-B109))+$C$11/(1+10^($C$24-B109))),"")</f>
        <v>-0.10875990968573</v>
      </c>
      <c r="D109" s="18" t="n">
        <f aca="false">IFERROR(1/(1+10^(B109-$D$16))+$C$5/(1+10^(B109-$D$18))+$C$6/(1+10^(B109-$D$19))+$C$7/(1+10^(B109-$D$20))-(1/(1+10^($D$17-B109))+$C$8/(1+10^($D$21-B109))+$C$9/(1+10^($D$22-B109))+$C$10/(1+10^($D$23-B109))+$C$11/(1+10^($D$24-B109))),"")</f>
        <v>-0.551259960711307</v>
      </c>
    </row>
    <row r="110" customFormat="false" ht="15" hidden="false" customHeight="false" outlineLevel="0" collapsed="false">
      <c r="B110" s="17" t="n">
        <v>8.1</v>
      </c>
      <c r="C110" s="18" t="n">
        <f aca="false">IFERROR(1/(1+10^(B110-$C$16))+$C$5/(1+10^(B110-$C$18))+$C$6/(1+10^(B110-$C$19))+$C$7/(1+10^(B110-$C$20))-(1/(1+10^($C$17-B110))+$C$8/(1+10^($C$21-B110))+$C$9/(1+10^($C$22-B110))+$C$10/(1+10^($C$23-B110))+$C$11/(1+10^($C$24-B110))),"")</f>
        <v>-0.166711348924401</v>
      </c>
      <c r="D110" s="18" t="n">
        <f aca="false">IFERROR(1/(1+10^(B110-$D$16))+$C$5/(1+10^(B110-$D$18))+$C$6/(1+10^(B110-$D$19))+$C$7/(1+10^(B110-$D$20))-(1/(1+10^($D$17-B110))+$C$8/(1+10^($D$21-B110))+$C$9/(1+10^($D$22-B110))+$C$10/(1+10^($D$23-B110))+$C$11/(1+10^($D$24-B110))),"")</f>
        <v>-0.623276612273312</v>
      </c>
    </row>
    <row r="111" customFormat="false" ht="15" hidden="false" customHeight="false" outlineLevel="0" collapsed="false">
      <c r="B111" s="17" t="n">
        <v>8.2</v>
      </c>
      <c r="C111" s="18" t="n">
        <f aca="false">IFERROR(1/(1+10^(B111-$C$16))+$C$5/(1+10^(B111-$C$18))+$C$6/(1+10^(B111-$C$19))+$C$7/(1+10^(B111-$C$20))-(1/(1+10^($C$17-B111))+$C$8/(1+10^($C$21-B111))+$C$9/(1+10^($C$22-B111))+$C$10/(1+10^($C$23-B111))+$C$11/(1+10^($C$24-B111))),"")</f>
        <v>-0.226035219099689</v>
      </c>
      <c r="D111" s="18" t="n">
        <f aca="false">IFERROR(1/(1+10^(B111-$D$16))+$C$5/(1+10^(B111-$D$18))+$C$6/(1+10^(B111-$D$19))+$C$7/(1+10^(B111-$D$20))-(1/(1+10^($D$17-B111))+$C$8/(1+10^($D$21-B111))+$C$9/(1+10^($D$22-B111))+$C$10/(1+10^($D$23-B111))+$C$11/(1+10^($D$24-B111))),"")</f>
        <v>-0.686224234901319</v>
      </c>
    </row>
    <row r="112" customFormat="false" ht="15" hidden="false" customHeight="false" outlineLevel="0" collapsed="false">
      <c r="B112" s="17" t="n">
        <v>8.3</v>
      </c>
      <c r="C112" s="18" t="n">
        <f aca="false">IFERROR(1/(1+10^(B112-$C$16))+$C$5/(1+10^(B112-$C$18))+$C$6/(1+10^(B112-$C$19))+$C$7/(1+10^(B112-$C$20))-(1/(1+10^($C$17-B112))+$C$8/(1+10^($C$21-B112))+$C$9/(1+10^($C$22-B112))+$C$10/(1+10^($C$23-B112))+$C$11/(1+10^($C$24-B112))),"")</f>
        <v>-0.287035636466339</v>
      </c>
      <c r="D112" s="18" t="n">
        <f aca="false">IFERROR(1/(1+10^(B112-$D$16))+$C$5/(1+10^(B112-$D$18))+$C$6/(1+10^(B112-$D$19))+$C$7/(1+10^(B112-$D$20))-(1/(1+10^($D$17-B112))+$C$8/(1+10^($D$21-B112))+$C$9/(1+10^($D$22-B112))+$C$10/(1+10^($D$23-B112))+$C$11/(1+10^($D$24-B112))),"")</f>
        <v>-0.740543079569159</v>
      </c>
    </row>
    <row r="113" customFormat="false" ht="15" hidden="false" customHeight="false" outlineLevel="0" collapsed="false">
      <c r="B113" s="17" t="n">
        <v>8.4</v>
      </c>
      <c r="C113" s="18" t="n">
        <f aca="false">IFERROR(1/(1+10^(B113-$C$16))+$C$5/(1+10^(B113-$C$18))+$C$6/(1+10^(B113-$C$19))+$C$7/(1+10^(B113-$C$20))-(1/(1+10^($C$17-B113))+$C$8/(1+10^($C$21-B113))+$C$9/(1+10^($C$22-B113))+$C$10/(1+10^($C$23-B113))+$C$11/(1+10^($C$24-B113))),"")</f>
        <v>-0.34954912540279</v>
      </c>
      <c r="D113" s="18" t="n">
        <f aca="false">IFERROR(1/(1+10^(B113-$D$16))+$C$5/(1+10^(B113-$D$18))+$C$6/(1+10^(B113-$D$19))+$C$7/(1+10^(B113-$D$20))-(1/(1+10^($D$17-B113))+$C$8/(1+10^($D$21-B113))+$C$9/(1+10^($D$22-B113))+$C$10/(1+10^($D$23-B113))+$C$11/(1+10^($D$24-B113))),"")</f>
        <v>-0.786849539238697</v>
      </c>
    </row>
    <row r="114" customFormat="false" ht="15" hidden="false" customHeight="false" outlineLevel="0" collapsed="false">
      <c r="B114" s="17" t="n">
        <v>8.5</v>
      </c>
      <c r="C114" s="18" t="n">
        <f aca="false">IFERROR(1/(1+10^(B114-$C$16))+$C$5/(1+10^(B114-$C$18))+$C$6/(1+10^(B114-$C$19))+$C$7/(1+10^(B114-$C$20))-(1/(1+10^($C$17-B114))+$C$8/(1+10^($C$21-B114))+$C$9/(1+10^($C$22-B114))+$C$10/(1+10^($C$23-B114))+$C$11/(1+10^($C$24-B114))),"")</f>
        <v>-0.412972806845047</v>
      </c>
      <c r="D114" s="18" t="n">
        <f aca="false">IFERROR(1/(1+10^(B114-$D$16))+$C$5/(1+10^(B114-$D$18))+$C$6/(1+10^(B114-$D$19))+$C$7/(1+10^(B114-$D$20))-(1/(1+10^($D$17-B114))+$C$8/(1+10^($D$21-B114))+$C$9/(1+10^($D$22-B114))+$C$10/(1+10^($D$23-B114))+$C$11/(1+10^($D$24-B114))),"")</f>
        <v>-0.825888596099829</v>
      </c>
    </row>
    <row r="115" customFormat="false" ht="15" hidden="false" customHeight="false" outlineLevel="0" collapsed="false">
      <c r="B115" s="17" t="n">
        <v>8.6</v>
      </c>
      <c r="C115" s="18" t="n">
        <f aca="false">IFERROR(1/(1+10^(B115-$C$16))+$C$5/(1+10^(B115-$C$18))+$C$6/(1+10^(B115-$C$19))+$C$7/(1+10^(B115-$C$20))-(1/(1+10^($C$17-B115))+$C$8/(1+10^($C$21-B115))+$C$9/(1+10^($C$22-B115))+$C$10/(1+10^($C$23-B115))+$C$11/(1+10^($C$24-B115))),"")</f>
        <v>-0.476347948549008</v>
      </c>
      <c r="D115" s="18" t="n">
        <f aca="false">IFERROR(1/(1+10^(B115-$D$16))+$C$5/(1+10^(B115-$D$18))+$C$6/(1+10^(B115-$D$19))+$C$7/(1+10^(B115-$D$20))-(1/(1+10^($D$17-B115))+$C$8/(1+10^($D$21-B115))+$C$9/(1+10^($D$22-B115))+$C$10/(1+10^($D$23-B115))+$C$11/(1+10^($D$24-B115))),"")</f>
        <v>-0.858476248077636</v>
      </c>
    </row>
    <row r="116" customFormat="false" ht="15" hidden="false" customHeight="false" outlineLevel="0" collapsed="false">
      <c r="B116" s="17" t="n">
        <v>8.7</v>
      </c>
      <c r="C116" s="18" t="n">
        <f aca="false">IFERROR(1/(1+10^(B116-$C$16))+$C$5/(1+10^(B116-$C$18))+$C$6/(1+10^(B116-$C$19))+$C$7/(1+10^(B116-$C$20))-(1/(1+10^($C$17-B116))+$C$8/(1+10^($C$21-B116))+$C$9/(1+10^($C$22-B116))+$C$10/(1+10^($C$23-B116))+$C$11/(1+10^($C$24-B116))),"")</f>
        <v>-0.538493653518739</v>
      </c>
      <c r="D116" s="18" t="n">
        <f aca="false">IFERROR(1/(1+10^(B116-$D$16))+$C$5/(1+10^(B116-$D$18))+$C$6/(1+10^(B116-$D$19))+$C$7/(1+10^(B116-$D$20))-(1/(1+10^($D$17-B116))+$C$8/(1+10^($D$21-B116))+$C$9/(1+10^($D$22-B116))+$C$10/(1+10^($D$23-B116))+$C$11/(1+10^($D$24-B116))),"")</f>
        <v>-0.885444876484061</v>
      </c>
    </row>
    <row r="117" customFormat="false" ht="15" hidden="false" customHeight="false" outlineLevel="0" collapsed="false">
      <c r="B117" s="17" t="n">
        <v>8.8</v>
      </c>
      <c r="C117" s="18" t="n">
        <f aca="false">IFERROR(1/(1+10^(B117-$C$16))+$C$5/(1+10^(B117-$C$18))+$C$6/(1+10^(B117-$C$19))+$C$7/(1+10^(B117-$C$20))-(1/(1+10^($C$17-B117))+$C$8/(1+10^($C$21-B117))+$C$9/(1+10^($C$22-B117))+$C$10/(1+10^($C$23-B117))+$C$11/(1+10^($C$24-B117))),"")</f>
        <v>-0.598169874409446</v>
      </c>
      <c r="D117" s="18" t="n">
        <f aca="false">IFERROR(1/(1+10^(B117-$D$16))+$C$5/(1+10^(B117-$D$18))+$C$6/(1+10^(B117-$D$19))+$C$7/(1+10^(B117-$D$20))-(1/(1+10^($D$17-B117))+$C$8/(1+10^($D$21-B117))+$C$9/(1+10^($D$22-B117))+$C$10/(1+10^($D$23-B117))+$C$11/(1+10^($D$24-B117))),"")</f>
        <v>-0.907599244590465</v>
      </c>
    </row>
    <row r="118" customFormat="false" ht="15" hidden="false" customHeight="false" outlineLevel="0" collapsed="false">
      <c r="B118" s="17" t="n">
        <v>8.9</v>
      </c>
      <c r="C118" s="18" t="n">
        <f aca="false">IFERROR(1/(1+10^(B118-$C$16))+$C$5/(1+10^(B118-$C$18))+$C$6/(1+10^(B118-$C$19))+$C$7/(1+10^(B118-$C$20))-(1/(1+10^($C$17-B118))+$C$8/(1+10^($C$21-B118))+$C$9/(1+10^($C$22-B118))+$C$10/(1+10^($C$23-B118))+$C$11/(1+10^($C$24-B118))),"")</f>
        <v>-0.654238555878448</v>
      </c>
      <c r="D118" s="18" t="n">
        <f aca="false">IFERROR(1/(1+10^(B118-$D$16))+$C$5/(1+10^(B118-$D$18))+$C$6/(1+10^(B118-$D$19))+$C$7/(1+10^(B118-$D$20))-(1/(1+10^($D$17-B118))+$C$8/(1+10^($D$21-B118))+$C$9/(1+10^($D$22-B118))+$C$10/(1+10^($D$23-B118))+$C$11/(1+10^($D$24-B118))),"")</f>
        <v>-0.925685908807047</v>
      </c>
    </row>
    <row r="119" customFormat="false" ht="15" hidden="false" customHeight="false" outlineLevel="0" collapsed="false">
      <c r="B119" s="17" t="n">
        <v>9</v>
      </c>
      <c r="C119" s="18" t="n">
        <f aca="false">IFERROR(1/(1+10^(B119-$C$16))+$C$5/(1+10^(B119-$C$18))+$C$6/(1+10^(B119-$C$19))+$C$7/(1+10^(B119-$C$20))-(1/(1+10^($C$17-B119))+$C$8/(1+10^($C$21-B119))+$C$9/(1+10^($C$22-B119))+$C$10/(1+10^($C$23-B119))+$C$11/(1+10^($C$24-B119))),"")</f>
        <v>-0.705791842443561</v>
      </c>
      <c r="D119" s="18" t="n">
        <f aca="false">IFERROR(1/(1+10^(B119-$D$16))+$C$5/(1+10^(B119-$D$18))+$C$6/(1+10^(B119-$D$19))+$C$7/(1+10^(B119-$D$20))-(1/(1+10^($D$17-B119))+$C$8/(1+10^($D$21-B119))+$C$9/(1+10^($D$22-B119))+$C$10/(1+10^($D$23-B119))+$C$11/(1+10^($D$24-B119))),"")</f>
        <v>-0.940375426850006</v>
      </c>
    </row>
    <row r="120" customFormat="false" ht="15" hidden="false" customHeight="false" outlineLevel="0" collapsed="false">
      <c r="B120" s="17" t="n">
        <v>9.1</v>
      </c>
      <c r="C120" s="18" t="n">
        <f aca="false">IFERROR(1/(1+10^(B120-$C$16))+$C$5/(1+10^(B120-$C$18))+$C$6/(1+10^(B120-$C$19))+$C$7/(1+10^(B120-$C$20))-(1/(1+10^($C$17-B120))+$C$8/(1+10^($C$21-B120))+$C$9/(1+10^($C$22-B120))+$C$10/(1+10^($C$23-B120))+$C$11/(1+10^($C$24-B120))),"")</f>
        <v>-0.752226986378441</v>
      </c>
      <c r="D120" s="18" t="n">
        <f aca="false">IFERROR(1/(1+10^(B120-$D$16))+$C$5/(1+10^(B120-$D$18))+$C$6/(1+10^(B120-$D$19))+$C$7/(1+10^(B120-$D$20))-(1/(1+10^($D$17-B120))+$C$8/(1+10^($D$21-B120))+$C$9/(1+10^($D$22-B120))+$C$10/(1+10^($D$23-B120))+$C$11/(1+10^($D$24-B120))),"")</f>
        <v>-0.952254983677284</v>
      </c>
    </row>
    <row r="121" customFormat="false" ht="15" hidden="false" customHeight="false" outlineLevel="0" collapsed="false">
      <c r="B121" s="17" t="n">
        <v>9.2</v>
      </c>
      <c r="C121" s="18" t="n">
        <f aca="false">IFERROR(1/(1+10^(B121-$C$16))+$C$5/(1+10^(B121-$C$18))+$C$6/(1+10^(B121-$C$19))+$C$7/(1+10^(B121-$C$20))-(1/(1+10^($C$17-B121))+$C$8/(1+10^($C$21-B121))+$C$9/(1+10^($C$22-B121))+$C$10/(1+10^($C$23-B121))+$C$11/(1+10^($C$24-B121))),"")</f>
        <v>-0.793263611694591</v>
      </c>
      <c r="D121" s="18" t="n">
        <f aca="false">IFERROR(1/(1+10^(B121-$D$16))+$C$5/(1+10^(B121-$D$18))+$C$6/(1+10^(B121-$D$19))+$C$7/(1+10^(B121-$D$20))-(1/(1+10^($D$17-B121))+$C$8/(1+10^($D$21-B121))+$C$9/(1+10^($D$22-B121))+$C$10/(1+10^($D$23-B121))+$C$11/(1+10^($D$24-B121))),"")</f>
        <v>-0.9618285330426</v>
      </c>
    </row>
    <row r="122" customFormat="false" ht="15" hidden="false" customHeight="false" outlineLevel="0" collapsed="false">
      <c r="B122" s="17" t="n">
        <v>9.3</v>
      </c>
      <c r="C122" s="18" t="n">
        <f aca="false">IFERROR(1/(1+10^(B122-$C$16))+$C$5/(1+10^(B122-$C$18))+$C$6/(1+10^(B122-$C$19))+$C$7/(1+10^(B122-$C$20))-(1/(1+10^($C$17-B122))+$C$8/(1+10^($C$21-B122))+$C$9/(1+10^($C$22-B122))+$C$10/(1+10^($C$23-B122))+$C$11/(1+10^($C$24-B122))),"")</f>
        <v>-0.828913318082699</v>
      </c>
      <c r="D122" s="18" t="n">
        <f aca="false">IFERROR(1/(1+10^(B122-$D$16))+$C$5/(1+10^(B122-$D$18))+$C$6/(1+10^(B122-$D$19))+$C$7/(1+10^(B122-$D$20))-(1/(1+10^($D$17-B122))+$C$8/(1+10^($D$21-B122))+$C$9/(1+10^($D$22-B122))+$C$10/(1+10^($D$23-B122))+$C$11/(1+10^($D$24-B122))),"")</f>
        <v>-0.969521764938479</v>
      </c>
    </row>
    <row r="123" customFormat="false" ht="15" hidden="false" customHeight="false" outlineLevel="0" collapsed="false">
      <c r="B123" s="17" t="n">
        <v>9.4</v>
      </c>
      <c r="C123" s="18" t="n">
        <f aca="false">IFERROR(1/(1+10^(B123-$C$16))+$C$5/(1+10^(B123-$C$18))+$C$6/(1+10^(B123-$C$19))+$C$7/(1+10^(B123-$C$20))-(1/(1+10^($C$17-B123))+$C$8/(1+10^($C$21-B123))+$C$9/(1+10^($C$22-B123))+$C$10/(1+10^($C$23-B123))+$C$11/(1+10^($C$24-B123))),"")</f>
        <v>-0.859419498972044</v>
      </c>
      <c r="D123" s="18" t="n">
        <f aca="false">IFERROR(1/(1+10^(B123-$D$16))+$C$5/(1+10^(B123-$D$18))+$C$6/(1+10^(B123-$D$19))+$C$7/(1+10^(B123-$D$20))-(1/(1+10^($D$17-B123))+$C$8/(1+10^($D$21-B123))+$C$9/(1+10^($D$22-B123))+$C$10/(1+10^($D$23-B123))+$C$11/(1+10^($D$24-B123))),"")</f>
        <v>-0.975689745957412</v>
      </c>
    </row>
    <row r="124" customFormat="false" ht="15" hidden="false" customHeight="false" outlineLevel="0" collapsed="false">
      <c r="B124" s="17" t="n">
        <v>9.5</v>
      </c>
      <c r="C124" s="18" t="n">
        <f aca="false">IFERROR(1/(1+10^(B124-$C$16))+$C$5/(1+10^(B124-$C$18))+$C$6/(1+10^(B124-$C$19))+$C$7/(1+10^(B124-$C$20))-(1/(1+10^($C$17-B124))+$C$8/(1+10^($C$21-B124))+$C$9/(1+10^($C$22-B124))+$C$10/(1+10^($C$23-B124))+$C$11/(1+10^($C$24-B124))),"")</f>
        <v>-0.885185968301053</v>
      </c>
      <c r="D124" s="18" t="n">
        <f aca="false">IFERROR(1/(1+10^(B124-$D$16))+$C$5/(1+10^(B124-$D$18))+$C$6/(1+10^(B124-$D$19))+$C$7/(1+10^(B124-$D$20))-(1/(1+10^($D$17-B124))+$C$8/(1+10^($D$21-B124))+$C$9/(1+10^($D$22-B124))+$C$10/(1+10^($D$23-B124))+$C$11/(1+10^($D$24-B124))),"")</f>
        <v>-0.980625679267158</v>
      </c>
    </row>
    <row r="125" customFormat="false" ht="15" hidden="false" customHeight="false" outlineLevel="0" collapsed="false">
      <c r="B125" s="17" t="n">
        <v>9.6</v>
      </c>
      <c r="C125" s="18" t="n">
        <f aca="false">IFERROR(1/(1+10^(B125-$C$16))+$C$5/(1+10^(B125-$C$18))+$C$6/(1+10^(B125-$C$19))+$C$7/(1+10^(B125-$C$20))-(1/(1+10^($C$17-B125))+$C$8/(1+10^($C$21-B125))+$C$9/(1+10^($C$22-B125))+$C$10/(1+10^($C$23-B125))+$C$11/(1+10^($C$24-B125))),"")</f>
        <v>-0.906708815757402</v>
      </c>
      <c r="D125" s="18" t="n">
        <f aca="false">IFERROR(1/(1+10^(B125-$D$16))+$C$5/(1+10^(B125-$D$18))+$C$6/(1+10^(B125-$D$19))+$C$7/(1+10^(B125-$D$20))-(1/(1+10^($D$17-B125))+$C$8/(1+10^($D$21-B125))+$C$9/(1+10^($D$22-B125))+$C$10/(1+10^($D$23-B125))+$C$11/(1+10^($D$24-B125))),"")</f>
        <v>-0.984569760561572</v>
      </c>
    </row>
    <row r="126" customFormat="false" ht="15" hidden="false" customHeight="false" outlineLevel="0" collapsed="false">
      <c r="B126" s="17" t="n">
        <v>9.7</v>
      </c>
      <c r="C126" s="18" t="n">
        <f aca="false">IFERROR(1/(1+10^(B126-$C$16))+$C$5/(1+10^(B126-$C$18))+$C$6/(1+10^(B126-$C$19))+$C$7/(1+10^(B126-$C$20))-(1/(1+10^($C$17-B126))+$C$8/(1+10^($C$21-B126))+$C$9/(1+10^($C$22-B126))+$C$10/(1+10^($C$23-B126))+$C$11/(1+10^($C$24-B126))),"")</f>
        <v>-0.924519971089803</v>
      </c>
      <c r="D126" s="18" t="n">
        <f aca="false">IFERROR(1/(1+10^(B126-$D$16))+$C$5/(1+10^(B126-$D$18))+$C$6/(1+10^(B126-$D$19))+$C$7/(1+10^(B126-$D$20))-(1/(1+10^($D$17-B126))+$C$8/(1+10^($D$21-B126))+$C$9/(1+10^($D$22-B126))+$C$10/(1+10^($D$23-B126))+$C$11/(1+10^($D$24-B126))),"")</f>
        <v>-0.98771751845947</v>
      </c>
    </row>
    <row r="127" customFormat="false" ht="15" hidden="false" customHeight="false" outlineLevel="0" collapsed="false">
      <c r="B127" s="17" t="n">
        <v>9.8</v>
      </c>
      <c r="C127" s="18" t="n">
        <f aca="false">IFERROR(1/(1+10^(B127-$C$16))+$C$5/(1+10^(B127-$C$18))+$C$6/(1+10^(B127-$C$19))+$C$7/(1+10^(B127-$C$20))-(1/(1+10^($C$17-B127))+$C$8/(1+10^($C$21-B127))+$C$9/(1+10^($C$22-B127))+$C$10/(1+10^($C$23-B127))+$C$11/(1+10^($C$24-B127))),"")</f>
        <v>-0.939145617427846</v>
      </c>
      <c r="D127" s="18" t="n">
        <f aca="false">IFERROR(1/(1+10^(B127-$D$16))+$C$5/(1+10^(B127-$D$18))+$C$6/(1+10^(B127-$D$19))+$C$7/(1+10^(B127-$D$20))-(1/(1+10^($D$17-B127))+$C$8/(1+10^($D$21-B127))+$C$9/(1+10^($D$22-B127))+$C$10/(1+10^($D$23-B127))+$C$11/(1+10^($D$24-B127))),"")</f>
        <v>-0.990227321456984</v>
      </c>
    </row>
    <row r="128" customFormat="false" ht="15" hidden="false" customHeight="false" outlineLevel="0" collapsed="false">
      <c r="B128" s="17" t="n">
        <v>9.9</v>
      </c>
      <c r="C128" s="18" t="n">
        <f aca="false">IFERROR(1/(1+10^(B128-$C$16))+$C$5/(1+10^(B128-$C$18))+$C$6/(1+10^(B128-$C$19))+$C$7/(1+10^(B128-$C$20))-(1/(1+10^($C$17-B128))+$C$8/(1+10^($C$21-B128))+$C$9/(1+10^($C$22-B128))+$C$10/(1+10^($C$23-B128))+$C$11/(1+10^($C$24-B128))),"")</f>
        <v>-0.951078931545899</v>
      </c>
      <c r="D128" s="18" t="n">
        <f aca="false">IFERROR(1/(1+10^(B128-$D$16))+$C$5/(1+10^(B128-$D$18))+$C$6/(1+10^(B128-$D$19))+$C$7/(1+10^(B128-$D$20))-(1/(1+10^($D$17-B128))+$C$8/(1+10^($D$21-B128))+$C$9/(1+10^($D$22-B128))+$C$10/(1+10^($D$23-B128))+$C$11/(1+10^($D$24-B128))),"")</f>
        <v>-0.992226927957545</v>
      </c>
    </row>
    <row r="129" customFormat="false" ht="15" hidden="false" customHeight="false" outlineLevel="0" collapsed="false">
      <c r="B129" s="17" t="n">
        <v>10</v>
      </c>
      <c r="C129" s="18" t="n">
        <f aca="false">IFERROR(1/(1+10^(B129-$C$16))+$C$5/(1+10^(B129-$C$18))+$C$6/(1+10^(B129-$C$19))+$C$7/(1+10^(B129-$C$20))-(1/(1+10^($C$17-B129))+$C$8/(1+10^($C$21-B129))+$C$9/(1+10^($C$22-B129))+$C$10/(1+10^($C$23-B129))+$C$11/(1+10^($C$24-B129))),"")</f>
        <v>-0.960764714617844</v>
      </c>
      <c r="D129" s="18" t="n">
        <f aca="false">IFERROR(1/(1+10^(B129-$D$16))+$C$5/(1+10^(B129-$D$18))+$C$6/(1+10^(B129-$D$19))+$C$7/(1+10^(B129-$D$20))-(1/(1+10^($D$17-B129))+$C$8/(1+10^($D$21-B129))+$C$9/(1+10^($D$22-B129))+$C$10/(1+10^($D$23-B129))+$C$11/(1+10^($D$24-B129))),"")</f>
        <v>-0.993819075504206</v>
      </c>
    </row>
    <row r="130" customFormat="false" ht="15" hidden="false" customHeight="false" outlineLevel="0" collapsed="false">
      <c r="B130" s="17" t="n">
        <v>10.1</v>
      </c>
      <c r="C130" s="18" t="n">
        <f aca="false">IFERROR(1/(1+10^(B130-$C$16))+$C$5/(1+10^(B130-$C$18))+$C$6/(1+10^(B130-$C$19))+$C$7/(1+10^(B130-$C$20))-(1/(1+10^($C$17-B130))+$C$8/(1+10^($C$21-B130))+$C$9/(1+10^($C$22-B130))+$C$10/(1+10^($C$23-B130))+$C$11/(1+10^($C$24-B130))),"")</f>
        <v>-0.968592877050834</v>
      </c>
      <c r="D130" s="18" t="n">
        <f aca="false">IFERROR(1/(1+10^(B130-$D$16))+$C$5/(1+10^(B130-$D$18))+$C$6/(1+10^(B130-$D$19))+$C$7/(1+10^(B130-$D$20))-(1/(1+10^($D$17-B130))+$C$8/(1+10^($D$21-B130))+$C$9/(1+10^($D$22-B130))+$C$10/(1+10^($D$23-B130))+$C$11/(1+10^($D$24-B130))),"")</f>
        <v>-0.995086172498665</v>
      </c>
    </row>
    <row r="131" customFormat="false" ht="15" hidden="false" customHeight="false" outlineLevel="0" collapsed="false">
      <c r="B131" s="17" t="n">
        <v>10.2</v>
      </c>
      <c r="C131" s="18" t="n">
        <f aca="false">IFERROR(1/(1+10^(B131-$C$16))+$C$5/(1+10^(B131-$C$18))+$C$6/(1+10^(B131-$C$19))+$C$7/(1+10^(B131-$C$20))-(1/(1+10^($C$17-B131))+$C$8/(1+10^($C$21-B131))+$C$9/(1+10^($C$22-B131))+$C$10/(1+10^($C$23-B131))+$C$11/(1+10^($C$24-B131))),"")</f>
        <v>-0.974897921974919</v>
      </c>
      <c r="D131" s="18" t="n">
        <f aca="false">IFERROR(1/(1+10^(B131-$D$16))+$C$5/(1+10^(B131-$D$18))+$C$6/(1+10^(B131-$D$19))+$C$7/(1+10^(B131-$D$20))-(1/(1+10^($D$17-B131))+$C$8/(1+10^($D$21-B131))+$C$9/(1+10^($D$22-B131))+$C$10/(1+10^($D$23-B131))+$C$11/(1+10^($D$24-B131))),"")</f>
        <v>-0.99609418823443</v>
      </c>
    </row>
    <row r="132" customFormat="false" ht="15" hidden="false" customHeight="false" outlineLevel="0" collapsed="false">
      <c r="B132" s="17" t="n">
        <v>10.3</v>
      </c>
      <c r="C132" s="18" t="n">
        <f aca="false">IFERROR(1/(1+10^(B132-$C$16))+$C$5/(1+10^(B132-$C$18))+$C$6/(1+10^(B132-$C$19))+$C$7/(1+10^(B132-$C$20))-(1/(1+10^($C$17-B132))+$C$8/(1+10^($C$21-B132))+$C$9/(1+10^($C$22-B132))+$C$10/(1+10^($C$23-B132))+$C$11/(1+10^($C$24-B132))),"")</f>
        <v>-0.979962103988142</v>
      </c>
      <c r="D132" s="18" t="n">
        <f aca="false">IFERROR(1/(1+10^(B132-$D$16))+$C$5/(1+10^(B132-$D$18))+$C$6/(1+10^(B132-$D$19))+$C$7/(1+10^(B132-$D$20))-(1/(1+10^($D$17-B132))+$C$8/(1+10^($D$21-B132))+$C$9/(1+10^($D$22-B132))+$C$10/(1+10^($D$23-B132))+$C$11/(1+10^($D$24-B132))),"")</f>
        <v>-0.99689584804656</v>
      </c>
    </row>
    <row r="133" customFormat="false" ht="15" hidden="false" customHeight="false" outlineLevel="0" collapsed="false">
      <c r="B133" s="17" t="n">
        <v>10.4</v>
      </c>
      <c r="C133" s="18" t="n">
        <f aca="false">IFERROR(1/(1+10^(B133-$C$16))+$C$5/(1+10^(B133-$C$18))+$C$6/(1+10^(B133-$C$19))+$C$7/(1+10^(B133-$C$20))-(1/(1+10^($C$17-B133))+$C$8/(1+10^($C$21-B133))+$C$9/(1+10^($C$22-B133))+$C$10/(1+10^($C$23-B133))+$C$11/(1+10^($C$24-B133))),"")</f>
        <v>-0.984020549186149</v>
      </c>
      <c r="D133" s="18" t="n">
        <f aca="false">IFERROR(1/(1+10^(B133-$D$16))+$C$5/(1+10^(B133-$D$18))+$C$6/(1+10^(B133-$D$19))+$C$7/(1+10^(B133-$D$20))-(1/(1+10^($D$17-B133))+$C$8/(1+10^($D$21-B133))+$C$9/(1+10^($D$22-B133))+$C$10/(1+10^($D$23-B133))+$C$11/(1+10^($D$24-B133))),"")</f>
        <v>-0.997533238783368</v>
      </c>
    </row>
    <row r="134" customFormat="false" ht="15" hidden="false" customHeight="false" outlineLevel="0" collapsed="false">
      <c r="B134" s="17" t="n">
        <v>10.5</v>
      </c>
      <c r="C134" s="18" t="n">
        <f aca="false">IFERROR(1/(1+10^(B134-$C$16))+$C$5/(1+10^(B134-$C$18))+$C$6/(1+10^(B134-$C$19))+$C$7/(1+10^(B134-$C$20))-(1/(1+10^($C$17-B134))+$C$8/(1+10^($C$21-B134))+$C$9/(1+10^($C$22-B134))+$C$10/(1+10^($C$23-B134))+$C$11/(1+10^($C$24-B134))),"")</f>
        <v>-0.987267168850033</v>
      </c>
      <c r="D134" s="18" t="n">
        <f aca="false">IFERROR(1/(1+10^(B134-$D$16))+$C$5/(1+10^(B134-$D$18))+$C$6/(1+10^(B134-$D$19))+$C$7/(1+10^(B134-$D$20))-(1/(1+10^($D$17-B134))+$C$8/(1+10^($D$21-B134))+$C$9/(1+10^($D$22-B134))+$C$10/(1+10^($D$23-B134))+$C$11/(1+10^($D$24-B134))),"")</f>
        <v>-0.99803992154074</v>
      </c>
    </row>
    <row r="135" customFormat="false" ht="15" hidden="false" customHeight="false" outlineLevel="0" collapsed="false">
      <c r="B135" s="17" t="n">
        <v>10.6</v>
      </c>
      <c r="C135" s="18" t="n">
        <f aca="false">IFERROR(1/(1+10^(B135-$C$16))+$C$5/(1+10^(B135-$C$18))+$C$6/(1+10^(B135-$C$19))+$C$7/(1+10^(B135-$C$20))-(1/(1+10^($C$17-B135))+$C$8/(1+10^($C$21-B135))+$C$9/(1+10^($C$22-B135))+$C$10/(1+10^($C$23-B135))+$C$11/(1+10^($C$24-B135))),"")</f>
        <v>-0.9898606303578</v>
      </c>
      <c r="D135" s="18" t="n">
        <f aca="false">IFERROR(1/(1+10^(B135-$D$16))+$C$5/(1+10^(B135-$D$18))+$C$6/(1+10^(B135-$D$19))+$C$7/(1+10^(B135-$D$20))-(1/(1+10^($D$17-B135))+$C$8/(1+10^($D$21-B135))+$C$9/(1+10^($D$22-B135))+$C$10/(1+10^($D$23-B135))+$C$11/(1+10^($D$24-B135))),"")</f>
        <v>-0.998442637366924</v>
      </c>
    </row>
    <row r="136" customFormat="false" ht="15" hidden="false" customHeight="false" outlineLevel="0" collapsed="false">
      <c r="B136" s="17" t="n">
        <v>10.7</v>
      </c>
      <c r="C136" s="18" t="n">
        <f aca="false">IFERROR(1/(1+10^(B136-$C$16))+$C$5/(1+10^(B136-$C$18))+$C$6/(1+10^(B136-$C$19))+$C$7/(1+10^(B136-$C$20))-(1/(1+10^($C$17-B136))+$C$8/(1+10^($C$21-B136))+$C$9/(1+10^($C$22-B136))+$C$10/(1+10^($C$23-B136))+$C$11/(1+10^($C$24-B136))),"")</f>
        <v>-0.99192996145597</v>
      </c>
      <c r="D136" s="18" t="n">
        <f aca="false">IFERROR(1/(1+10^(B136-$D$16))+$C$5/(1+10^(B136-$D$18))+$C$6/(1+10^(B136-$D$19))+$C$7/(1+10^(B136-$D$20))-(1/(1+10^($D$17-B136))+$C$8/(1+10^($D$21-B136))+$C$9/(1+10^($D$22-B136))+$C$10/(1+10^($D$23-B136))+$C$11/(1+10^($D$24-B136))),"")</f>
        <v>-0.998762679647083</v>
      </c>
    </row>
    <row r="137" customFormat="false" ht="15" hidden="false" customHeight="false" outlineLevel="0" collapsed="false">
      <c r="B137" s="17" t="n">
        <v>10.8</v>
      </c>
      <c r="C137" s="18" t="n">
        <f aca="false">IFERROR(1/(1+10^(B137-$C$16))+$C$5/(1+10^(B137-$C$18))+$C$6/(1+10^(B137-$C$19))+$C$7/(1+10^(B137-$C$20))-(1/(1+10^($C$17-B137))+$C$8/(1+10^($C$21-B137))+$C$9/(1+10^($C$22-B137))+$C$10/(1+10^($C$23-B137))+$C$11/(1+10^($C$24-B137))),"")</f>
        <v>-0.993579575928029</v>
      </c>
      <c r="D137" s="18" t="n">
        <f aca="false">IFERROR(1/(1+10^(B137-$D$16))+$C$5/(1+10^(B137-$D$18))+$C$6/(1+10^(B137-$D$19))+$C$7/(1+10^(B137-$D$20))-(1/(1+10^($D$17-B137))+$C$8/(1+10^($D$21-B137))+$C$9/(1+10^($D$22-B137))+$C$10/(1+10^($D$23-B137))+$C$11/(1+10^($D$24-B137))),"")</f>
        <v>-0.999016995338173</v>
      </c>
    </row>
    <row r="138" customFormat="false" ht="15" hidden="false" customHeight="false" outlineLevel="0" collapsed="false">
      <c r="B138" s="17" t="n">
        <v>10.9</v>
      </c>
      <c r="C138" s="18" t="n">
        <f aca="false">IFERROR(1/(1+10^(B138-$C$16))+$C$5/(1+10^(B138-$C$18))+$C$6/(1+10^(B138-$C$19))+$C$7/(1+10^(B138-$C$20))-(1/(1+10^($C$17-B138))+$C$8/(1+10^($C$21-B138))+$C$9/(1+10^($C$22-B138))+$C$10/(1+10^($C$23-B138))+$C$11/(1+10^($C$24-B138))),"")</f>
        <v>-0.994893643747915</v>
      </c>
      <c r="D138" s="18" t="n">
        <f aca="false">IFERROR(1/(1+10^(B138-$D$16))+$C$5/(1+10^(B138-$D$18))+$C$6/(1+10^(B138-$D$19))+$C$7/(1+10^(B138-$D$20))-(1/(1+10^($D$17-B138))+$C$8/(1+10^($D$21-B138))+$C$9/(1+10^($D$22-B138))+$C$10/(1+10^($D$23-B138))+$C$11/(1+10^($D$24-B138))),"")</f>
        <v>-0.99921906675799</v>
      </c>
    </row>
    <row r="139" customFormat="false" ht="15" hidden="false" customHeight="false" outlineLevel="0" collapsed="false">
      <c r="B139" s="17" t="n">
        <v>11</v>
      </c>
      <c r="C139" s="18" t="n">
        <f aca="false">IFERROR(1/(1+10^(B139-$C$16))+$C$5/(1+10^(B139-$C$18))+$C$6/(1+10^(B139-$C$19))+$C$7/(1+10^(B139-$C$20))-(1/(1+10^($C$17-B139))+$C$8/(1+10^($C$21-B139))+$C$9/(1+10^($C$22-B139))+$C$10/(1+10^($C$23-B139))+$C$11/(1+10^($C$24-B139))),"")</f>
        <v>-0.995939809240233</v>
      </c>
      <c r="D139" s="18" t="n">
        <f aca="false">IFERROR(1/(1+10^(B139-$D$16))+$C$5/(1+10^(B139-$D$18))+$C$6/(1+10^(B139-$D$19))+$C$7/(1+10^(B139-$D$20))-(1/(1+10^($D$17-B139))+$C$8/(1+10^($D$21-B139))+$C$9/(1+10^($D$22-B139))+$C$10/(1+10^($D$23-B139))+$C$11/(1+10^($D$24-B139))),"")</f>
        <v>-0.999379616479888</v>
      </c>
    </row>
    <row r="140" customFormat="false" ht="15" hidden="false" customHeight="false" outlineLevel="0" collapsed="false">
      <c r="B140" s="17" t="n">
        <v>11.1</v>
      </c>
      <c r="C140" s="18" t="n">
        <f aca="false">IFERROR(1/(1+10^(B140-$C$16))+$C$5/(1+10^(B140-$C$18))+$C$6/(1+10^(B140-$C$19))+$C$7/(1+10^(B140-$C$20))-(1/(1+10^($C$17-B140))+$C$8/(1+10^($C$21-B140))+$C$9/(1+10^($C$22-B140))+$C$10/(1+10^($C$23-B140))+$C$11/(1+10^($C$24-B140))),"")</f>
        <v>-0.996772304493843</v>
      </c>
      <c r="D140" s="18" t="n">
        <f aca="false">IFERROR(1/(1+10^(B140-$D$16))+$C$5/(1+10^(B140-$D$18))+$C$6/(1+10^(B140-$D$19))+$C$7/(1+10^(B140-$D$20))-(1/(1+10^($D$17-B140))+$C$8/(1+10^($D$21-B140))+$C$9/(1+10^($D$22-B140))+$C$10/(1+10^($D$23-B140))+$C$11/(1+10^($D$24-B140))),"")</f>
        <v>-0.999507170076864</v>
      </c>
    </row>
    <row r="141" customFormat="false" ht="15" hidden="false" customHeight="false" outlineLevel="0" collapsed="false">
      <c r="B141" s="17" t="n">
        <v>11.2</v>
      </c>
      <c r="C141" s="18" t="n">
        <f aca="false">IFERROR(1/(1+10^(B141-$C$16))+$C$5/(1+10^(B141-$C$18))+$C$6/(1+10^(B141-$C$19))+$C$7/(1+10^(B141-$C$20))-(1/(1+10^($C$17-B141))+$C$8/(1+10^($C$21-B141))+$C$9/(1+10^($C$22-B141))+$C$10/(1+10^($C$23-B141))+$C$11/(1+10^($C$24-B141))),"")</f>
        <v>-0.997434525538699</v>
      </c>
      <c r="D141" s="18" t="n">
        <f aca="false">IFERROR(1/(1+10^(B141-$D$16))+$C$5/(1+10^(B141-$D$18))+$C$6/(1+10^(B141-$D$19))+$C$7/(1+10^(B141-$D$20))-(1/(1+10^($D$17-B141))+$C$8/(1+10^($D$21-B141))+$C$9/(1+10^($D$22-B141))+$C$10/(1+10^($D$23-B141))+$C$11/(1+10^($D$24-B141))),"")</f>
        <v>-0.999608504912996</v>
      </c>
    </row>
    <row r="142" customFormat="false" ht="15" hidden="false" customHeight="false" outlineLevel="0" collapsed="false">
      <c r="B142" s="17" t="n">
        <v>11.3</v>
      </c>
      <c r="C142" s="18" t="n">
        <f aca="false">IFERROR(1/(1+10^(B142-$C$16))+$C$5/(1+10^(B142-$C$18))+$C$6/(1+10^(B142-$C$19))+$C$7/(1+10^(B142-$C$20))-(1/(1+10^($C$17-B142))+$C$8/(1+10^($C$21-B142))+$C$9/(1+10^($C$22-B142))+$C$10/(1+10^($C$23-B142))+$C$11/(1+10^($C$24-B142))),"")</f>
        <v>-0.997961144834429</v>
      </c>
      <c r="D142" s="18" t="n">
        <f aca="false">IFERROR(1/(1+10^(B142-$D$16))+$C$5/(1+10^(B142-$D$18))+$C$6/(1+10^(B142-$D$19))+$C$7/(1+10^(B142-$D$20))-(1/(1+10^($D$17-B142))+$C$8/(1+10^($D$21-B142))+$C$9/(1+10^($D$22-B142))+$C$10/(1+10^($D$23-B142))+$C$11/(1+10^($D$24-B142))),"")</f>
        <v>-0.999689007761587</v>
      </c>
    </row>
    <row r="143" customFormat="false" ht="15" hidden="false" customHeight="false" outlineLevel="0" collapsed="false">
      <c r="B143" s="17" t="n">
        <v>11.4</v>
      </c>
      <c r="C143" s="18" t="n">
        <f aca="false">IFERROR(1/(1+10^(B143-$C$16))+$C$5/(1+10^(B143-$C$18))+$C$6/(1+10^(B143-$C$19))+$C$7/(1+10^(B143-$C$20))-(1/(1+10^($C$17-B143))+$C$8/(1+10^($C$21-B143))+$C$9/(1+10^($C$22-B143))+$C$10/(1+10^($C$23-B143))+$C$11/(1+10^($C$24-B143))),"")</f>
        <v>-0.998379831583375</v>
      </c>
      <c r="D143" s="18" t="n">
        <f aca="false">IFERROR(1/(1+10^(B143-$D$16))+$C$5/(1+10^(B143-$D$18))+$C$6/(1+10^(B143-$D$19))+$C$7/(1+10^(B143-$D$20))-(1/(1+10^($D$17-B143))+$C$8/(1+10^($D$21-B143))+$C$9/(1+10^($D$22-B143))+$C$10/(1+10^($D$23-B143))+$C$11/(1+10^($D$24-B143))),"")</f>
        <v>-0.999752959585777</v>
      </c>
    </row>
    <row r="144" customFormat="false" ht="15" hidden="false" customHeight="false" outlineLevel="0" collapsed="false">
      <c r="B144" s="17" t="n">
        <v>11.5</v>
      </c>
      <c r="C144" s="18" t="n">
        <f aca="false">IFERROR(1/(1+10^(B144-$C$16))+$C$5/(1+10^(B144-$C$18))+$C$6/(1+10^(B144-$C$19))+$C$7/(1+10^(B144-$C$20))-(1/(1+10^($C$17-B144))+$C$8/(1+10^($C$21-B144))+$C$9/(1+10^($C$22-B144))+$C$10/(1+10^($C$23-B144))+$C$11/(1+10^($C$24-B144))),"")</f>
        <v>-0.998712645199388</v>
      </c>
      <c r="D144" s="18" t="n">
        <f aca="false">IFERROR(1/(1+10^(B144-$D$16))+$C$5/(1+10^(B144-$D$18))+$C$6/(1+10^(B144-$D$19))+$C$7/(1+10^(B144-$D$20))-(1/(1+10^($D$17-B144))+$C$8/(1+10^($D$21-B144))+$C$9/(1+10^($D$22-B144))+$C$10/(1+10^($D$23-B144))+$C$11/(1+10^($D$24-B144))),"")</f>
        <v>-0.999803762199172</v>
      </c>
    </row>
    <row r="145" customFormat="false" ht="15" hidden="false" customHeight="false" outlineLevel="0" collapsed="false">
      <c r="B145" s="17" t="n">
        <v>11.6</v>
      </c>
      <c r="C145" s="18" t="n">
        <f aca="false">IFERROR(1/(1+10^(B145-$C$16))+$C$5/(1+10^(B145-$C$18))+$C$6/(1+10^(B145-$C$19))+$C$7/(1+10^(B145-$C$20))-(1/(1+10^($C$17-B145))+$C$8/(1+10^($C$21-B145))+$C$9/(1+10^($C$22-B145))+$C$10/(1+10^($C$23-B145))+$C$11/(1+10^($C$24-B145))),"")</f>
        <v>-0.998977159343243</v>
      </c>
      <c r="D145" s="18" t="n">
        <f aca="false">IFERROR(1/(1+10^(B145-$D$16))+$C$5/(1+10^(B145-$D$18))+$C$6/(1+10^(B145-$D$19))+$C$7/(1+10^(B145-$D$20))-(1/(1+10^($D$17-B145))+$C$8/(1+10^($D$21-B145))+$C$9/(1+10^($D$22-B145))+$C$10/(1+10^($D$23-B145))+$C$11/(1+10^($D$24-B145))),"")</f>
        <v>-0.999844118593882</v>
      </c>
    </row>
    <row r="146" customFormat="false" ht="15" hidden="false" customHeight="false" outlineLevel="0" collapsed="false">
      <c r="B146" s="17" t="n">
        <v>11.7</v>
      </c>
      <c r="C146" s="18" t="n">
        <f aca="false">IFERROR(1/(1+10^(B146-$C$16))+$C$5/(1+10^(B146-$C$18))+$C$6/(1+10^(B146-$C$19))+$C$7/(1+10^(B146-$C$20))-(1/(1+10^($C$17-B146))+$C$8/(1+10^($C$21-B146))+$C$9/(1+10^($C$22-B146))+$C$10/(1+10^($C$23-B146))+$C$11/(1+10^($C$24-B146))),"")</f>
        <v>-0.999187365677646</v>
      </c>
      <c r="D146" s="18" t="n">
        <f aca="false">IFERROR(1/(1+10^(B146-$D$16))+$C$5/(1+10^(B146-$D$18))+$C$6/(1+10^(B146-$D$19))+$C$7/(1+10^(B146-$D$20))-(1/(1+10^($D$17-B146))+$C$8/(1+10^($D$21-B146))+$C$9/(1+10^($D$22-B146))+$C$10/(1+10^($D$23-B146))+$C$11/(1+10^($D$24-B146))),"")</f>
        <v>-0.999876176360172</v>
      </c>
    </row>
    <row r="147" customFormat="false" ht="15" hidden="false" customHeight="false" outlineLevel="0" collapsed="false">
      <c r="B147" s="17" t="n">
        <v>11.8</v>
      </c>
      <c r="C147" s="18" t="n">
        <f aca="false">IFERROR(1/(1+10^(B147-$C$16))+$C$5/(1+10^(B147-$C$18))+$C$6/(1+10^(B147-$C$19))+$C$7/(1+10^(B147-$C$20))-(1/(1+10^($C$17-B147))+$C$8/(1+10^($C$21-B147))+$C$9/(1+10^($C$22-B147))+$C$10/(1+10^($C$23-B147))+$C$11/(1+10^($C$24-B147))),"")</f>
        <v>-0.999354398660434</v>
      </c>
      <c r="D147" s="18" t="n">
        <f aca="false">IFERROR(1/(1+10^(B147-$D$16))+$C$5/(1+10^(B147-$D$18))+$C$6/(1+10^(B147-$D$19))+$C$7/(1+10^(B147-$D$20))-(1/(1+10^($D$17-B147))+$C$8/(1+10^($D$21-B147))+$C$9/(1+10^($D$22-B147))+$C$10/(1+10^($D$23-B147))+$C$11/(1+10^($D$24-B147))),"")</f>
        <v>-0.999901641722419</v>
      </c>
    </row>
    <row r="148" customFormat="false" ht="15" hidden="false" customHeight="false" outlineLevel="0" collapsed="false">
      <c r="B148" s="17" t="n">
        <v>11.9</v>
      </c>
      <c r="C148" s="18" t="n">
        <f aca="false">IFERROR(1/(1+10^(B148-$C$16))+$C$5/(1+10^(B148-$C$18))+$C$6/(1+10^(B148-$C$19))+$C$7/(1+10^(B148-$C$20))-(1/(1+10^($C$17-B148))+$C$8/(1+10^($C$21-B148))+$C$9/(1+10^($C$22-B148))+$C$10/(1+10^($C$23-B148))+$C$11/(1+10^($C$24-B148))),"")</f>
        <v>-0.999487115649744</v>
      </c>
      <c r="D148" s="18" t="n">
        <f aca="false">IFERROR(1/(1+10^(B148-$D$16))+$C$5/(1+10^(B148-$D$18))+$C$6/(1+10^(B148-$D$19))+$C$7/(1+10^(B148-$D$20))-(1/(1+10^($D$17-B148))+$C$8/(1+10^($D$21-B148))+$C$9/(1+10^($D$22-B148))+$C$10/(1+10^($D$23-B148))+$C$11/(1+10^($D$24-B148))),"")</f>
        <v>-0.999921870192833</v>
      </c>
    </row>
    <row r="149" customFormat="false" ht="15" hidden="false" customHeight="false" outlineLevel="0" collapsed="false">
      <c r="B149" s="17" t="n">
        <v>12</v>
      </c>
      <c r="C149" s="18" t="n">
        <f aca="false">IFERROR(1/(1+10^(B149-$C$16))+$C$5/(1+10^(B149-$C$18))+$C$6/(1+10^(B149-$C$19))+$C$7/(1+10^(B149-$C$20))-(1/(1+10^($C$17-B149))+$C$8/(1+10^($C$21-B149))+$C$9/(1+10^($C$22-B149))+$C$10/(1+10^($C$23-B149))+$C$11/(1+10^($C$24-B149))),"")</f>
        <v>-0.999592560471643</v>
      </c>
      <c r="D149" s="18" t="n">
        <f aca="false">IFERROR(1/(1+10^(B149-$D$16))+$C$5/(1+10^(B149-$D$18))+$C$6/(1+10^(B149-$D$19))+$C$7/(1+10^(B149-$D$20))-(1/(1+10^($D$17-B149))+$C$8/(1+10^($D$21-B149))+$C$9/(1+10^($D$22-B149))+$C$10/(1+10^($D$23-B149))+$C$11/(1+10^($D$24-B149))),"")</f>
        <v>-0.999937938625566</v>
      </c>
    </row>
    <row r="150" customFormat="false" ht="15" hidden="false" customHeight="false" outlineLevel="0" collapsed="false">
      <c r="B150" s="17" t="n">
        <v>12.1</v>
      </c>
      <c r="C150" s="18" t="n">
        <f aca="false">IFERROR(1/(1+10^(B150-$C$16))+$C$5/(1+10^(B150-$C$18))+$C$6/(1+10^(B150-$C$19))+$C$7/(1+10^(B150-$C$20))-(1/(1+10^($C$17-B150))+$C$8/(1+10^($C$21-B150))+$C$9/(1+10^($C$22-B150))+$C$10/(1+10^($C$23-B150))+$C$11/(1+10^($C$24-B150))),"")</f>
        <v>-0.999676333399727</v>
      </c>
      <c r="D150" s="18" t="n">
        <f aca="false">IFERROR(1/(1+10^(B150-$D$16))+$C$5/(1+10^(B150-$D$18))+$C$6/(1+10^(B150-$D$19))+$C$7/(1+10^(B150-$D$20))-(1/(1+10^($D$17-B150))+$C$8/(1+10^($D$21-B150))+$C$9/(1+10^($D$22-B150))+$C$10/(1+10^($D$23-B150))+$C$11/(1+10^($D$24-B150))),"")</f>
        <v>-0.999950702479901</v>
      </c>
    </row>
    <row r="151" customFormat="false" ht="15" hidden="false" customHeight="false" outlineLevel="0" collapsed="false">
      <c r="B151" s="17" t="n">
        <v>12.2</v>
      </c>
      <c r="C151" s="18" t="n">
        <f aca="false">IFERROR(1/(1+10^(B151-$C$16))+$C$5/(1+10^(B151-$C$18))+$C$6/(1+10^(B151-$C$19))+$C$7/(1+10^(B151-$C$20))-(1/(1+10^($C$17-B151))+$C$8/(1+10^($C$21-B151))+$C$9/(1+10^($C$22-B151))+$C$10/(1+10^($C$23-B151))+$C$11/(1+10^($C$24-B151))),"")</f>
        <v>-0.99974288614985</v>
      </c>
      <c r="D151" s="18" t="n">
        <f aca="false">IFERROR(1/(1+10^(B151-$D$16))+$C$5/(1+10^(B151-$D$18))+$C$6/(1+10^(B151-$D$19))+$C$7/(1+10^(B151-$D$20))-(1/(1+10^($D$17-B151))+$C$8/(1+10^($D$21-B151))+$C$9/(1+10^($D$22-B151))+$C$10/(1+10^($D$23-B151))+$C$11/(1+10^($D$24-B151))),"")</f>
        <v>-0.999960841324076</v>
      </c>
    </row>
    <row r="152" customFormat="false" ht="15" hidden="false" customHeight="false" outlineLevel="0" collapsed="false">
      <c r="B152" s="17" t="n">
        <v>12.3</v>
      </c>
      <c r="C152" s="18" t="n">
        <f aca="false">IFERROR(1/(1+10^(B152-$C$16))+$C$5/(1+10^(B152-$C$18))+$C$6/(1+10^(B152-$C$19))+$C$7/(1+10^(B152-$C$20))-(1/(1+10^($C$17-B152))+$C$8/(1+10^($C$21-B152))+$C$9/(1+10^($C$22-B152))+$C$10/(1+10^($C$23-B152))+$C$11/(1+10^($C$24-B152))),"")</f>
        <v>-0.999795756903974</v>
      </c>
      <c r="D152" s="18" t="n">
        <f aca="false">IFERROR(1/(1+10^(B152-$D$16))+$C$5/(1+10^(B152-$D$18))+$C$6/(1+10^(B152-$D$19))+$C$7/(1+10^(B152-$D$20))-(1/(1+10^($D$17-B152))+$C$8/(1+10^($D$21-B152))+$C$9/(1+10^($D$22-B152))+$C$10/(1+10^($D$23-B152))+$C$11/(1+10^($D$24-B152))),"")</f>
        <v>-0.999968894991625</v>
      </c>
    </row>
    <row r="153" customFormat="false" ht="15" hidden="false" customHeight="false" outlineLevel="0" collapsed="false">
      <c r="B153" s="17" t="n">
        <v>12.4</v>
      </c>
      <c r="C153" s="18" t="n">
        <f aca="false">IFERROR(1/(1+10^(B153-$C$16))+$C$5/(1+10^(B153-$C$18))+$C$6/(1+10^(B153-$C$19))+$C$7/(1+10^(B153-$C$20))-(1/(1+10^($C$17-B153))+$C$8/(1+10^($C$21-B153))+$C$9/(1+10^($C$22-B153))+$C$10/(1+10^($C$23-B153))+$C$11/(1+10^($C$24-B153))),"")</f>
        <v>-0.999837757439264</v>
      </c>
      <c r="D153" s="18" t="n">
        <f aca="false">IFERROR(1/(1+10^(B153-$D$16))+$C$5/(1+10^(B153-$D$18))+$C$6/(1+10^(B153-$D$19))+$C$7/(1+10^(B153-$D$20))-(1/(1+10^($D$17-B153))+$C$8/(1+10^($D$21-B153))+$C$9/(1+10^($D$22-B153))+$C$10/(1+10^($D$23-B153))+$C$11/(1+10^($D$24-B153))),"")</f>
        <v>-0.99997529230858</v>
      </c>
    </row>
    <row r="154" customFormat="false" ht="15" hidden="false" customHeight="false" outlineLevel="0" collapsed="false">
      <c r="B154" s="17" t="n">
        <v>12.5</v>
      </c>
      <c r="C154" s="18" t="n">
        <f aca="false">IFERROR(1/(1+10^(B154-$C$16))+$C$5/(1+10^(B154-$C$18))+$C$6/(1+10^(B154-$C$19))+$C$7/(1+10^(B154-$C$20))-(1/(1+10^($C$17-B154))+$C$8/(1+10^($C$21-B154))+$C$9/(1+10^($C$22-B154))+$C$10/(1+10^($C$23-B154))+$C$11/(1+10^($C$24-B154))),"")</f>
        <v>-0.999871122049832</v>
      </c>
      <c r="D154" s="18" t="n">
        <f aca="false">IFERROR(1/(1+10^(B154-$D$16))+$C$5/(1+10^(B154-$D$18))+$C$6/(1+10^(B154-$D$19))+$C$7/(1+10^(B154-$D$20))-(1/(1+10^($D$17-B154))+$C$8/(1+10^($D$21-B154))+$C$9/(1+10^($D$22-B154))+$C$10/(1+10^($D$23-B154))+$C$11/(1+10^($D$24-B154))),"")</f>
        <v>-0.999980373916822</v>
      </c>
    </row>
    <row r="155" customFormat="false" ht="15" hidden="false" customHeight="false" outlineLevel="0" collapsed="false">
      <c r="B155" s="17" t="n">
        <v>12.6</v>
      </c>
      <c r="C155" s="18" t="n">
        <f aca="false">IFERROR(1/(1+10^(B155-$C$16))+$C$5/(1+10^(B155-$C$18))+$C$6/(1+10^(B155-$C$19))+$C$7/(1+10^(B155-$C$20))-(1/(1+10^($C$17-B155))+$C$8/(1+10^($C$21-B155))+$C$9/(1+10^($C$22-B155))+$C$10/(1+10^($C$23-B155))+$C$11/(1+10^($C$24-B155))),"")</f>
        <v>-0.999897626016189</v>
      </c>
      <c r="D155" s="18" t="n">
        <f aca="false">IFERROR(1/(1+10^(B155-$D$16))+$C$5/(1+10^(B155-$D$18))+$C$6/(1+10^(B155-$D$19))+$C$7/(1+10^(B155-$D$20))-(1/(1+10^($D$17-B155))+$C$8/(1+10^($D$21-B155))+$C$9/(1+10^($D$22-B155))+$C$10/(1+10^($D$23-B155))+$C$11/(1+10^($D$24-B155))),"")</f>
        <v>-0.999984410406182</v>
      </c>
    </row>
    <row r="156" customFormat="false" ht="15" hidden="false" customHeight="false" outlineLevel="0" collapsed="false">
      <c r="B156" s="17" t="n">
        <v>12.7</v>
      </c>
      <c r="C156" s="18" t="n">
        <f aca="false">IFERROR(1/(1+10^(B156-$C$16))+$C$5/(1+10^(B156-$C$18))+$C$6/(1+10^(B156-$C$19))+$C$7/(1+10^(B156-$C$20))-(1/(1+10^($C$17-B156))+$C$8/(1+10^($C$21-B156))+$C$9/(1+10^($C$22-B156))+$C$10/(1+10^($C$23-B156))+$C$11/(1+10^($C$24-B156))),"")</f>
        <v>-0.999918679820433</v>
      </c>
      <c r="D156" s="18" t="n">
        <f aca="false">IFERROR(1/(1+10^(B156-$D$16))+$C$5/(1+10^(B156-$D$18))+$C$6/(1+10^(B156-$D$19))+$C$7/(1+10^(B156-$D$20))-(1/(1+10^($D$17-B156))+$C$8/(1+10^($D$21-B156))+$C$9/(1+10^($D$22-B156))+$C$10/(1+10^($D$23-B156))+$C$11/(1+10^($D$24-B156))),"")</f>
        <v>-0.999987616719081</v>
      </c>
    </row>
    <row r="157" customFormat="false" ht="15" hidden="false" customHeight="false" outlineLevel="0" collapsed="false">
      <c r="B157" s="17" t="n">
        <v>12.8</v>
      </c>
      <c r="C157" s="18" t="n">
        <f aca="false">IFERROR(1/(1+10^(B157-$C$16))+$C$5/(1+10^(B157-$C$18))+$C$6/(1+10^(B157-$C$19))+$C$7/(1+10^(B157-$C$20))-(1/(1+10^($C$17-B157))+$C$8/(1+10^($C$21-B157))+$C$9/(1+10^($C$22-B157))+$C$10/(1+10^($C$23-B157))+$C$11/(1+10^($C$24-B157))),"")</f>
        <v>-0.999935404054468</v>
      </c>
      <c r="D157" s="18" t="n">
        <f aca="false">IFERROR(1/(1+10^(B157-$D$16))+$C$5/(1+10^(B157-$D$18))+$C$6/(1+10^(B157-$D$19))+$C$7/(1+10^(B157-$D$20))-(1/(1+10^($D$17-B157))+$C$8/(1+10^($D$21-B157))+$C$9/(1+10^($D$22-B157))+$C$10/(1+10^($D$23-B157))+$C$11/(1+10^($D$24-B157))),"")</f>
        <v>-0.999990163593681</v>
      </c>
    </row>
    <row r="158" customFormat="false" ht="15" hidden="false" customHeight="false" outlineLevel="0" collapsed="false">
      <c r="B158" s="17" t="n">
        <v>12.9</v>
      </c>
      <c r="C158" s="18" t="n">
        <f aca="false">IFERROR(1/(1+10^(B158-$C$16))+$C$5/(1+10^(B158-$C$18))+$C$6/(1+10^(B158-$C$19))+$C$7/(1+10^(B158-$C$20))-(1/(1+10^($C$17-B158))+$C$8/(1+10^($C$21-B158))+$C$9/(1+10^($C$22-B158))+$C$10/(1+10^($C$23-B158))+$C$11/(1+10^($C$24-B158))),"")</f>
        <v>-0.999948688966174</v>
      </c>
      <c r="D158" s="18" t="n">
        <f aca="false">IFERROR(1/(1+10^(B158-$D$16))+$C$5/(1+10^(B158-$D$18))+$C$6/(1+10^(B158-$D$19))+$C$7/(1+10^(B158-$D$20))-(1/(1+10^($D$17-B158))+$C$8/(1+10^($D$21-B158))+$C$9/(1+10^($D$22-B158))+$C$10/(1+10^($D$23-B158))+$C$11/(1+10^($D$24-B158))),"")</f>
        <v>-0.99999218665423</v>
      </c>
    </row>
    <row r="159" customFormat="false" ht="15" hidden="false" customHeight="false" outlineLevel="0" collapsed="false">
      <c r="B159" s="17" t="n">
        <v>13</v>
      </c>
      <c r="C159" s="18" t="n">
        <f aca="false">IFERROR(1/(1+10^(B159-$C$16))+$C$5/(1+10^(B159-$C$18))+$C$6/(1+10^(B159-$C$19))+$C$7/(1+10^(B159-$C$20))-(1/(1+10^($C$17-B159))+$C$8/(1+10^($C$21-B159))+$C$9/(1+10^($C$22-B159))+$C$10/(1+10^($C$23-B159))+$C$11/(1+10^($C$24-B159))),"")</f>
        <v>-0.99995924178667</v>
      </c>
      <c r="D159" s="18" t="n">
        <f aca="false">IFERROR(1/(1+10^(B159-$D$16))+$C$5/(1+10^(B159-$D$18))+$C$6/(1+10^(B159-$D$19))+$C$7/(1+10^(B159-$D$20))-(1/(1+10^($D$17-B159))+$C$8/(1+10^($D$21-B159))+$C$9/(1+10^($D$22-B159))+$C$10/(1+10^($D$23-B159))+$C$11/(1+10^($D$24-B159))),"")</f>
        <v>-0.99999379363222</v>
      </c>
    </row>
    <row r="160" customFormat="false" ht="15" hidden="false" customHeight="false" outlineLevel="0" collapsed="false">
      <c r="B160" s="17" t="n">
        <v>13.1</v>
      </c>
      <c r="C160" s="18" t="n">
        <f aca="false">IFERROR(1/(1+10^(B160-$C$16))+$C$5/(1+10^(B160-$C$18))+$C$6/(1+10^(B160-$C$19))+$C$7/(1+10^(B160-$C$20))-(1/(1+10^($C$17-B160))+$C$8/(1+10^($C$21-B160))+$C$9/(1+10^($C$22-B160))+$C$10/(1+10^($C$23-B160))+$C$11/(1+10^($C$24-B160))),"")</f>
        <v>-0.999967624341399</v>
      </c>
      <c r="D160" s="18" t="n">
        <f aca="false">IFERROR(1/(1+10^(B160-$D$16))+$C$5/(1+10^(B160-$D$18))+$C$6/(1+10^(B160-$D$19))+$C$7/(1+10^(B160-$D$20))-(1/(1+10^($D$17-B160))+$C$8/(1+10^($D$21-B160))+$C$9/(1+10^($D$22-B160))+$C$10/(1+10^($D$23-B160))+$C$11/(1+10^($D$24-B160))),"")</f>
        <v>-0.999995070102656</v>
      </c>
    </row>
    <row r="161" customFormat="false" ht="15" hidden="false" customHeight="false" outlineLevel="0" collapsed="false">
      <c r="B161" s="17" t="n">
        <v>13.2</v>
      </c>
      <c r="C161" s="18" t="n">
        <f aca="false">IFERROR(1/(1+10^(B161-$C$16))+$C$5/(1+10^(B161-$C$18))+$C$6/(1+10^(B161-$C$19))+$C$7/(1+10^(B161-$C$20))-(1/(1+10^($C$17-B161))+$C$8/(1+10^($C$21-B161))+$C$9/(1+10^($C$22-B161))+$C$10/(1+10^($C$23-B161))+$C$11/(1+10^($C$24-B161))),"")</f>
        <v>-0.999974282936863</v>
      </c>
      <c r="D161" s="18" t="n">
        <f aca="false">IFERROR(1/(1+10^(B161-$D$16))+$C$5/(1+10^(B161-$D$18))+$C$6/(1+10^(B161-$D$19))+$C$7/(1+10^(B161-$D$20))-(1/(1+10^($D$17-B161))+$C$8/(1+10^($D$21-B161))+$C$9/(1+10^($D$22-B161))+$C$10/(1+10^($D$23-B161))+$C$11/(1+10^($D$24-B161))),"")</f>
        <v>-0.999996084040707</v>
      </c>
    </row>
    <row r="162" customFormat="false" ht="15" hidden="false" customHeight="false" outlineLevel="0" collapsed="false">
      <c r="B162" s="17" t="n">
        <v>13.3</v>
      </c>
      <c r="C162" s="18" t="n">
        <f aca="false">IFERROR(1/(1+10^(B162-$C$16))+$C$5/(1+10^(B162-$C$18))+$C$6/(1+10^(B162-$C$19))+$C$7/(1+10^(B162-$C$20))-(1/(1+10^($C$17-B162))+$C$8/(1+10^($C$21-B162))+$C$9/(1+10^($C$22-B162))+$C$10/(1+10^($C$23-B162))+$C$11/(1+10^($C$24-B162))),"")</f>
        <v>-0.999979572107541</v>
      </c>
      <c r="D162" s="18" t="n">
        <f aca="false">IFERROR(1/(1+10^(B162-$D$16))+$C$5/(1+10^(B162-$D$18))+$C$6/(1+10^(B162-$D$19))+$C$7/(1+10^(B162-$D$20))-(1/(1+10^($D$17-B162))+$C$8/(1+10^($D$21-B162))+$C$9/(1+10^($D$22-B162))+$C$10/(1+10^($D$23-B162))+$C$11/(1+10^($D$24-B162))),"")</f>
        <v>-0.999996889441303</v>
      </c>
    </row>
    <row r="163" customFormat="false" ht="15" hidden="false" customHeight="false" outlineLevel="0" collapsed="false">
      <c r="B163" s="17" t="n">
        <v>13.4</v>
      </c>
      <c r="C163" s="18" t="n">
        <f aca="false">IFERROR(1/(1+10^(B163-$C$16))+$C$5/(1+10^(B163-$C$18))+$C$6/(1+10^(B163-$C$19))+$C$7/(1+10^(B163-$C$20))-(1/(1+10^($C$17-B163))+$C$8/(1+10^($C$21-B163))+$C$9/(1+10^($C$22-B163))+$C$10/(1+10^($C$23-B163))+$C$11/(1+10^($C$24-B163))),"")</f>
        <v>-0.999983773483195</v>
      </c>
      <c r="D163" s="18" t="n">
        <f aca="false">IFERROR(1/(1+10^(B163-$D$16))+$C$5/(1+10^(B163-$D$18))+$C$6/(1+10^(B163-$D$19))+$C$7/(1+10^(B163-$D$20))-(1/(1+10^($D$17-B163))+$C$8/(1+10^($D$21-B163))+$C$9/(1+10^($D$22-B163))+$C$10/(1+10^($D$23-B163))+$C$11/(1+10^($D$24-B163))),"")</f>
        <v>-0.999997529194351</v>
      </c>
    </row>
    <row r="164" customFormat="false" ht="15" hidden="false" customHeight="false" outlineLevel="0" collapsed="false">
      <c r="B164" s="17" t="n">
        <v>13.5</v>
      </c>
      <c r="C164" s="18" t="n">
        <f aca="false">IFERROR(1/(1+10^(B164-$C$16))+$C$5/(1+10^(B164-$C$18))+$C$6/(1+10^(B164-$C$19))+$C$7/(1+10^(B164-$C$20))-(1/(1+10^($C$17-B164))+$C$8/(1+10^($C$21-B164))+$C$9/(1+10^($C$22-B164))+$C$10/(1+10^($C$23-B164))+$C$11/(1+10^($C$24-B164))),"")</f>
        <v>-0.999987110778507</v>
      </c>
      <c r="D164" s="18" t="n">
        <f aca="false">IFERROR(1/(1+10^(B164-$D$16))+$C$5/(1+10^(B164-$D$18))+$C$6/(1+10^(B164-$D$19))+$C$7/(1+10^(B164-$D$20))-(1/(1+10^($D$17-B164))+$C$8/(1+10^($D$21-B164))+$C$9/(1+10^($D$22-B164))+$C$10/(1+10^($D$23-B164))+$C$11/(1+10^($D$24-B164))),"")</f>
        <v>-0.999998037368648</v>
      </c>
    </row>
    <row r="165" customFormat="false" ht="15" hidden="false" customHeight="false" outlineLevel="0" collapsed="false">
      <c r="B165" s="17" t="n">
        <v>13.6</v>
      </c>
      <c r="C165" s="18" t="n">
        <f aca="false">IFERROR(1/(1+10^(B165-$C$16))+$C$5/(1+10^(B165-$C$18))+$C$6/(1+10^(B165-$C$19))+$C$7/(1+10^(B165-$C$20))-(1/(1+10^($C$17-B165))+$C$8/(1+10^($C$21-B165))+$C$9/(1+10^($C$22-B165))+$C$10/(1+10^($C$23-B165))+$C$11/(1+10^($C$24-B165))),"")</f>
        <v>-0.999989761701548</v>
      </c>
      <c r="D165" s="18" t="n">
        <f aca="false">IFERROR(1/(1+10^(B165-$D$16))+$C$5/(1+10^(B165-$D$18))+$C$6/(1+10^(B165-$D$19))+$C$7/(1+10^(B165-$D$20))-(1/(1+10^($D$17-B165))+$C$8/(1+10^($D$21-B165))+$C$9/(1+10^($D$22-B165))+$C$10/(1+10^($D$23-B165))+$C$11/(1+10^($D$24-B165))),"")</f>
        <v>-0.999998441026084</v>
      </c>
    </row>
    <row r="166" customFormat="false" ht="15" hidden="false" customHeight="false" outlineLevel="0" collapsed="false">
      <c r="B166" s="17" t="n">
        <v>13.7</v>
      </c>
      <c r="C166" s="18" t="n">
        <f aca="false">IFERROR(1/(1+10^(B166-$C$16))+$C$5/(1+10^(B166-$C$18))+$C$6/(1+10^(B166-$C$19))+$C$7/(1+10^(B166-$C$20))-(1/(1+10^($C$17-B166))+$C$8/(1+10^($C$21-B166))+$C$9/(1+10^($C$22-B166))+$C$10/(1+10^($C$23-B166))+$C$11/(1+10^($C$24-B166))),"")</f>
        <v>-0.999991867414124</v>
      </c>
      <c r="D166" s="18" t="n">
        <f aca="false">IFERROR(1/(1+10^(B166-$D$16))+$C$5/(1+10^(B166-$D$18))+$C$6/(1+10^(B166-$D$19))+$C$7/(1+10^(B166-$D$20))-(1/(1+10^($D$17-B166))+$C$8/(1+10^($D$21-B166))+$C$9/(1+10^($D$22-B166))+$C$10/(1+10^($D$23-B166))+$C$11/(1+10^($D$24-B166))),"")</f>
        <v>-0.999998761662738</v>
      </c>
    </row>
    <row r="167" customFormat="false" ht="15" hidden="false" customHeight="false" outlineLevel="0" collapsed="false">
      <c r="B167" s="17" t="n">
        <v>13.8</v>
      </c>
      <c r="C167" s="18" t="n">
        <f aca="false">IFERROR(1/(1+10^(B167-$C$16))+$C$5/(1+10^(B167-$C$18))+$C$6/(1+10^(B167-$C$19))+$C$7/(1+10^(B167-$C$20))-(1/(1+10^($C$17-B167))+$C$8/(1+10^($C$21-B167))+$C$9/(1+10^($C$22-B167))+$C$10/(1+10^($C$23-B167))+$C$11/(1+10^($C$24-B167))),"")</f>
        <v>-0.999993540047107</v>
      </c>
      <c r="D167" s="18" t="n">
        <f aca="false">IFERROR(1/(1+10^(B167-$D$16))+$C$5/(1+10^(B167-$D$18))+$C$6/(1+10^(B167-$D$19))+$C$7/(1+10^(B167-$D$20))-(1/(1+10^($D$17-B167))+$C$8/(1+10^($D$21-B167))+$C$9/(1+10^($D$22-B167))+$C$10/(1+10^($D$23-B167))+$C$11/(1+10^($D$24-B167))),"")</f>
        <v>-0.999999016353582</v>
      </c>
    </row>
    <row r="168" customFormat="false" ht="15" hidden="false" customHeight="false" outlineLevel="0" collapsed="false">
      <c r="B168" s="17" t="n">
        <v>13.9</v>
      </c>
      <c r="C168" s="18" t="n">
        <f aca="false">IFERROR(1/(1+10^(B168-$C$16))+$C$5/(1+10^(B168-$C$18))+$C$6/(1+10^(B168-$C$19))+$C$7/(1+10^(B168-$C$20))-(1/(1+10^($C$17-B168))+$C$8/(1+10^($C$21-B168))+$C$9/(1+10^($C$22-B168))+$C$10/(1+10^($C$23-B168))+$C$11/(1+10^($C$24-B168))),"")</f>
        <v>-0.999994868670517</v>
      </c>
      <c r="D168" s="18" t="n">
        <f aca="false">IFERROR(1/(1+10^(B168-$D$16))+$C$5/(1+10^(B168-$D$18))+$C$6/(1+10^(B168-$D$19))+$C$7/(1+10^(B168-$D$20))-(1/(1+10^($D$17-B168))+$C$8/(1+10^($D$21-B168))+$C$9/(1+10^($D$22-B168))+$C$10/(1+10^($D$23-B168))+$C$11/(1+10^($D$24-B168))),"")</f>
        <v>-0.999999218661772</v>
      </c>
    </row>
    <row r="169" customFormat="false" ht="15" hidden="false" customHeight="false" outlineLevel="0" collapsed="false">
      <c r="B169" s="17" t="n">
        <v>14</v>
      </c>
      <c r="C169" s="18" t="n">
        <f aca="false">IFERROR(1/(1+10^(B169-$C$16))+$C$5/(1+10^(B169-$C$18))+$C$6/(1+10^(B169-$C$19))+$C$7/(1+10^(B169-$C$20))-(1/(1+10^($C$17-B169))+$C$8/(1+10^($C$21-B169))+$C$9/(1+10^($C$22-B169))+$C$10/(1+10^($C$23-B169))+$C$11/(1+10^($C$24-B169))),"")</f>
        <v>-0.999995924036006</v>
      </c>
      <c r="D169" s="18" t="n">
        <f aca="false">IFERROR(1/(1+10^(B169-$D$16))+$C$5/(1+10^(B169-$D$18))+$C$6/(1+10^(B169-$D$19))+$C$7/(1+10^(B169-$D$20))-(1/(1+10^($D$17-B169))+$C$8/(1+10^($D$21-B169))+$C$9/(1+10^($D$22-B169))+$C$10/(1+10^($D$23-B169))+$C$11/(1+10^($D$24-B169))),"")</f>
        <v>-0.999999379360918</v>
      </c>
    </row>
    <row r="172" customFormat="false" ht="15" hidden="false" customHeight="false" outlineLevel="0" collapsed="false">
      <c r="B172" s="9" t="s">
        <v>50</v>
      </c>
    </row>
    <row r="173" customFormat="false" ht="15" hidden="false" customHeight="false" outlineLevel="0" collapsed="false">
      <c r="B173" s="13" t="s">
        <v>51</v>
      </c>
      <c r="C173" s="19" t="n">
        <f aca="false">IFERROR(INDEX($B$29:$B$169,MATCH(0,$C$29:$C$169,-1))+INDEX($C$29:$C$169,MATCH(0,$C$29:$C$169,-1))*(INDEX($B$29:$B$169,MATCH(0,$C$29:$C$169,-1)+1)-INDEX($B$29:$B$169,MATCH(0,$C$29:$C$169,-1)))/(INDEX($C$29:$C$169,MATCH(0,$C$29:$C$169,-1))-INDEX($C$29:$C$169,MATCH(0,$C$29:$C$169,-1)+1)),"")</f>
        <v>7.81112321358373</v>
      </c>
    </row>
    <row r="174" customFormat="false" ht="15" hidden="false" customHeight="false" outlineLevel="0" collapsed="false">
      <c r="B174" s="13" t="s">
        <v>52</v>
      </c>
      <c r="C174" s="19" t="n">
        <f aca="false">IFERROR(INDEX($B$29:$B$169,MATCH(0,$D$29:$D$169,-1))+INDEX($D$29:$D$169,MATCH(0,$D$29:$D$169,-1))*(INDEX($B$29:$B$169,MATCH(0,$D$29:$D$169,-1)+1)-INDEX($B$29:$B$169,MATCH(0,$D$29:$D$169,-1)))/(INDEX($D$29:$D$169,MATCH(0,$D$29:$D$169,-1))-INDEX($D$29:$D$169,MATCH(0,$D$29:$D$169,-1)+1)),"")</f>
        <v>7.45987822666071</v>
      </c>
    </row>
    <row r="175" customFormat="false" ht="15" hidden="false" customHeight="false" outlineLevel="0" collapsed="false">
      <c r="B175" s="13" t="s">
        <v>53</v>
      </c>
      <c r="C175" s="20" t="n">
        <f aca="false">IFERROR(INDEX($C$29:$C$169,74),"")</f>
        <v>0.362893431204148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2026-10-01T00:32:33Z</dcterms:modified>
  <cp:revision>0</cp:revision>
  <dc:subject/>
  <dc:title>BCH-05 Isoelectric point from a protein sequence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