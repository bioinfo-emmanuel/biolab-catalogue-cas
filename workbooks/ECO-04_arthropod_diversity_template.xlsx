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<sst xmlns="http://schemas.openxmlformats.org/spreadsheetml/2006/main" count="105" uniqueCount="72">
  <si>
    <t xml:space="preserve">ECO-04  Leaf-litter arthropods: richness, diversity and evenness</t>
  </si>
  <si>
    <t xml:space="preserve">Excel version of the card. It does the same calculations as the R script eco04_arthropod_diversity.R.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</si>
  <si>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</si>
  <si>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</si>
  <si>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</si>
  <si>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</si>
  <si>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</si>
  <si>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</si>
  <si>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</si>
  <si>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</si>
  <si>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One row per litter sample; one column per morphospecies (type the morphospecies names in the yellow header cells; use the same order for both sites). Samples are the replicates.</t>
  </si>
  <si>
    <t xml:space="preserve">Richness = morphospecies present. Shannon H = -sum(p ln p). Gini-Simpson = 1 - sum(p^2). Pielou evenness J = H / ln(richness). Bray-Curtis dissimilarity = sum |a - b| / sum (a + b) between pooled catches.</t>
  </si>
  <si>
    <t xml:space="preserve">Differences from the R script on the card</t>
  </si>
  <si>
    <t xml:space="preserve">The R script also rarefies and uses Wilcoxon tests; here samples are compared with Welch t tests and rarefaction is not repeated (see ECO-05).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</si>
  <si>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</si>
  <si>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</si>
  <si>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</si>
  <si>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</si>
  <si>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Site names</t>
  </si>
  <si>
    <t xml:space="preserve">Site 1</t>
  </si>
  <si>
    <t xml:space="preserve">Site 2</t>
  </si>
  <si>
    <t xml:space="preserve">2. Samples from site 1 (counts)</t>
  </si>
  <si>
    <t xml:space="preserve">Sample</t>
  </si>
  <si>
    <t xml:space="preserve">morphospecies 1</t>
  </si>
  <si>
    <t xml:space="preserve">morphospecies 2</t>
  </si>
  <si>
    <t xml:space="preserve">morphospecies 3</t>
  </si>
  <si>
    <t xml:space="preserve">morphospecies 4</t>
  </si>
  <si>
    <t xml:space="preserve">morphospecies 5</t>
  </si>
  <si>
    <t xml:space="preserve">morphospecies 6</t>
  </si>
  <si>
    <t xml:space="preserve">morphospecies 7</t>
  </si>
  <si>
    <t xml:space="preserve">morphospecies 8</t>
  </si>
  <si>
    <t xml:space="preserve">morphospecies 9</t>
  </si>
  <si>
    <t xml:space="preserve">morphospecies 10</t>
  </si>
  <si>
    <t xml:space="preserve">morphospecies 11</t>
  </si>
  <si>
    <t xml:space="preserve">morphospecies 12</t>
  </si>
  <si>
    <t xml:space="preserve">morphospecies 13</t>
  </si>
  <si>
    <t xml:space="preserve">morphospecies 14</t>
  </si>
  <si>
    <t xml:space="preserve">morphospecies 15</t>
  </si>
  <si>
    <t xml:space="preserve">Animals</t>
  </si>
  <si>
    <t xml:space="preserve">Richness</t>
  </si>
  <si>
    <t xml:space="preserve">Shannon H</t>
  </si>
  <si>
    <t xml:space="preserve">Gini-Simpson</t>
  </si>
  <si>
    <t xml:space="preserve">Pielou evenness</t>
  </si>
  <si>
    <t xml:space="preserve">sample 1</t>
  </si>
  <si>
    <t xml:space="preserve">3. Samples from site 2 (counts)</t>
  </si>
  <si>
    <t xml:space="preserve">Results</t>
  </si>
  <si>
    <t xml:space="preserve">Everything on this sheet is calculated. Change only the yellow settings.</t>
  </si>
  <si>
    <t xml:space="preserve">Richness per sample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</si>
  <si>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</si>
  <si>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</si>
  <si>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</si>
  <si>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</si>
  <si>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</si>
  <si>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</si>
  <si>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</si>
  <si>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Difference in means (site 1 minus site 2)</t>
  </si>
  <si>
    <t xml:space="preserve">Standard error of the difference</t>
  </si>
  <si>
    <t xml:space="preserve">Degrees of freedom (Welch)</t>
  </si>
  <si>
    <t xml:space="preserve">p value (two-sided)</t>
  </si>
  <si>
    <t xml:space="preserve">Shannon diversity per sample</t>
  </si>
  <si>
    <t xml:space="preserve">Pooled catches by morphospecies</t>
  </si>
  <si>
    <t xml:space="preserve">Morphospecies</t>
  </si>
  <si>
    <t xml:space="preserve">Site 1 total</t>
  </si>
  <si>
    <t xml:space="preserve">Site 2 total</t>
  </si>
  <si>
    <t xml:space="preserve">Absolute difference</t>
  </si>
  <si>
    <t xml:space="preserve">Sum</t>
  </si>
  <si>
    <t xml:space="preserve">Pooled comparison</t>
  </si>
  <si>
    <t xml:space="preserve">Bray-Curtis dissimilarity (0 = identical, 1 = no shared morphospecies)</t>
  </si>
  <si>
    <t xml:space="preserve">Site 1: pooled richness</t>
  </si>
  <si>
    <t xml:space="preserve">Site 2: pooled richness</t>
  </si>
  <si>
    <t xml:space="preserve">Site 1: pooled Shannon H</t>
  </si>
  <si>
    <t xml:space="preserve">Site 2: pooled Shannon 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</si>
</sst>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00"/>
    <numFmt numFmtId="168" formatCode="General"/>
    <numFmt numFmtId="169" formatCode="0.0"/>
    <numFmt numFmtId="170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/>
      <c r="B6" s="11"/>
    </row>
    <row r="9" customFormat="false" ht="15" hidden="false" customHeight="false" outlineLevel="0" collapsed="false">
      <c r="A9" s="9" t="s">
        <v>21</v>
      </c>
    </row>
    <row r="10" customFormat="false" ht="31.5" hidden="false" customHeight="true" outlineLevel="0" collapsed="false">
      <c r="A10" s="10" t="s">
        <v>22</v>
      </c>
      <c r="B10" s="12" t="s">
        <v>23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2" t="s">
        <v>31</v>
      </c>
      <c r="K10" s="12" t="s">
        <v>32</v>
      </c>
      <c r="L10" s="12" t="s">
        <v>33</v>
      </c>
      <c r="M10" s="12" t="s">
        <v>34</v>
      </c>
      <c r="N10" s="12" t="s">
        <v>35</v>
      </c>
      <c r="O10" s="12" t="s">
        <v>36</v>
      </c>
      <c r="P10" s="12" t="s">
        <v>37</v>
      </c>
      <c r="Q10" s="10" t="s">
        <v>38</v>
      </c>
      <c r="R10" s="10" t="s">
        <v>39</v>
      </c>
      <c r="S10" s="10" t="s">
        <v>40</v>
      </c>
      <c r="T10" s="10" t="s">
        <v>41</v>
      </c>
      <c r="U10" s="10" t="s">
        <v>42</v>
      </c>
    </row>
    <row r="11" customFormat="false" ht="15" hidden="false" customHeight="false" outlineLevel="0" collapsed="false">
      <c r="A11" s="13" t="s">
        <v>43</v>
      </c>
      <c r="B11" s="13" t="n">
        <v>5</v>
      </c>
      <c r="C11" s="13" t="n">
        <v>3</v>
      </c>
      <c r="D11" s="13" t="n">
        <v>2</v>
      </c>
      <c r="E11" s="13" t="n">
        <v>1</v>
      </c>
      <c r="F11" s="13" t="n">
        <v>1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4" t="n">
        <f aca="false">SUM(B12:P12)</f>
        <v>0</v>
      </c>
      <c r="R12" s="14" t="str">
        <f aca="false">IF(Q12&gt;0,COUNTIF(B12:P12,"&gt;0"),"")</f>
        <v/>
      </c>
      <c r="S12" s="15" t="str">
        <f aca="false">IF(Q12&gt;0,-SUMPRODUCT((B12:P12&gt;0)*B12:P12/Q12*LN((B12:P12+(B12:P12=0))/Q12)),"")</f>
        <v/>
      </c>
      <c r="T12" s="16" t="str">
        <f aca="false">IF(Q12&gt;0,1-SUMPRODUCT((B12:P12/Q12)^2),"")</f>
        <v/>
      </c>
      <c r="U12" s="15" t="str">
        <f aca="false">IF(AND(Q12&gt;0,R12&gt;1),S12/LN(R12),"")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4" t="n">
        <f aca="false">SUM(B13:P13)</f>
        <v>0</v>
      </c>
      <c r="R13" s="14" t="str">
        <f aca="false">IF(Q13&gt;0,COUNTIF(B13:P13,"&gt;0"),"")</f>
        <v/>
      </c>
      <c r="S13" s="15" t="str">
        <f aca="false">IF(Q13&gt;0,-SUMPRODUCT((B13:P13&gt;0)*B13:P13/Q13*LN((B13:P13+(B13:P13=0))/Q13)),"")</f>
        <v/>
      </c>
      <c r="T13" s="16" t="str">
        <f aca="false">IF(Q13&gt;0,1-SUMPRODUCT((B13:P13/Q13)^2),"")</f>
        <v/>
      </c>
      <c r="U13" s="15" t="str">
        <f aca="false">IF(AND(Q13&gt;0,R13&gt;1),S13/LN(R13),"")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4" t="n">
        <f aca="false">SUM(B14:P14)</f>
        <v>0</v>
      </c>
      <c r="R14" s="14" t="str">
        <f aca="false">IF(Q14&gt;0,COUNTIF(B14:P14,"&gt;0"),"")</f>
        <v/>
      </c>
      <c r="S14" s="15" t="str">
        <f aca="false">IF(Q14&gt;0,-SUMPRODUCT((B14:P14&gt;0)*B14:P14/Q14*LN((B14:P14+(B14:P14=0))/Q14)),"")</f>
        <v/>
      </c>
      <c r="T14" s="16" t="str">
        <f aca="false">IF(Q14&gt;0,1-SUMPRODUCT((B14:P14/Q14)^2),"")</f>
        <v/>
      </c>
      <c r="U14" s="15" t="str">
        <f aca="false">IF(AND(Q14&gt;0,R14&gt;1),S14/LN(R14),"")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4" t="n">
        <f aca="false">SUM(B15:P15)</f>
        <v>0</v>
      </c>
      <c r="R15" s="14" t="str">
        <f aca="false">IF(Q15&gt;0,COUNTIF(B15:P15,"&gt;0"),"")</f>
        <v/>
      </c>
      <c r="S15" s="15" t="str">
        <f aca="false">IF(Q15&gt;0,-SUMPRODUCT((B15:P15&gt;0)*B15:P15/Q15*LN((B15:P15+(B15:P15=0))/Q15)),"")</f>
        <v/>
      </c>
      <c r="T15" s="16" t="str">
        <f aca="false">IF(Q15&gt;0,1-SUMPRODUCT((B15:P15/Q15)^2),"")</f>
        <v/>
      </c>
      <c r="U15" s="15" t="str">
        <f aca="false">IF(AND(Q15&gt;0,R15&gt;1),S15/LN(R15),"")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4" t="n">
        <f aca="false">SUM(B16:P16)</f>
        <v>0</v>
      </c>
      <c r="R16" s="14" t="str">
        <f aca="false">IF(Q16&gt;0,COUNTIF(B16:P16,"&gt;0"),"")</f>
        <v/>
      </c>
      <c r="S16" s="15" t="str">
        <f aca="false">IF(Q16&gt;0,-SUMPRODUCT((B16:P16&gt;0)*B16:P16/Q16*LN((B16:P16+(B16:P16=0))/Q16)),"")</f>
        <v/>
      </c>
      <c r="T16" s="16" t="str">
        <f aca="false">IF(Q16&gt;0,1-SUMPRODUCT((B16:P16/Q16)^2),"")</f>
        <v/>
      </c>
      <c r="U16" s="15" t="str">
        <f aca="false">IF(AND(Q16&gt;0,R16&gt;1),S16/LN(R16),"")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4" t="n">
        <f aca="false">SUM(B17:P17)</f>
        <v>0</v>
      </c>
      <c r="R17" s="14" t="str">
        <f aca="false">IF(Q17&gt;0,COUNTIF(B17:P17,"&gt;0"),"")</f>
        <v/>
      </c>
      <c r="S17" s="15" t="str">
        <f aca="false">IF(Q17&gt;0,-SUMPRODUCT((B17:P17&gt;0)*B17:P17/Q17*LN((B17:P17+(B17:P17=0))/Q17)),"")</f>
        <v/>
      </c>
      <c r="T17" s="16" t="str">
        <f aca="false">IF(Q17&gt;0,1-SUMPRODUCT((B17:P17/Q17)^2),"")</f>
        <v/>
      </c>
      <c r="U17" s="15" t="str">
        <f aca="false">IF(AND(Q17&gt;0,R17&gt;1),S17/LN(R17),"")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4" t="n">
        <f aca="false">SUM(B18:P18)</f>
        <v>0</v>
      </c>
      <c r="R18" s="14" t="str">
        <f aca="false">IF(Q18&gt;0,COUNTIF(B18:P18,"&gt;0"),"")</f>
        <v/>
      </c>
      <c r="S18" s="15" t="str">
        <f aca="false">IF(Q18&gt;0,-SUMPRODUCT((B18:P18&gt;0)*B18:P18/Q18*LN((B18:P18+(B18:P18=0))/Q18)),"")</f>
        <v/>
      </c>
      <c r="T18" s="16" t="str">
        <f aca="false">IF(Q18&gt;0,1-SUMPRODUCT((B18:P18/Q18)^2),"")</f>
        <v/>
      </c>
      <c r="U18" s="15" t="str">
        <f aca="false">IF(AND(Q18&gt;0,R18&gt;1),S18/LN(R18),"")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4" t="n">
        <f aca="false">SUM(B19:P19)</f>
        <v>0</v>
      </c>
      <c r="R19" s="14" t="str">
        <f aca="false">IF(Q19&gt;0,COUNTIF(B19:P19,"&gt;0"),"")</f>
        <v/>
      </c>
      <c r="S19" s="15" t="str">
        <f aca="false">IF(Q19&gt;0,-SUMPRODUCT((B19:P19&gt;0)*B19:P19/Q19*LN((B19:P19+(B19:P19=0))/Q19)),"")</f>
        <v/>
      </c>
      <c r="T19" s="16" t="str">
        <f aca="false">IF(Q19&gt;0,1-SUMPRODUCT((B19:P19/Q19)^2),"")</f>
        <v/>
      </c>
      <c r="U19" s="15" t="str">
        <f aca="false">IF(AND(Q19&gt;0,R19&gt;1),S19/LN(R19),"")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4" t="n">
        <f aca="false">SUM(B20:P20)</f>
        <v>0</v>
      </c>
      <c r="R20" s="14" t="str">
        <f aca="false">IF(Q20&gt;0,COUNTIF(B20:P20,"&gt;0"),"")</f>
        <v/>
      </c>
      <c r="S20" s="15" t="str">
        <f aca="false">IF(Q20&gt;0,-SUMPRODUCT((B20:P20&gt;0)*B20:P20/Q20*LN((B20:P20+(B20:P20=0))/Q20)),"")</f>
        <v/>
      </c>
      <c r="T20" s="16" t="str">
        <f aca="false">IF(Q20&gt;0,1-SUMPRODUCT((B20:P20/Q20)^2),"")</f>
        <v/>
      </c>
      <c r="U20" s="15" t="str">
        <f aca="false">IF(AND(Q20&gt;0,R20&gt;1),S20/LN(R20),"")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4" t="n">
        <f aca="false">SUM(B21:P21)</f>
        <v>0</v>
      </c>
      <c r="R21" s="14" t="str">
        <f aca="false">IF(Q21&gt;0,COUNTIF(B21:P21,"&gt;0"),"")</f>
        <v/>
      </c>
      <c r="S21" s="15" t="str">
        <f aca="false">IF(Q21&gt;0,-SUMPRODUCT((B21:P21&gt;0)*B21:P21/Q21*LN((B21:P21+(B21:P21=0))/Q21)),"")</f>
        <v/>
      </c>
      <c r="T21" s="16" t="str">
        <f aca="false">IF(Q21&gt;0,1-SUMPRODUCT((B21:P21/Q21)^2),"")</f>
        <v/>
      </c>
      <c r="U21" s="15" t="str">
        <f aca="false">IF(AND(Q21&gt;0,R21&gt;1),S21/LN(R21),"")</f>
        <v/>
      </c>
    </row>
    <row r="24" customFormat="false" ht="15" hidden="false" customHeight="false" outlineLevel="0" collapsed="false">
      <c r="A24" s="9" t="s">
        <v>44</v>
      </c>
    </row>
    <row r="25" customFormat="false" ht="31.5" hidden="false" customHeight="true" outlineLevel="0" collapsed="false">
      <c r="A25" s="10" t="s">
        <v>22</v>
      </c>
      <c r="B25" s="10" t="s">
        <v>23</v>
      </c>
      <c r="C25" s="10" t="s">
        <v>24</v>
      </c>
      <c r="D25" s="10" t="s">
        <v>25</v>
      </c>
      <c r="E25" s="10" t="s">
        <v>26</v>
      </c>
      <c r="F25" s="10" t="s">
        <v>27</v>
      </c>
      <c r="G25" s="10" t="s">
        <v>28</v>
      </c>
      <c r="H25" s="10" t="s">
        <v>29</v>
      </c>
      <c r="I25" s="10" t="s">
        <v>30</v>
      </c>
      <c r="J25" s="10" t="s">
        <v>31</v>
      </c>
      <c r="K25" s="10" t="s">
        <v>32</v>
      </c>
      <c r="L25" s="10" t="s">
        <v>33</v>
      </c>
      <c r="M25" s="10" t="s">
        <v>34</v>
      </c>
      <c r="N25" s="10" t="s">
        <v>35</v>
      </c>
      <c r="O25" s="10" t="s">
        <v>36</v>
      </c>
      <c r="P25" s="10" t="s">
        <v>37</v>
      </c>
      <c r="Q25" s="10" t="s">
        <v>38</v>
      </c>
      <c r="R25" s="10" t="s">
        <v>39</v>
      </c>
      <c r="S25" s="10" t="s">
        <v>40</v>
      </c>
      <c r="T25" s="10" t="s">
        <v>41</v>
      </c>
      <c r="U25" s="10" t="s">
        <v>42</v>
      </c>
    </row>
    <row r="26" customFormat="false" ht="15" hidden="false" customHeight="false" outlineLevel="0" collapsed="false">
      <c r="A26" s="13" t="s">
        <v>43</v>
      </c>
      <c r="B26" s="13" t="n">
        <v>5</v>
      </c>
      <c r="C26" s="13" t="n">
        <v>3</v>
      </c>
      <c r="D26" s="13" t="n">
        <v>2</v>
      </c>
      <c r="E26" s="13" t="n">
        <v>1</v>
      </c>
      <c r="F26" s="13" t="n">
        <v>1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4" t="n">
        <f aca="false">SUM(B27:P27)</f>
        <v>0</v>
      </c>
      <c r="R27" s="14" t="str">
        <f aca="false">IF(Q27&gt;0,COUNTIF(B27:P27,"&gt;0"),"")</f>
        <v/>
      </c>
      <c r="S27" s="15" t="str">
        <f aca="false">IF(Q27&gt;0,-SUMPRODUCT((B27:P27&gt;0)*B27:P27/Q27*LN((B27:P27+(B27:P27=0))/Q27)),"")</f>
        <v/>
      </c>
      <c r="T27" s="16" t="str">
        <f aca="false">IF(Q27&gt;0,1-SUMPRODUCT((B27:P27/Q27)^2),"")</f>
        <v/>
      </c>
      <c r="U27" s="15" t="str">
        <f aca="false">IF(AND(Q27&gt;0,R27&gt;1),S27/LN(R27),"")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4" t="n">
        <f aca="false">SUM(B28:P28)</f>
        <v>0</v>
      </c>
      <c r="R28" s="14" t="str">
        <f aca="false">IF(Q28&gt;0,COUNTIF(B28:P28,"&gt;0"),"")</f>
        <v/>
      </c>
      <c r="S28" s="15" t="str">
        <f aca="false">IF(Q28&gt;0,-SUMPRODUCT((B28:P28&gt;0)*B28:P28/Q28*LN((B28:P28+(B28:P28=0))/Q28)),"")</f>
        <v/>
      </c>
      <c r="T28" s="16" t="str">
        <f aca="false">IF(Q28&gt;0,1-SUMPRODUCT((B28:P28/Q28)^2),"")</f>
        <v/>
      </c>
      <c r="U28" s="15" t="str">
        <f aca="false">IF(AND(Q28&gt;0,R28&gt;1),S28/LN(R28),"")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4" t="n">
        <f aca="false">SUM(B29:P29)</f>
        <v>0</v>
      </c>
      <c r="R29" s="14" t="str">
        <f aca="false">IF(Q29&gt;0,COUNTIF(B29:P29,"&gt;0"),"")</f>
        <v/>
      </c>
      <c r="S29" s="15" t="str">
        <f aca="false">IF(Q29&gt;0,-SUMPRODUCT((B29:P29&gt;0)*B29:P29/Q29*LN((B29:P29+(B29:P29=0))/Q29)),"")</f>
        <v/>
      </c>
      <c r="T29" s="16" t="str">
        <f aca="false">IF(Q29&gt;0,1-SUMPRODUCT((B29:P29/Q29)^2),"")</f>
        <v/>
      </c>
      <c r="U29" s="15" t="str">
        <f aca="false">IF(AND(Q29&gt;0,R29&gt;1),S29/LN(R29),"")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4" t="n">
        <f aca="false">SUM(B30:P30)</f>
        <v>0</v>
      </c>
      <c r="R30" s="14" t="str">
        <f aca="false">IF(Q30&gt;0,COUNTIF(B30:P30,"&gt;0"),"")</f>
        <v/>
      </c>
      <c r="S30" s="15" t="str">
        <f aca="false">IF(Q30&gt;0,-SUMPRODUCT((B30:P30&gt;0)*B30:P30/Q30*LN((B30:P30+(B30:P30=0))/Q30)),"")</f>
        <v/>
      </c>
      <c r="T30" s="16" t="str">
        <f aca="false">IF(Q30&gt;0,1-SUMPRODUCT((B30:P30/Q30)^2),"")</f>
        <v/>
      </c>
      <c r="U30" s="15" t="str">
        <f aca="false">IF(AND(Q30&gt;0,R30&gt;1),S30/LN(R30),"")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4" t="n">
        <f aca="false">SUM(B31:P31)</f>
        <v>0</v>
      </c>
      <c r="R31" s="14" t="str">
        <f aca="false">IF(Q31&gt;0,COUNTIF(B31:P31,"&gt;0"),"")</f>
        <v/>
      </c>
      <c r="S31" s="15" t="str">
        <f aca="false">IF(Q31&gt;0,-SUMPRODUCT((B31:P31&gt;0)*B31:P31/Q31*LN((B31:P31+(B31:P31=0))/Q31)),"")</f>
        <v/>
      </c>
      <c r="T31" s="16" t="str">
        <f aca="false">IF(Q31&gt;0,1-SUMPRODUCT((B31:P31/Q31)^2),"")</f>
        <v/>
      </c>
      <c r="U31" s="15" t="str">
        <f aca="false">IF(AND(Q31&gt;0,R31&gt;1),S31/LN(R31),"")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4" t="n">
        <f aca="false">SUM(B32:P32)</f>
        <v>0</v>
      </c>
      <c r="R32" s="14" t="str">
        <f aca="false">IF(Q32&gt;0,COUNTIF(B32:P32,"&gt;0"),"")</f>
        <v/>
      </c>
      <c r="S32" s="15" t="str">
        <f aca="false">IF(Q32&gt;0,-SUMPRODUCT((B32:P32&gt;0)*B32:P32/Q32*LN((B32:P32+(B32:P32=0))/Q32)),"")</f>
        <v/>
      </c>
      <c r="T32" s="16" t="str">
        <f aca="false">IF(Q32&gt;0,1-SUMPRODUCT((B32:P32/Q32)^2),"")</f>
        <v/>
      </c>
      <c r="U32" s="15" t="str">
        <f aca="false">IF(AND(Q32&gt;0,R32&gt;1),S32/LN(R32),"")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4" t="n">
        <f aca="false">SUM(B33:P33)</f>
        <v>0</v>
      </c>
      <c r="R33" s="14" t="str">
        <f aca="false">IF(Q33&gt;0,COUNTIF(B33:P33,"&gt;0"),"")</f>
        <v/>
      </c>
      <c r="S33" s="15" t="str">
        <f aca="false">IF(Q33&gt;0,-SUMPRODUCT((B33:P33&gt;0)*B33:P33/Q33*LN((B33:P33+(B33:P33=0))/Q33)),"")</f>
        <v/>
      </c>
      <c r="T33" s="16" t="str">
        <f aca="false">IF(Q33&gt;0,1-SUMPRODUCT((B33:P33/Q33)^2),"")</f>
        <v/>
      </c>
      <c r="U33" s="15" t="str">
        <f aca="false">IF(AND(Q33&gt;0,R33&gt;1),S33/LN(R33),"")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4" t="n">
        <f aca="false">SUM(B34:P34)</f>
        <v>0</v>
      </c>
      <c r="R34" s="14" t="str">
        <f aca="false">IF(Q34&gt;0,COUNTIF(B34:P34,"&gt;0"),"")</f>
        <v/>
      </c>
      <c r="S34" s="15" t="str">
        <f aca="false">IF(Q34&gt;0,-SUMPRODUCT((B34:P34&gt;0)*B34:P34/Q34*LN((B34:P34+(B34:P34=0))/Q34)),"")</f>
        <v/>
      </c>
      <c r="T34" s="16" t="str">
        <f aca="false">IF(Q34&gt;0,1-SUMPRODUCT((B34:P34/Q34)^2),"")</f>
        <v/>
      </c>
      <c r="U34" s="15" t="str">
        <f aca="false">IF(AND(Q34&gt;0,R34&gt;1),S34/LN(R34),"")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4" t="n">
        <f aca="false">SUM(B35:P35)</f>
        <v>0</v>
      </c>
      <c r="R35" s="14" t="str">
        <f aca="false">IF(Q35&gt;0,COUNTIF(B35:P35,"&gt;0"),"")</f>
        <v/>
      </c>
      <c r="S35" s="15" t="str">
        <f aca="false">IF(Q35&gt;0,-SUMPRODUCT((B35:P35&gt;0)*B35:P35/Q35*LN((B35:P35+(B35:P35=0))/Q35)),"")</f>
        <v/>
      </c>
      <c r="T35" s="16" t="str">
        <f aca="false">IF(Q35&gt;0,1-SUMPRODUCT((B35:P35/Q35)^2),"")</f>
        <v/>
      </c>
      <c r="U35" s="15" t="str">
        <f aca="false">IF(AND(Q35&gt;0,R35&gt;1),S35/LN(R35),"")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4" t="n">
        <f aca="false">SUM(B36:P36)</f>
        <v>0</v>
      </c>
      <c r="R36" s="14" t="str">
        <f aca="false">IF(Q36&gt;0,COUNTIF(B36:P36,"&gt;0"),"")</f>
        <v/>
      </c>
      <c r="S36" s="15" t="str">
        <f aca="false">IF(Q36&gt;0,-SUMPRODUCT((B36:P36&gt;0)*B36:P36/Q36*LN((B36:P36+(B36:P36=0))/Q36)),"")</f>
        <v/>
      </c>
      <c r="T36" s="16" t="str">
        <f aca="false">IF(Q36&gt;0,1-SUMPRODUCT((B36:P36/Q36)^2),"")</f>
        <v/>
      </c>
      <c r="U36" s="15" t="str">
        <f aca="false">IF(AND(Q36&gt;0,R36&gt;1),S36/LN(R36),"")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P21 B27:P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45</v>
      </c>
    </row>
    <row r="2" customFormat="false" ht="15" hidden="false" customHeight="false" outlineLevel="0" collapsed="false">
      <c r="B2" s="8" t="s">
        <v>46</v>
      </c>
    </row>
    <row r="4" customFormat="false" ht="15" hidden="false" customHeight="false" outlineLevel="0" collapsed="false">
      <c r="B4" s="9" t="s">
        <v>47</v>
      </c>
    </row>
    <row r="5" customFormat="false" ht="30" hidden="false" customHeight="true" outlineLevel="0" collapsed="false"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</row>
    <row r="6" customFormat="false" ht="15" hidden="false" customHeight="false" outlineLevel="0" collapsed="false">
      <c r="B6" s="17" t="n">
        <f aca="false">IFERROR('Enter data'!$A$6,"")</f>
        <v>0</v>
      </c>
      <c r="C6" s="18" t="n">
        <f aca="false">IFERROR(COUNT('Enter data'!$R$12:$R$21),"")</f>
        <v>0</v>
      </c>
      <c r="D6" s="19" t="str">
        <f aca="false">IFERROR(AVERAGE('Enter data'!$R$12:$R$21),"")</f>
        <v/>
      </c>
      <c r="E6" s="19" t="str">
        <f aca="false">IFERROR(STDEV('Enter data'!$R$12:$R$21),"")</f>
        <v/>
      </c>
      <c r="F6" s="19" t="str">
        <f aca="false">IFERROR(STDEV('Enter data'!$R$12:$R$21)/SQRT(COUNT('Enter data'!$R$12:$R$21)),"")</f>
        <v/>
      </c>
      <c r="G6" s="19" t="n">
        <f aca="false">IFERROR(MIN('Enter data'!$R$12:$R$21),"")</f>
        <v>0</v>
      </c>
      <c r="H6" s="19" t="n">
        <f aca="false">IFERROR(MAX('Enter data'!$R$12:$R$21),"")</f>
        <v>0</v>
      </c>
    </row>
    <row r="7" customFormat="false" ht="15" hidden="false" customHeight="false" outlineLevel="0" collapsed="false">
      <c r="B7" s="17" t="n">
        <f aca="false">IFERROR('Enter data'!$B$6,"")</f>
        <v>0</v>
      </c>
      <c r="C7" s="18" t="n">
        <f aca="false">IFERROR(COUNT('Enter data'!$R$27:$R$36),"")</f>
        <v>0</v>
      </c>
      <c r="D7" s="19" t="str">
        <f aca="false">IFERROR(AVERAGE('Enter data'!$R$27:$R$36),"")</f>
        <v/>
      </c>
      <c r="E7" s="19" t="str">
        <f aca="false">IFERROR(STDEV('Enter data'!$R$27:$R$36),"")</f>
        <v/>
      </c>
      <c r="F7" s="19" t="str">
        <f aca="false">IFERROR(STDEV('Enter data'!$R$27:$R$36)/SQRT(COUNT('Enter data'!$R$27:$R$36)),"")</f>
        <v/>
      </c>
      <c r="G7" s="19" t="n">
        <f aca="false">IFERROR(MIN('Enter data'!$R$27:$R$36),"")</f>
        <v>0</v>
      </c>
      <c r="H7" s="19" t="n">
        <f aca="false">IFERROR(MAX('Enter data'!$R$27:$R$36),"")</f>
        <v>0</v>
      </c>
    </row>
    <row r="9" customFormat="false" ht="15" hidden="false" customHeight="false" outlineLevel="0" collapsed="false">
      <c r="B9" s="20" t="s">
        <v>55</v>
      </c>
      <c r="C9" s="21" t="str">
        <f aca="false">IFERROR($D$6-$D$7,"")</f>
        <v/>
      </c>
    </row>
    <row r="10" customFormat="false" ht="15" hidden="false" customHeight="false" outlineLevel="0" collapsed="false">
      <c r="B10" s="20" t="s">
        <v>56</v>
      </c>
      <c r="C10" s="21" t="str">
        <f aca="false">IFERROR(SQRT($F$6^2+$F$7^2),"")</f>
        <v/>
      </c>
    </row>
    <row r="11" customFormat="false" ht="15" hidden="false" customHeight="false" outlineLevel="0" collapsed="false">
      <c r="B11" s="20" t="s">
        <v>57</v>
      </c>
      <c r="C11" s="21" t="str">
        <f aca="false">IFERROR((($E$6^2/$C$6+$E$7^2/$C$7)^2/(($E$6^2/$C$6)^2/($C$6-1)+($E$7^2/$C$7)^2/($C$7-1))),"")</f>
        <v/>
      </c>
    </row>
    <row r="12" customFormat="false" ht="15" hidden="false" customHeight="false" outlineLevel="0" collapsed="false">
      <c r="B12" s="20" t="s">
        <v>58</v>
      </c>
      <c r="C12" s="22" t="str">
        <f aca="false">IFERROR(TTEST('Enter data'!$R$12:$R$21,'Enter data'!$R$27:$R$36,2,3),"")</f>
        <v/>
      </c>
    </row>
    <row r="14" customFormat="false" ht="15" hidden="false" customHeight="false" outlineLevel="0" collapsed="false">
      <c r="B14" s="9" t="s">
        <v>59</v>
      </c>
    </row>
    <row r="15" customFormat="false" ht="30" hidden="false" customHeight="true" outlineLevel="0" collapsed="false">
      <c r="B15" s="10" t="s">
        <v>48</v>
      </c>
      <c r="C15" s="10" t="s">
        <v>49</v>
      </c>
      <c r="D15" s="10" t="s">
        <v>50</v>
      </c>
      <c r="E15" s="10" t="s">
        <v>51</v>
      </c>
      <c r="F15" s="10" t="s">
        <v>52</v>
      </c>
      <c r="G15" s="10" t="s">
        <v>53</v>
      </c>
      <c r="H15" s="10" t="s">
        <v>54</v>
      </c>
    </row>
    <row r="16" customFormat="false" ht="15" hidden="false" customHeight="false" outlineLevel="0" collapsed="false">
      <c r="B16" s="17" t="n">
        <f aca="false">IFERROR('Enter data'!$A$6,"")</f>
        <v>0</v>
      </c>
      <c r="C16" s="18" t="n">
        <f aca="false">IFERROR(COUNT('Enter data'!$S$12:$S$21),"")</f>
        <v>0</v>
      </c>
      <c r="D16" s="19" t="str">
        <f aca="false">IFERROR(AVERAGE('Enter data'!$S$12:$S$21),"")</f>
        <v/>
      </c>
      <c r="E16" s="19" t="str">
        <f aca="false">IFERROR(STDEV('Enter data'!$S$12:$S$21),"")</f>
        <v/>
      </c>
      <c r="F16" s="19" t="str">
        <f aca="false">IFERROR(STDEV('Enter data'!$S$12:$S$21)/SQRT(COUNT('Enter data'!$S$12:$S$21)),"")</f>
        <v/>
      </c>
      <c r="G16" s="19" t="n">
        <f aca="false">IFERROR(MIN('Enter data'!$S$12:$S$21),"")</f>
        <v>0</v>
      </c>
      <c r="H16" s="19" t="n">
        <f aca="false">IFERROR(MAX('Enter data'!$S$12:$S$21),"")</f>
        <v>0</v>
      </c>
    </row>
    <row r="17" customFormat="false" ht="15" hidden="false" customHeight="false" outlineLevel="0" collapsed="false">
      <c r="B17" s="17" t="n">
        <f aca="false">IFERROR('Enter data'!$B$6,"")</f>
        <v>0</v>
      </c>
      <c r="C17" s="18" t="n">
        <f aca="false">IFERROR(COUNT('Enter data'!$S$27:$S$36),"")</f>
        <v>0</v>
      </c>
      <c r="D17" s="19" t="str">
        <f aca="false">IFERROR(AVERAGE('Enter data'!$S$27:$S$36),"")</f>
        <v/>
      </c>
      <c r="E17" s="19" t="str">
        <f aca="false">IFERROR(STDEV('Enter data'!$S$27:$S$36),"")</f>
        <v/>
      </c>
      <c r="F17" s="19" t="str">
        <f aca="false">IFERROR(STDEV('Enter data'!$S$27:$S$36)/SQRT(COUNT('Enter data'!$S$27:$S$36)),"")</f>
        <v/>
      </c>
      <c r="G17" s="19" t="n">
        <f aca="false">IFERROR(MIN('Enter data'!$S$27:$S$36),"")</f>
        <v>0</v>
      </c>
      <c r="H17" s="19" t="n">
        <f aca="false">IFERROR(MAX('Enter data'!$S$27:$S$36),"")</f>
        <v>0</v>
      </c>
    </row>
    <row r="19" customFormat="false" ht="15" hidden="false" customHeight="false" outlineLevel="0" collapsed="false">
      <c r="B19" s="20" t="s">
        <v>55</v>
      </c>
      <c r="C19" s="23" t="str">
        <f aca="false">IFERROR($D$16-$D$17,"")</f>
        <v/>
      </c>
    </row>
    <row r="20" customFormat="false" ht="15" hidden="false" customHeight="false" outlineLevel="0" collapsed="false">
      <c r="B20" s="20" t="s">
        <v>56</v>
      </c>
      <c r="C20" s="23" t="str">
        <f aca="false">IFERROR(SQRT($F$16^2+$F$17^2),"")</f>
        <v/>
      </c>
    </row>
    <row r="21" customFormat="false" ht="15" hidden="false" customHeight="false" outlineLevel="0" collapsed="false">
      <c r="B21" s="20" t="s">
        <v>57</v>
      </c>
      <c r="C21" s="21" t="str">
        <f aca="false">IFERROR((($E$16^2/$C$16+$E$17^2/$C$17)^2/(($E$16^2/$C$16)^2/($C$16-1)+($E$17^2/$C$17)^2/($C$17-1))),"")</f>
        <v/>
      </c>
    </row>
    <row r="22" customFormat="false" ht="15" hidden="false" customHeight="false" outlineLevel="0" collapsed="false">
      <c r="B22" s="20" t="s">
        <v>58</v>
      </c>
      <c r="C22" s="22" t="str">
        <f aca="false">IFERROR(TTEST('Enter data'!$S$12:$S$21,'Enter data'!$S$27:$S$36,2,3),"")</f>
        <v/>
      </c>
    </row>
    <row r="24" customFormat="false" ht="15" hidden="false" customHeight="false" outlineLevel="0" collapsed="false">
      <c r="B24" s="9" t="s">
        <v>60</v>
      </c>
    </row>
    <row r="25" customFormat="false" ht="30" hidden="false" customHeight="true" outlineLevel="0" collapsed="false">
      <c r="B25" s="10" t="s">
        <v>61</v>
      </c>
      <c r="C25" s="10" t="s">
        <v>62</v>
      </c>
      <c r="D25" s="10" t="s">
        <v>63</v>
      </c>
      <c r="E25" s="10" t="s">
        <v>64</v>
      </c>
      <c r="F25" s="10" t="s">
        <v>65</v>
      </c>
    </row>
    <row r="26" customFormat="false" ht="15" hidden="false" customHeight="false" outlineLevel="0" collapsed="false">
      <c r="B26" s="17" t="str">
        <f aca="false">IFERROR('Enter data'!$B$10,"")</f>
        <v>morphospecies 1</v>
      </c>
      <c r="C26" s="18" t="n">
        <f aca="false">IFERROR(SUM('Enter data'!$B$12:$B$21),"")</f>
        <v>0</v>
      </c>
      <c r="D26" s="18" t="n">
        <f aca="false">IFERROR(SUM('Enter data'!$B$27:$B$36),"")</f>
        <v>0</v>
      </c>
      <c r="E26" s="18" t="n">
        <f aca="false">IFERROR(ABS(C26-D26),"")</f>
        <v>0</v>
      </c>
      <c r="F26" s="18" t="n">
        <f aca="false">IFERROR(C26+D26,"")</f>
        <v>0</v>
      </c>
    </row>
    <row r="27" customFormat="false" ht="15" hidden="false" customHeight="false" outlineLevel="0" collapsed="false">
      <c r="B27" s="17" t="str">
        <f aca="false">IFERROR('Enter data'!$C$10,"")</f>
        <v>morphospecies 2</v>
      </c>
      <c r="C27" s="18" t="n">
        <f aca="false">IFERROR(SUM('Enter data'!$C$12:$C$21),"")</f>
        <v>0</v>
      </c>
      <c r="D27" s="18" t="n">
        <f aca="false">IFERROR(SUM('Enter data'!$C$27:$C$36),"")</f>
        <v>0</v>
      </c>
      <c r="E27" s="18" t="n">
        <f aca="false">IFERROR(ABS(C27-D27),"")</f>
        <v>0</v>
      </c>
      <c r="F27" s="18" t="n">
        <f aca="false">IFERROR(C27+D27,"")</f>
        <v>0</v>
      </c>
    </row>
    <row r="28" customFormat="false" ht="15" hidden="false" customHeight="false" outlineLevel="0" collapsed="false">
      <c r="B28" s="17" t="str">
        <f aca="false">IFERROR('Enter data'!$D$10,"")</f>
        <v>morphospecies 3</v>
      </c>
      <c r="C28" s="18" t="n">
        <f aca="false">IFERROR(SUM('Enter data'!$D$12:$D$21),"")</f>
        <v>0</v>
      </c>
      <c r="D28" s="18" t="n">
        <f aca="false">IFERROR(SUM('Enter data'!$D$27:$D$36),"")</f>
        <v>0</v>
      </c>
      <c r="E28" s="18" t="n">
        <f aca="false">IFERROR(ABS(C28-D28),"")</f>
        <v>0</v>
      </c>
      <c r="F28" s="18" t="n">
        <f aca="false">IFERROR(C28+D28,"")</f>
        <v>0</v>
      </c>
    </row>
    <row r="29" customFormat="false" ht="15" hidden="false" customHeight="false" outlineLevel="0" collapsed="false">
      <c r="B29" s="17" t="str">
        <f aca="false">IFERROR('Enter data'!$E$10,"")</f>
        <v>morphospecies 4</v>
      </c>
      <c r="C29" s="18" t="n">
        <f aca="false">IFERROR(SUM('Enter data'!$E$12:$E$21),"")</f>
        <v>0</v>
      </c>
      <c r="D29" s="18" t="n">
        <f aca="false">IFERROR(SUM('Enter data'!$E$27:$E$36),"")</f>
        <v>0</v>
      </c>
      <c r="E29" s="18" t="n">
        <f aca="false">IFERROR(ABS(C29-D29),"")</f>
        <v>0</v>
      </c>
      <c r="F29" s="18" t="n">
        <f aca="false">IFERROR(C29+D29,"")</f>
        <v>0</v>
      </c>
    </row>
    <row r="30" customFormat="false" ht="15" hidden="false" customHeight="false" outlineLevel="0" collapsed="false">
      <c r="B30" s="17" t="str">
        <f aca="false">IFERROR('Enter data'!$F$10,"")</f>
        <v>morphospecies 5</v>
      </c>
      <c r="C30" s="18" t="n">
        <f aca="false">IFERROR(SUM('Enter data'!$F$12:$F$21),"")</f>
        <v>0</v>
      </c>
      <c r="D30" s="18" t="n">
        <f aca="false">IFERROR(SUM('Enter data'!$F$27:$F$36),"")</f>
        <v>0</v>
      </c>
      <c r="E30" s="18" t="n">
        <f aca="false">IFERROR(ABS(C30-D30),"")</f>
        <v>0</v>
      </c>
      <c r="F30" s="18" t="n">
        <f aca="false">IFERROR(C30+D30,"")</f>
        <v>0</v>
      </c>
    </row>
    <row r="31" customFormat="false" ht="15" hidden="false" customHeight="false" outlineLevel="0" collapsed="false">
      <c r="B31" s="17" t="str">
        <f aca="false">IFERROR('Enter data'!$G$10,"")</f>
        <v>morphospecies 6</v>
      </c>
      <c r="C31" s="18" t="n">
        <f aca="false">IFERROR(SUM('Enter data'!$G$12:$G$21),"")</f>
        <v>0</v>
      </c>
      <c r="D31" s="18" t="n">
        <f aca="false">IFERROR(SUM('Enter data'!$G$27:$G$36),"")</f>
        <v>0</v>
      </c>
      <c r="E31" s="18" t="n">
        <f aca="false">IFERROR(ABS(C31-D31),"")</f>
        <v>0</v>
      </c>
      <c r="F31" s="18" t="n">
        <f aca="false">IFERROR(C31+D31,"")</f>
        <v>0</v>
      </c>
    </row>
    <row r="32" customFormat="false" ht="15" hidden="false" customHeight="false" outlineLevel="0" collapsed="false">
      <c r="B32" s="17" t="str">
        <f aca="false">IFERROR('Enter data'!$H$10,"")</f>
        <v>morphospecies 7</v>
      </c>
      <c r="C32" s="18" t="n">
        <f aca="false">IFERROR(SUM('Enter data'!$H$12:$H$21),"")</f>
        <v>0</v>
      </c>
      <c r="D32" s="18" t="n">
        <f aca="false">IFERROR(SUM('Enter data'!$H$27:$H$36),"")</f>
        <v>0</v>
      </c>
      <c r="E32" s="18" t="n">
        <f aca="false">IFERROR(ABS(C32-D32),"")</f>
        <v>0</v>
      </c>
      <c r="F32" s="18" t="n">
        <f aca="false">IFERROR(C32+D32,"")</f>
        <v>0</v>
      </c>
    </row>
    <row r="33" customFormat="false" ht="15" hidden="false" customHeight="false" outlineLevel="0" collapsed="false">
      <c r="B33" s="17" t="str">
        <f aca="false">IFERROR('Enter data'!$I$10,"")</f>
        <v>morphospecies 8</v>
      </c>
      <c r="C33" s="18" t="n">
        <f aca="false">IFERROR(SUM('Enter data'!$I$12:$I$21),"")</f>
        <v>0</v>
      </c>
      <c r="D33" s="18" t="n">
        <f aca="false">IFERROR(SUM('Enter data'!$I$27:$I$36),"")</f>
        <v>0</v>
      </c>
      <c r="E33" s="18" t="n">
        <f aca="false">IFERROR(ABS(C33-D33),"")</f>
        <v>0</v>
      </c>
      <c r="F33" s="18" t="n">
        <f aca="false">IFERROR(C33+D33,"")</f>
        <v>0</v>
      </c>
    </row>
    <row r="34" customFormat="false" ht="15" hidden="false" customHeight="false" outlineLevel="0" collapsed="false">
      <c r="B34" s="17" t="str">
        <f aca="false">IFERROR('Enter data'!$J$10,"")</f>
        <v>morphospecies 9</v>
      </c>
      <c r="C34" s="18" t="n">
        <f aca="false">IFERROR(SUM('Enter data'!$J$12:$J$21),"")</f>
        <v>0</v>
      </c>
      <c r="D34" s="18" t="n">
        <f aca="false">IFERROR(SUM('Enter data'!$J$27:$J$36),"")</f>
        <v>0</v>
      </c>
      <c r="E34" s="18" t="n">
        <f aca="false">IFERROR(ABS(C34-D34),"")</f>
        <v>0</v>
      </c>
      <c r="F34" s="18" t="n">
        <f aca="false">IFERROR(C34+D34,"")</f>
        <v>0</v>
      </c>
    </row>
    <row r="35" customFormat="false" ht="15" hidden="false" customHeight="false" outlineLevel="0" collapsed="false">
      <c r="B35" s="17" t="str">
        <f aca="false">IFERROR('Enter data'!$K$10,"")</f>
        <v>morphospecies 10</v>
      </c>
      <c r="C35" s="18" t="n">
        <f aca="false">IFERROR(SUM('Enter data'!$K$12:$K$21),"")</f>
        <v>0</v>
      </c>
      <c r="D35" s="18" t="n">
        <f aca="false">IFERROR(SUM('Enter data'!$K$27:$K$36),"")</f>
        <v>0</v>
      </c>
      <c r="E35" s="18" t="n">
        <f aca="false">IFERROR(ABS(C35-D35),"")</f>
        <v>0</v>
      </c>
      <c r="F35" s="18" t="n">
        <f aca="false">IFERROR(C35+D35,"")</f>
        <v>0</v>
      </c>
    </row>
    <row r="36" customFormat="false" ht="15" hidden="false" customHeight="false" outlineLevel="0" collapsed="false">
      <c r="B36" s="17" t="str">
        <f aca="false">IFERROR('Enter data'!$L$10,"")</f>
        <v>morphospecies 11</v>
      </c>
      <c r="C36" s="18" t="n">
        <f aca="false">IFERROR(SUM('Enter data'!$L$12:$L$21),"")</f>
        <v>0</v>
      </c>
      <c r="D36" s="18" t="n">
        <f aca="false">IFERROR(SUM('Enter data'!$L$27:$L$36),"")</f>
        <v>0</v>
      </c>
      <c r="E36" s="18" t="n">
        <f aca="false">IFERROR(ABS(C36-D36),"")</f>
        <v>0</v>
      </c>
      <c r="F36" s="18" t="n">
        <f aca="false">IFERROR(C36+D36,"")</f>
        <v>0</v>
      </c>
    </row>
    <row r="37" customFormat="false" ht="15" hidden="false" customHeight="false" outlineLevel="0" collapsed="false">
      <c r="B37" s="17" t="str">
        <f aca="false">IFERROR('Enter data'!$M$10,"")</f>
        <v>morphospecies 12</v>
      </c>
      <c r="C37" s="18" t="n">
        <f aca="false">IFERROR(SUM('Enter data'!$M$12:$M$21),"")</f>
        <v>0</v>
      </c>
      <c r="D37" s="18" t="n">
        <f aca="false">IFERROR(SUM('Enter data'!$M$27:$M$36),"")</f>
        <v>0</v>
      </c>
      <c r="E37" s="18" t="n">
        <f aca="false">IFERROR(ABS(C37-D37),"")</f>
        <v>0</v>
      </c>
      <c r="F37" s="18" t="n">
        <f aca="false">IFERROR(C37+D37,"")</f>
        <v>0</v>
      </c>
    </row>
    <row r="38" customFormat="false" ht="15" hidden="false" customHeight="false" outlineLevel="0" collapsed="false">
      <c r="B38" s="17" t="str">
        <f aca="false">IFERROR('Enter data'!$N$10,"")</f>
        <v>morphospecies 13</v>
      </c>
      <c r="C38" s="18" t="n">
        <f aca="false">IFERROR(SUM('Enter data'!$N$12:$N$21),"")</f>
        <v>0</v>
      </c>
      <c r="D38" s="18" t="n">
        <f aca="false">IFERROR(SUM('Enter data'!$N$27:$N$36),"")</f>
        <v>0</v>
      </c>
      <c r="E38" s="18" t="n">
        <f aca="false">IFERROR(ABS(C38-D38),"")</f>
        <v>0</v>
      </c>
      <c r="F38" s="18" t="n">
        <f aca="false">IFERROR(C38+D38,"")</f>
        <v>0</v>
      </c>
    </row>
    <row r="39" customFormat="false" ht="15" hidden="false" customHeight="false" outlineLevel="0" collapsed="false">
      <c r="B39" s="17" t="str">
        <f aca="false">IFERROR('Enter data'!$O$10,"")</f>
        <v>morphospecies 14</v>
      </c>
      <c r="C39" s="18" t="n">
        <f aca="false">IFERROR(SUM('Enter data'!$O$12:$O$21),"")</f>
        <v>0</v>
      </c>
      <c r="D39" s="18" t="n">
        <f aca="false">IFERROR(SUM('Enter data'!$O$27:$O$36),"")</f>
        <v>0</v>
      </c>
      <c r="E39" s="18" t="n">
        <f aca="false">IFERROR(ABS(C39-D39),"")</f>
        <v>0</v>
      </c>
      <c r="F39" s="18" t="n">
        <f aca="false">IFERROR(C39+D39,"")</f>
        <v>0</v>
      </c>
    </row>
    <row r="40" customFormat="false" ht="15" hidden="false" customHeight="false" outlineLevel="0" collapsed="false">
      <c r="B40" s="17" t="str">
        <f aca="false">IFERROR('Enter data'!$P$10,"")</f>
        <v>morphospecies 15</v>
      </c>
      <c r="C40" s="18" t="n">
        <f aca="false">IFERROR(SUM('Enter data'!$P$12:$P$21),"")</f>
        <v>0</v>
      </c>
      <c r="D40" s="18" t="n">
        <f aca="false">IFERROR(SUM('Enter data'!$P$27:$P$36),"")</f>
        <v>0</v>
      </c>
      <c r="E40" s="18" t="n">
        <f aca="false">IFERROR(ABS(C40-D40),"")</f>
        <v>0</v>
      </c>
      <c r="F40" s="18" t="n">
        <f aca="false">IFERROR(C40+D40,"")</f>
        <v>0</v>
      </c>
    </row>
    <row r="43" customFormat="false" ht="15" hidden="false" customHeight="false" outlineLevel="0" collapsed="false">
      <c r="B43" s="9" t="s">
        <v>66</v>
      </c>
    </row>
    <row r="44" customFormat="false" ht="15" hidden="false" customHeight="false" outlineLevel="0" collapsed="false">
      <c r="B44" s="20" t="s">
        <v>67</v>
      </c>
      <c r="C44" s="23" t="str">
        <f aca="false">IFERROR(SUM($E$26:$E$40)/SUM($F$26:$F$40),"")</f>
        <v/>
      </c>
    </row>
    <row r="45" customFormat="false" ht="15" hidden="false" customHeight="false" outlineLevel="0" collapsed="false">
      <c r="B45" s="20" t="s">
        <v>68</v>
      </c>
      <c r="C45" s="24" t="n">
        <f aca="false">IFERROR(COUNTIF(C$26:C$40,"&gt;0"),"")</f>
        <v>0</v>
      </c>
    </row>
    <row r="46" customFormat="false" ht="15" hidden="false" customHeight="false" outlineLevel="0" collapsed="false">
      <c r="B46" s="20" t="s">
        <v>69</v>
      </c>
      <c r="C46" s="24" t="n">
        <f aca="false">IFERROR(COUNTIF(D$26:D$40,"&gt;0"),"")</f>
        <v>0</v>
      </c>
    </row>
    <row r="47" customFormat="false" ht="15" hidden="false" customHeight="false" outlineLevel="0" collapsed="false">
      <c r="B47" s="20" t="s">
        <v>70</v>
      </c>
      <c r="C47" s="23" t="str">
        <f aca="false">IFERROR(-SUMPRODUCT((C$26:C$40&gt;0)*C$26:C$40/SUM(C$26:C$40)*LN((C$26:C$40+(C$26:C$40=0))/SUM(C$26:C$40))),"")</f>
        <v/>
      </c>
    </row>
    <row r="48" customFormat="false" ht="15" hidden="false" customHeight="false" outlineLevel="0" collapsed="false">
      <c r="B48" s="20" t="s">
        <v>71</v>
      </c>
      <c r="C48" s="23" t="str">
        <f aca="false">IFERROR(-SUMPRODUCT((D$26:D$40&gt;0)*D$26:D$40/SUM(D$26:D$40)*LN((D$26:D$40+(D$26:D$40=0))/SUM(D$26:D$40))),"")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2026-10-01T00:33:01Z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2026-10-01T00:33:01Z</dcterms:modified>
  <cp:revision>0</cp:revision>
  <dc:subject/>
  <dc:title>ECO-04 Leaf-litter arthropods: richness, diversity and evenness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