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<sst xmlns="http://schemas.openxmlformats.org/spreadsheetml/2006/main" count="51" uniqueCount="51">
  <si>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DEV-04  Chick embryo staging from eggs of known age</t>
  </si>
  <si>
    <t xml:space="preserve">Excel version of the card. It does the same calculations as the R script dev04_embryo_staging.R.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</si>
  <si>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</si>
  <si>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</si>
  <si>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</si>
  <si>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</si>
  <si>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</si>
  <si>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</si>
  <si>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</si>
  <si>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</si>
  <si>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Reference: Hamburger V, Hamilton HL (1951) J Morphol 88:49-92; hours and somite counts as tabulated by UNSW Embryology (eggs at 37.5 C). Timings are ranges; embryos of the same age differ.</t>
  </si>
  <si>
    <t xml:space="preserve">Use embryos of 24 to 72 hours only. Approval for avian embryos is assumed to have been granted.</t>
  </si>
  <si>
    <t xml:space="preserve">Differences from the R script on the card</t>
  </si>
  <si>
    <t xml:space="preserve">The R script also reports Cohen's kappa. Here agreement is shown as exact agreement and agreement within two stage numbers.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</si>
  <si>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</si>
  <si>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</si>
  <si>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</si>
  <si>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</si>
  <si>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Embryos</t>
  </si>
  <si>
    <t xml:space="preserve">Egg</t>
  </si>
  <si>
    <t xml:space="preserve">Hours incubated</t>
  </si>
  <si>
    <t xml:space="preserve">Somite pairs (observer A)</t>
  </si>
  <si>
    <t xml:space="preserve">HH stage (observer A)</t>
  </si>
  <si>
    <t xml:space="preserve">HH stage (observer B)</t>
  </si>
  <si>
    <t xml:space="preserve">Expected stage from the hours</t>
  </si>
  <si>
    <t xml:space="preserve">Stage minus expected (A)</t>
  </si>
  <si>
    <t xml:space="preserve">A minus B</t>
  </si>
  <si>
    <t xml:space="preserve">e1</t>
  </si>
  <si>
    <t xml:space="preserve">Results</t>
  </si>
  <si>
    <t xml:space="preserve">Everything on this sheet is calculated. Change only the yellow settings.</t>
  </si>
  <si>
    <t xml:space="preserve">Reference table (Hamburger and Hamilton 1951; midpoints of the published hour ranges)</t>
  </si>
  <si>
    <t xml:space="preserve">HH stage</t>
  </si>
  <si>
    <t xml:space="preserve">Hours (midpoint)</t>
  </si>
  <si>
    <t xml:space="preserve">Somite pairs</t>
  </si>
  <si>
    <t xml:space="preserve">Somite pairs against hours of incubation</t>
  </si>
  <si>
    <t xml:space="preserve">Points used</t>
  </si>
  <si>
    <t xml:space="preserve">Slope (somite pairs per hour)</t>
  </si>
  <si>
    <t xml:space="preserve">Intercept (somite pairs per hour)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</si>
  <si>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</si>
  <si>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</si>
  <si>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</si>
  <si>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</si>
  <si>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</si>
  <si>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Hours per somite pair</t>
  </si>
  <si>
    <t xml:space="preserve">Stage assigned versus expected from the hours</t>
  </si>
  <si>
    <t xml:space="preserve">Mean difference (assigned minus expected)</t>
  </si>
  <si>
    <t xml:space="preserve">Standard deviation</t>
  </si>
  <si>
    <t xml:space="preserve">Agreement between observers</t>
  </si>
  <si>
    <t xml:space="preserve">Embryos staged by both</t>
  </si>
  <si>
    <t xml:space="preserve">Exact agreement (%)</t>
  </si>
  <si>
    <t xml:space="preserve">Within two stage numbers (%)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</si>
</sst>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"/>
    <numFmt numFmtId="167" formatCode="0.000"/>
    <numFmt numFmtId="168" formatCode="0.0000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</row>
    <row r="6" customFormat="false" ht="15" hidden="false" customHeight="false" outlineLevel="0" collapsed="false">
      <c r="A6" s="11" t="s">
        <v>27</v>
      </c>
      <c r="B6" s="11" t="n">
        <v>48</v>
      </c>
      <c r="C6" s="11" t="n">
        <v>19</v>
      </c>
      <c r="D6" s="11" t="n">
        <v>12</v>
      </c>
      <c r="E6" s="11" t="n">
        <v>12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3" t="str">
        <f aca="false">IF(ISNUMBER(B7),IF(B7&lt;=INDEX(Results!$C$6:$C$12,1),INDEX(Results!$B$6:$B$12,1),IF(B7&gt;=INDEX(Results!$C$6:$C$12,7),INDEX(Results!$B$6:$B$12,7),INDEX(Results!$B$6:$B$12,MATCH(B7,Results!$C$6:$C$12,1))+(B7-INDEX(Results!$C$6:$C$12,MATCH(B7,Results!$C$6:$C$12,1)))*(INDEX(Results!$B$6:$B$12,MATCH(B7,Results!$C$6:$C$12,1)+1)-INDEX(Results!$B$6:$B$12,MATCH(B7,Results!$C$6:$C$12,1)))/(INDEX(Results!$C$6:$C$12,MATCH(B7,Results!$C$6:$C$12,1)+1)-INDEX(Results!$C$6:$C$12,MATCH(B7,Results!$C$6:$C$12,1))))),"")</f>
        <v/>
      </c>
      <c r="G7" s="13" t="str">
        <f aca="false">IF(AND(ISNUMBER(F7),ISNUMBER(D7)),D7-F7,"")</f>
        <v/>
      </c>
      <c r="H7" s="14" t="str">
        <f aca="false">IF(AND(ISNUMBER(D7),ISNUMBER(E7)),D7-E7,"")</f>
        <v/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3" t="str">
        <f aca="false">IF(ISNUMBER(B8),IF(B8&lt;=INDEX(Results!$C$6:$C$12,1),INDEX(Results!$B$6:$B$12,1),IF(B8&gt;=INDEX(Results!$C$6:$C$12,7),INDEX(Results!$B$6:$B$12,7),INDEX(Results!$B$6:$B$12,MATCH(B8,Results!$C$6:$C$12,1))+(B8-INDEX(Results!$C$6:$C$12,MATCH(B8,Results!$C$6:$C$12,1)))*(INDEX(Results!$B$6:$B$12,MATCH(B8,Results!$C$6:$C$12,1)+1)-INDEX(Results!$B$6:$B$12,MATCH(B8,Results!$C$6:$C$12,1)))/(INDEX(Results!$C$6:$C$12,MATCH(B8,Results!$C$6:$C$12,1)+1)-INDEX(Results!$C$6:$C$12,MATCH(B8,Results!$C$6:$C$12,1))))),"")</f>
        <v/>
      </c>
      <c r="G8" s="13" t="str">
        <f aca="false">IF(AND(ISNUMBER(F8),ISNUMBER(D8)),D8-F8,"")</f>
        <v/>
      </c>
      <c r="H8" s="14" t="str">
        <f aca="false">IF(AND(ISNUMBER(D8),ISNUMBER(E8)),D8-E8,"")</f>
        <v/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3" t="str">
        <f aca="false">IF(ISNUMBER(B9),IF(B9&lt;=INDEX(Results!$C$6:$C$12,1),INDEX(Results!$B$6:$B$12,1),IF(B9&gt;=INDEX(Results!$C$6:$C$12,7),INDEX(Results!$B$6:$B$12,7),INDEX(Results!$B$6:$B$12,MATCH(B9,Results!$C$6:$C$12,1))+(B9-INDEX(Results!$C$6:$C$12,MATCH(B9,Results!$C$6:$C$12,1)))*(INDEX(Results!$B$6:$B$12,MATCH(B9,Results!$C$6:$C$12,1)+1)-INDEX(Results!$B$6:$B$12,MATCH(B9,Results!$C$6:$C$12,1)))/(INDEX(Results!$C$6:$C$12,MATCH(B9,Results!$C$6:$C$12,1)+1)-INDEX(Results!$C$6:$C$12,MATCH(B9,Results!$C$6:$C$12,1))))),"")</f>
        <v/>
      </c>
      <c r="G9" s="13" t="str">
        <f aca="false">IF(AND(ISNUMBER(F9),ISNUMBER(D9)),D9-F9,"")</f>
        <v/>
      </c>
      <c r="H9" s="14" t="str">
        <f aca="false">IF(AND(ISNUMBER(D9),ISNUMBER(E9)),D9-E9,"")</f>
        <v/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3" t="str">
        <f aca="false">IF(ISNUMBER(B10),IF(B10&lt;=INDEX(Results!$C$6:$C$12,1),INDEX(Results!$B$6:$B$12,1),IF(B10&gt;=INDEX(Results!$C$6:$C$12,7),INDEX(Results!$B$6:$B$12,7),INDEX(Results!$B$6:$B$12,MATCH(B10,Results!$C$6:$C$12,1))+(B10-INDEX(Results!$C$6:$C$12,MATCH(B10,Results!$C$6:$C$12,1)))*(INDEX(Results!$B$6:$B$12,MATCH(B10,Results!$C$6:$C$12,1)+1)-INDEX(Results!$B$6:$B$12,MATCH(B10,Results!$C$6:$C$12,1)))/(INDEX(Results!$C$6:$C$12,MATCH(B10,Results!$C$6:$C$12,1)+1)-INDEX(Results!$C$6:$C$12,MATCH(B10,Results!$C$6:$C$12,1))))),"")</f>
        <v/>
      </c>
      <c r="G10" s="13" t="str">
        <f aca="false">IF(AND(ISNUMBER(F10),ISNUMBER(D10)),D10-F10,"")</f>
        <v/>
      </c>
      <c r="H10" s="14" t="str">
        <f aca="false">IF(AND(ISNUMBER(D10),ISNUMBER(E10)),D10-E10,"")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3" t="str">
        <f aca="false">IF(ISNUMBER(B11),IF(B11&lt;=INDEX(Results!$C$6:$C$12,1),INDEX(Results!$B$6:$B$12,1),IF(B11&gt;=INDEX(Results!$C$6:$C$12,7),INDEX(Results!$B$6:$B$12,7),INDEX(Results!$B$6:$B$12,MATCH(B11,Results!$C$6:$C$12,1))+(B11-INDEX(Results!$C$6:$C$12,MATCH(B11,Results!$C$6:$C$12,1)))*(INDEX(Results!$B$6:$B$12,MATCH(B11,Results!$C$6:$C$12,1)+1)-INDEX(Results!$B$6:$B$12,MATCH(B11,Results!$C$6:$C$12,1)))/(INDEX(Results!$C$6:$C$12,MATCH(B11,Results!$C$6:$C$12,1)+1)-INDEX(Results!$C$6:$C$12,MATCH(B11,Results!$C$6:$C$12,1))))),"")</f>
        <v/>
      </c>
      <c r="G11" s="13" t="str">
        <f aca="false">IF(AND(ISNUMBER(F11),ISNUMBER(D11)),D11-F11,"")</f>
        <v/>
      </c>
      <c r="H11" s="14" t="str">
        <f aca="false">IF(AND(ISNUMBER(D11),ISNUMBER(E11)),D11-E11,"")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3" t="str">
        <f aca="false">IF(ISNUMBER(B12),IF(B12&lt;=INDEX(Results!$C$6:$C$12,1),INDEX(Results!$B$6:$B$12,1),IF(B12&gt;=INDEX(Results!$C$6:$C$12,7),INDEX(Results!$B$6:$B$12,7),INDEX(Results!$B$6:$B$12,MATCH(B12,Results!$C$6:$C$12,1))+(B12-INDEX(Results!$C$6:$C$12,MATCH(B12,Results!$C$6:$C$12,1)))*(INDEX(Results!$B$6:$B$12,MATCH(B12,Results!$C$6:$C$12,1)+1)-INDEX(Results!$B$6:$B$12,MATCH(B12,Results!$C$6:$C$12,1)))/(INDEX(Results!$C$6:$C$12,MATCH(B12,Results!$C$6:$C$12,1)+1)-INDEX(Results!$C$6:$C$12,MATCH(B12,Results!$C$6:$C$12,1))))),"")</f>
        <v/>
      </c>
      <c r="G12" s="13" t="str">
        <f aca="false">IF(AND(ISNUMBER(F12),ISNUMBER(D12)),D12-F12,"")</f>
        <v/>
      </c>
      <c r="H12" s="14" t="str">
        <f aca="false">IF(AND(ISNUMBER(D12),ISNUMBER(E12)),D12-E12,"")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3" t="str">
        <f aca="false">IF(ISNUMBER(B13),IF(B13&lt;=INDEX(Results!$C$6:$C$12,1),INDEX(Results!$B$6:$B$12,1),IF(B13&gt;=INDEX(Results!$C$6:$C$12,7),INDEX(Results!$B$6:$B$12,7),INDEX(Results!$B$6:$B$12,MATCH(B13,Results!$C$6:$C$12,1))+(B13-INDEX(Results!$C$6:$C$12,MATCH(B13,Results!$C$6:$C$12,1)))*(INDEX(Results!$B$6:$B$12,MATCH(B13,Results!$C$6:$C$12,1)+1)-INDEX(Results!$B$6:$B$12,MATCH(B13,Results!$C$6:$C$12,1)))/(INDEX(Results!$C$6:$C$12,MATCH(B13,Results!$C$6:$C$12,1)+1)-INDEX(Results!$C$6:$C$12,MATCH(B13,Results!$C$6:$C$12,1))))),"")</f>
        <v/>
      </c>
      <c r="G13" s="13" t="str">
        <f aca="false">IF(AND(ISNUMBER(F13),ISNUMBER(D13)),D13-F13,"")</f>
        <v/>
      </c>
      <c r="H13" s="14" t="str">
        <f aca="false">IF(AND(ISNUMBER(D13),ISNUMBER(E13)),D13-E13,"")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3" t="str">
        <f aca="false">IF(ISNUMBER(B14),IF(B14&lt;=INDEX(Results!$C$6:$C$12,1),INDEX(Results!$B$6:$B$12,1),IF(B14&gt;=INDEX(Results!$C$6:$C$12,7),INDEX(Results!$B$6:$B$12,7),INDEX(Results!$B$6:$B$12,MATCH(B14,Results!$C$6:$C$12,1))+(B14-INDEX(Results!$C$6:$C$12,MATCH(B14,Results!$C$6:$C$12,1)))*(INDEX(Results!$B$6:$B$12,MATCH(B14,Results!$C$6:$C$12,1)+1)-INDEX(Results!$B$6:$B$12,MATCH(B14,Results!$C$6:$C$12,1)))/(INDEX(Results!$C$6:$C$12,MATCH(B14,Results!$C$6:$C$12,1)+1)-INDEX(Results!$C$6:$C$12,MATCH(B14,Results!$C$6:$C$12,1))))),"")</f>
        <v/>
      </c>
      <c r="G14" s="13" t="str">
        <f aca="false">IF(AND(ISNUMBER(F14),ISNUMBER(D14)),D14-F14,"")</f>
        <v/>
      </c>
      <c r="H14" s="14" t="str">
        <f aca="false">IF(AND(ISNUMBER(D14),ISNUMBER(E14)),D14-E14,"")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3" t="str">
        <f aca="false">IF(ISNUMBER(B15),IF(B15&lt;=INDEX(Results!$C$6:$C$12,1),INDEX(Results!$B$6:$B$12,1),IF(B15&gt;=INDEX(Results!$C$6:$C$12,7),INDEX(Results!$B$6:$B$12,7),INDEX(Results!$B$6:$B$12,MATCH(B15,Results!$C$6:$C$12,1))+(B15-INDEX(Results!$C$6:$C$12,MATCH(B15,Results!$C$6:$C$12,1)))*(INDEX(Results!$B$6:$B$12,MATCH(B15,Results!$C$6:$C$12,1)+1)-INDEX(Results!$B$6:$B$12,MATCH(B15,Results!$C$6:$C$12,1)))/(INDEX(Results!$C$6:$C$12,MATCH(B15,Results!$C$6:$C$12,1)+1)-INDEX(Results!$C$6:$C$12,MATCH(B15,Results!$C$6:$C$12,1))))),"")</f>
        <v/>
      </c>
      <c r="G15" s="13" t="str">
        <f aca="false">IF(AND(ISNUMBER(F15),ISNUMBER(D15)),D15-F15,"")</f>
        <v/>
      </c>
      <c r="H15" s="14" t="str">
        <f aca="false">IF(AND(ISNUMBER(D15),ISNUMBER(E15)),D15-E15,"")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3" t="str">
        <f aca="false">IF(ISNUMBER(B16),IF(B16&lt;=INDEX(Results!$C$6:$C$12,1),INDEX(Results!$B$6:$B$12,1),IF(B16&gt;=INDEX(Results!$C$6:$C$12,7),INDEX(Results!$B$6:$B$12,7),INDEX(Results!$B$6:$B$12,MATCH(B16,Results!$C$6:$C$12,1))+(B16-INDEX(Results!$C$6:$C$12,MATCH(B16,Results!$C$6:$C$12,1)))*(INDEX(Results!$B$6:$B$12,MATCH(B16,Results!$C$6:$C$12,1)+1)-INDEX(Results!$B$6:$B$12,MATCH(B16,Results!$C$6:$C$12,1)))/(INDEX(Results!$C$6:$C$12,MATCH(B16,Results!$C$6:$C$12,1)+1)-INDEX(Results!$C$6:$C$12,MATCH(B16,Results!$C$6:$C$12,1))))),"")</f>
        <v/>
      </c>
      <c r="G16" s="13" t="str">
        <f aca="false">IF(AND(ISNUMBER(F16),ISNUMBER(D16)),D16-F16,"")</f>
        <v/>
      </c>
      <c r="H16" s="14" t="str">
        <f aca="false">IF(AND(ISNUMBER(D16),ISNUMBER(E16)),D16-E16,"")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3" t="str">
        <f aca="false">IF(ISNUMBER(B17),IF(B17&lt;=INDEX(Results!$C$6:$C$12,1),INDEX(Results!$B$6:$B$12,1),IF(B17&gt;=INDEX(Results!$C$6:$C$12,7),INDEX(Results!$B$6:$B$12,7),INDEX(Results!$B$6:$B$12,MATCH(B17,Results!$C$6:$C$12,1))+(B17-INDEX(Results!$C$6:$C$12,MATCH(B17,Results!$C$6:$C$12,1)))*(INDEX(Results!$B$6:$B$12,MATCH(B17,Results!$C$6:$C$12,1)+1)-INDEX(Results!$B$6:$B$12,MATCH(B17,Results!$C$6:$C$12,1)))/(INDEX(Results!$C$6:$C$12,MATCH(B17,Results!$C$6:$C$12,1)+1)-INDEX(Results!$C$6:$C$12,MATCH(B17,Results!$C$6:$C$12,1))))),"")</f>
        <v/>
      </c>
      <c r="G17" s="13" t="str">
        <f aca="false">IF(AND(ISNUMBER(F17),ISNUMBER(D17)),D17-F17,"")</f>
        <v/>
      </c>
      <c r="H17" s="14" t="str">
        <f aca="false">IF(AND(ISNUMBER(D17),ISNUMBER(E17)),D17-E17,"")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3" t="str">
        <f aca="false">IF(ISNUMBER(B18),IF(B18&lt;=INDEX(Results!$C$6:$C$12,1),INDEX(Results!$B$6:$B$12,1),IF(B18&gt;=INDEX(Results!$C$6:$C$12,7),INDEX(Results!$B$6:$B$12,7),INDEX(Results!$B$6:$B$12,MATCH(B18,Results!$C$6:$C$12,1))+(B18-INDEX(Results!$C$6:$C$12,MATCH(B18,Results!$C$6:$C$12,1)))*(INDEX(Results!$B$6:$B$12,MATCH(B18,Results!$C$6:$C$12,1)+1)-INDEX(Results!$B$6:$B$12,MATCH(B18,Results!$C$6:$C$12,1)))/(INDEX(Results!$C$6:$C$12,MATCH(B18,Results!$C$6:$C$12,1)+1)-INDEX(Results!$C$6:$C$12,MATCH(B18,Results!$C$6:$C$12,1))))),"")</f>
        <v/>
      </c>
      <c r="G18" s="13" t="str">
        <f aca="false">IF(AND(ISNUMBER(F18),ISNUMBER(D18)),D18-F18,"")</f>
        <v/>
      </c>
      <c r="H18" s="14" t="str">
        <f aca="false">IF(AND(ISNUMBER(D18),ISNUMBER(E18)),D18-E18,"")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3" t="str">
        <f aca="false">IF(ISNUMBER(B19),IF(B19&lt;=INDEX(Results!$C$6:$C$12,1),INDEX(Results!$B$6:$B$12,1),IF(B19&gt;=INDEX(Results!$C$6:$C$12,7),INDEX(Results!$B$6:$B$12,7),INDEX(Results!$B$6:$B$12,MATCH(B19,Results!$C$6:$C$12,1))+(B19-INDEX(Results!$C$6:$C$12,MATCH(B19,Results!$C$6:$C$12,1)))*(INDEX(Results!$B$6:$B$12,MATCH(B19,Results!$C$6:$C$12,1)+1)-INDEX(Results!$B$6:$B$12,MATCH(B19,Results!$C$6:$C$12,1)))/(INDEX(Results!$C$6:$C$12,MATCH(B19,Results!$C$6:$C$12,1)+1)-INDEX(Results!$C$6:$C$12,MATCH(B19,Results!$C$6:$C$12,1))))),"")</f>
        <v/>
      </c>
      <c r="G19" s="13" t="str">
        <f aca="false">IF(AND(ISNUMBER(F19),ISNUMBER(D19)),D19-F19,"")</f>
        <v/>
      </c>
      <c r="H19" s="14" t="str">
        <f aca="false">IF(AND(ISNUMBER(D19),ISNUMBER(E19)),D19-E19,"")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3" t="str">
        <f aca="false">IF(ISNUMBER(B20),IF(B20&lt;=INDEX(Results!$C$6:$C$12,1),INDEX(Results!$B$6:$B$12,1),IF(B20&gt;=INDEX(Results!$C$6:$C$12,7),INDEX(Results!$B$6:$B$12,7),INDEX(Results!$B$6:$B$12,MATCH(B20,Results!$C$6:$C$12,1))+(B20-INDEX(Results!$C$6:$C$12,MATCH(B20,Results!$C$6:$C$12,1)))*(INDEX(Results!$B$6:$B$12,MATCH(B20,Results!$C$6:$C$12,1)+1)-INDEX(Results!$B$6:$B$12,MATCH(B20,Results!$C$6:$C$12,1)))/(INDEX(Results!$C$6:$C$12,MATCH(B20,Results!$C$6:$C$12,1)+1)-INDEX(Results!$C$6:$C$12,MATCH(B20,Results!$C$6:$C$12,1))))),"")</f>
        <v/>
      </c>
      <c r="G20" s="13" t="str">
        <f aca="false">IF(AND(ISNUMBER(F20),ISNUMBER(D20)),D20-F20,"")</f>
        <v/>
      </c>
      <c r="H20" s="14" t="str">
        <f aca="false">IF(AND(ISNUMBER(D20),ISNUMBER(E20)),D20-E20,"")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3" t="str">
        <f aca="false">IF(ISNUMBER(B21),IF(B21&lt;=INDEX(Results!$C$6:$C$12,1),INDEX(Results!$B$6:$B$12,1),IF(B21&gt;=INDEX(Results!$C$6:$C$12,7),INDEX(Results!$B$6:$B$12,7),INDEX(Results!$B$6:$B$12,MATCH(B21,Results!$C$6:$C$12,1))+(B21-INDEX(Results!$C$6:$C$12,MATCH(B21,Results!$C$6:$C$12,1)))*(INDEX(Results!$B$6:$B$12,MATCH(B21,Results!$C$6:$C$12,1)+1)-INDEX(Results!$B$6:$B$12,MATCH(B21,Results!$C$6:$C$12,1)))/(INDEX(Results!$C$6:$C$12,MATCH(B21,Results!$C$6:$C$12,1)+1)-INDEX(Results!$C$6:$C$12,MATCH(B21,Results!$C$6:$C$12,1))))),"")</f>
        <v/>
      </c>
      <c r="G21" s="13" t="str">
        <f aca="false">IF(AND(ISNUMBER(F21),ISNUMBER(D21)),D21-F21,"")</f>
        <v/>
      </c>
      <c r="H21" s="14" t="str">
        <f aca="false">IF(AND(ISNUMBER(D21),ISNUMBER(E21)),D21-E21,"")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3" t="str">
        <f aca="false">IF(ISNUMBER(B22),IF(B22&lt;=INDEX(Results!$C$6:$C$12,1),INDEX(Results!$B$6:$B$12,1),IF(B22&gt;=INDEX(Results!$C$6:$C$12,7),INDEX(Results!$B$6:$B$12,7),INDEX(Results!$B$6:$B$12,MATCH(B22,Results!$C$6:$C$12,1))+(B22-INDEX(Results!$C$6:$C$12,MATCH(B22,Results!$C$6:$C$12,1)))*(INDEX(Results!$B$6:$B$12,MATCH(B22,Results!$C$6:$C$12,1)+1)-INDEX(Results!$B$6:$B$12,MATCH(B22,Results!$C$6:$C$12,1)))/(INDEX(Results!$C$6:$C$12,MATCH(B22,Results!$C$6:$C$12,1)+1)-INDEX(Results!$C$6:$C$12,MATCH(B22,Results!$C$6:$C$12,1))))),"")</f>
        <v/>
      </c>
      <c r="G22" s="13" t="str">
        <f aca="false">IF(AND(ISNUMBER(F22),ISNUMBER(D22)),D22-F22,"")</f>
        <v/>
      </c>
      <c r="H22" s="14" t="str">
        <f aca="false">IF(AND(ISNUMBER(D22),ISNUMBER(E22)),D22-E22,"")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3" t="str">
        <f aca="false">IF(ISNUMBER(B23),IF(B23&lt;=INDEX(Results!$C$6:$C$12,1),INDEX(Results!$B$6:$B$12,1),IF(B23&gt;=INDEX(Results!$C$6:$C$12,7),INDEX(Results!$B$6:$B$12,7),INDEX(Results!$B$6:$B$12,MATCH(B23,Results!$C$6:$C$12,1))+(B23-INDEX(Results!$C$6:$C$12,MATCH(B23,Results!$C$6:$C$12,1)))*(INDEX(Results!$B$6:$B$12,MATCH(B23,Results!$C$6:$C$12,1)+1)-INDEX(Results!$B$6:$B$12,MATCH(B23,Results!$C$6:$C$12,1)))/(INDEX(Results!$C$6:$C$12,MATCH(B23,Results!$C$6:$C$12,1)+1)-INDEX(Results!$C$6:$C$12,MATCH(B23,Results!$C$6:$C$12,1))))),"")</f>
        <v/>
      </c>
      <c r="G23" s="13" t="str">
        <f aca="false">IF(AND(ISNUMBER(F23),ISNUMBER(D23)),D23-F23,"")</f>
        <v/>
      </c>
      <c r="H23" s="14" t="str">
        <f aca="false">IF(AND(ISNUMBER(D23),ISNUMBER(E23)),D23-E23,"")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3" t="str">
        <f aca="false">IF(ISNUMBER(B24),IF(B24&lt;=INDEX(Results!$C$6:$C$12,1),INDEX(Results!$B$6:$B$12,1),IF(B24&gt;=INDEX(Results!$C$6:$C$12,7),INDEX(Results!$B$6:$B$12,7),INDEX(Results!$B$6:$B$12,MATCH(B24,Results!$C$6:$C$12,1))+(B24-INDEX(Results!$C$6:$C$12,MATCH(B24,Results!$C$6:$C$12,1)))*(INDEX(Results!$B$6:$B$12,MATCH(B24,Results!$C$6:$C$12,1)+1)-INDEX(Results!$B$6:$B$12,MATCH(B24,Results!$C$6:$C$12,1)))/(INDEX(Results!$C$6:$C$12,MATCH(B24,Results!$C$6:$C$12,1)+1)-INDEX(Results!$C$6:$C$12,MATCH(B24,Results!$C$6:$C$12,1))))),"")</f>
        <v/>
      </c>
      <c r="G24" s="13" t="str">
        <f aca="false">IF(AND(ISNUMBER(F24),ISNUMBER(D24)),D24-F24,"")</f>
        <v/>
      </c>
      <c r="H24" s="14" t="str">
        <f aca="false">IF(AND(ISNUMBER(D24),ISNUMBER(E24)),D24-E24,"")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3" t="str">
        <f aca="false">IF(ISNUMBER(B25),IF(B25&lt;=INDEX(Results!$C$6:$C$12,1),INDEX(Results!$B$6:$B$12,1),IF(B25&gt;=INDEX(Results!$C$6:$C$12,7),INDEX(Results!$B$6:$B$12,7),INDEX(Results!$B$6:$B$12,MATCH(B25,Results!$C$6:$C$12,1))+(B25-INDEX(Results!$C$6:$C$12,MATCH(B25,Results!$C$6:$C$12,1)))*(INDEX(Results!$B$6:$B$12,MATCH(B25,Results!$C$6:$C$12,1)+1)-INDEX(Results!$B$6:$B$12,MATCH(B25,Results!$C$6:$C$12,1)))/(INDEX(Results!$C$6:$C$12,MATCH(B25,Results!$C$6:$C$12,1)+1)-INDEX(Results!$C$6:$C$12,MATCH(B25,Results!$C$6:$C$12,1))))),"")</f>
        <v/>
      </c>
      <c r="G25" s="13" t="str">
        <f aca="false">IF(AND(ISNUMBER(F25),ISNUMBER(D25)),D25-F25,"")</f>
        <v/>
      </c>
      <c r="H25" s="14" t="str">
        <f aca="false">IF(AND(ISNUMBER(D25),ISNUMBER(E25)),D25-E25,"")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3" t="str">
        <f aca="false">IF(ISNUMBER(B26),IF(B26&lt;=INDEX(Results!$C$6:$C$12,1),INDEX(Results!$B$6:$B$12,1),IF(B26&gt;=INDEX(Results!$C$6:$C$12,7),INDEX(Results!$B$6:$B$12,7),INDEX(Results!$B$6:$B$12,MATCH(B26,Results!$C$6:$C$12,1))+(B26-INDEX(Results!$C$6:$C$12,MATCH(B26,Results!$C$6:$C$12,1)))*(INDEX(Results!$B$6:$B$12,MATCH(B26,Results!$C$6:$C$12,1)+1)-INDEX(Results!$B$6:$B$12,MATCH(B26,Results!$C$6:$C$12,1)))/(INDEX(Results!$C$6:$C$12,MATCH(B26,Results!$C$6:$C$12,1)+1)-INDEX(Results!$C$6:$C$12,MATCH(B26,Results!$C$6:$C$12,1))))),"")</f>
        <v/>
      </c>
      <c r="G26" s="13" t="str">
        <f aca="false">IF(AND(ISNUMBER(F26),ISNUMBER(D26)),D26-F26,"")</f>
        <v/>
      </c>
      <c r="H26" s="14" t="str">
        <f aca="false">IF(AND(ISNUMBER(D26),ISNUMBER(E26)),D26-E26,"")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3" t="str">
        <f aca="false">IF(ISNUMBER(B27),IF(B27&lt;=INDEX(Results!$C$6:$C$12,1),INDEX(Results!$B$6:$B$12,1),IF(B27&gt;=INDEX(Results!$C$6:$C$12,7),INDEX(Results!$B$6:$B$12,7),INDEX(Results!$B$6:$B$12,MATCH(B27,Results!$C$6:$C$12,1))+(B27-INDEX(Results!$C$6:$C$12,MATCH(B27,Results!$C$6:$C$12,1)))*(INDEX(Results!$B$6:$B$12,MATCH(B27,Results!$C$6:$C$12,1)+1)-INDEX(Results!$B$6:$B$12,MATCH(B27,Results!$C$6:$C$12,1)))/(INDEX(Results!$C$6:$C$12,MATCH(B27,Results!$C$6:$C$12,1)+1)-INDEX(Results!$C$6:$C$12,MATCH(B27,Results!$C$6:$C$12,1))))),"")</f>
        <v/>
      </c>
      <c r="G27" s="13" t="str">
        <f aca="false">IF(AND(ISNUMBER(F27),ISNUMBER(D27)),D27-F27,"")</f>
        <v/>
      </c>
      <c r="H27" s="14" t="str">
        <f aca="false">IF(AND(ISNUMBER(D27),ISNUMBER(E27)),D27-E27,"")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3" t="str">
        <f aca="false">IF(ISNUMBER(B28),IF(B28&lt;=INDEX(Results!$C$6:$C$12,1),INDEX(Results!$B$6:$B$12,1),IF(B28&gt;=INDEX(Results!$C$6:$C$12,7),INDEX(Results!$B$6:$B$12,7),INDEX(Results!$B$6:$B$12,MATCH(B28,Results!$C$6:$C$12,1))+(B28-INDEX(Results!$C$6:$C$12,MATCH(B28,Results!$C$6:$C$12,1)))*(INDEX(Results!$B$6:$B$12,MATCH(B28,Results!$C$6:$C$12,1)+1)-INDEX(Results!$B$6:$B$12,MATCH(B28,Results!$C$6:$C$12,1)))/(INDEX(Results!$C$6:$C$12,MATCH(B28,Results!$C$6:$C$12,1)+1)-INDEX(Results!$C$6:$C$12,MATCH(B28,Results!$C$6:$C$12,1))))),"")</f>
        <v/>
      </c>
      <c r="G28" s="13" t="str">
        <f aca="false">IF(AND(ISNUMBER(F28),ISNUMBER(D28)),D28-F28,"")</f>
        <v/>
      </c>
      <c r="H28" s="14" t="str">
        <f aca="false">IF(AND(ISNUMBER(D28),ISNUMBER(E28)),D28-E28,"")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3" t="str">
        <f aca="false">IF(ISNUMBER(B29),IF(B29&lt;=INDEX(Results!$C$6:$C$12,1),INDEX(Results!$B$6:$B$12,1),IF(B29&gt;=INDEX(Results!$C$6:$C$12,7),INDEX(Results!$B$6:$B$12,7),INDEX(Results!$B$6:$B$12,MATCH(B29,Results!$C$6:$C$12,1))+(B29-INDEX(Results!$C$6:$C$12,MATCH(B29,Results!$C$6:$C$12,1)))*(INDEX(Results!$B$6:$B$12,MATCH(B29,Results!$C$6:$C$12,1)+1)-INDEX(Results!$B$6:$B$12,MATCH(B29,Results!$C$6:$C$12,1)))/(INDEX(Results!$C$6:$C$12,MATCH(B29,Results!$C$6:$C$12,1)+1)-INDEX(Results!$C$6:$C$12,MATCH(B29,Results!$C$6:$C$12,1))))),"")</f>
        <v/>
      </c>
      <c r="G29" s="13" t="str">
        <f aca="false">IF(AND(ISNUMBER(F29),ISNUMBER(D29)),D29-F29,"")</f>
        <v/>
      </c>
      <c r="H29" s="14" t="str">
        <f aca="false">IF(AND(ISNUMBER(D29),ISNUMBER(E29)),D29-E29,"")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3" t="str">
        <f aca="false">IF(ISNUMBER(B30),IF(B30&lt;=INDEX(Results!$C$6:$C$12,1),INDEX(Results!$B$6:$B$12,1),IF(B30&gt;=INDEX(Results!$C$6:$C$12,7),INDEX(Results!$B$6:$B$12,7),INDEX(Results!$B$6:$B$12,MATCH(B30,Results!$C$6:$C$12,1))+(B30-INDEX(Results!$C$6:$C$12,MATCH(B30,Results!$C$6:$C$12,1)))*(INDEX(Results!$B$6:$B$12,MATCH(B30,Results!$C$6:$C$12,1)+1)-INDEX(Results!$B$6:$B$12,MATCH(B30,Results!$C$6:$C$12,1)))/(INDEX(Results!$C$6:$C$12,MATCH(B30,Results!$C$6:$C$12,1)+1)-INDEX(Results!$C$6:$C$12,MATCH(B30,Results!$C$6:$C$12,1))))),"")</f>
        <v/>
      </c>
      <c r="G30" s="13" t="str">
        <f aca="false">IF(AND(ISNUMBER(F30),ISNUMBER(D30)),D30-F30,"")</f>
        <v/>
      </c>
      <c r="H30" s="14" t="str">
        <f aca="false">IF(AND(ISNUMBER(D30),ISNUMBER(E30)),D30-E30,"")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3" t="str">
        <f aca="false">IF(ISNUMBER(B31),IF(B31&lt;=INDEX(Results!$C$6:$C$12,1),INDEX(Results!$B$6:$B$12,1),IF(B31&gt;=INDEX(Results!$C$6:$C$12,7),INDEX(Results!$B$6:$B$12,7),INDEX(Results!$B$6:$B$12,MATCH(B31,Results!$C$6:$C$12,1))+(B31-INDEX(Results!$C$6:$C$12,MATCH(B31,Results!$C$6:$C$12,1)))*(INDEX(Results!$B$6:$B$12,MATCH(B31,Results!$C$6:$C$12,1)+1)-INDEX(Results!$B$6:$B$12,MATCH(B31,Results!$C$6:$C$12,1)))/(INDEX(Results!$C$6:$C$12,MATCH(B31,Results!$C$6:$C$12,1)+1)-INDEX(Results!$C$6:$C$12,MATCH(B31,Results!$C$6:$C$12,1))))),"")</f>
        <v/>
      </c>
      <c r="G31" s="13" t="str">
        <f aca="false">IF(AND(ISNUMBER(F31),ISNUMBER(D31)),D31-F31,"")</f>
        <v/>
      </c>
      <c r="H31" s="14" t="str">
        <f aca="false">IF(AND(ISNUMBER(D31),ISNUMBER(E31)),D31-E31,"")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3" t="str">
        <f aca="false">IF(ISNUMBER(B32),IF(B32&lt;=INDEX(Results!$C$6:$C$12,1),INDEX(Results!$B$6:$B$12,1),IF(B32&gt;=INDEX(Results!$C$6:$C$12,7),INDEX(Results!$B$6:$B$12,7),INDEX(Results!$B$6:$B$12,MATCH(B32,Results!$C$6:$C$12,1))+(B32-INDEX(Results!$C$6:$C$12,MATCH(B32,Results!$C$6:$C$12,1)))*(INDEX(Results!$B$6:$B$12,MATCH(B32,Results!$C$6:$C$12,1)+1)-INDEX(Results!$B$6:$B$12,MATCH(B32,Results!$C$6:$C$12,1)))/(INDEX(Results!$C$6:$C$12,MATCH(B32,Results!$C$6:$C$12,1)+1)-INDEX(Results!$C$6:$C$12,MATCH(B32,Results!$C$6:$C$12,1))))),"")</f>
        <v/>
      </c>
      <c r="G32" s="13" t="str">
        <f aca="false">IF(AND(ISNUMBER(F32),ISNUMBER(D32)),D32-F32,"")</f>
        <v/>
      </c>
      <c r="H32" s="14" t="str">
        <f aca="false">IF(AND(ISNUMBER(D32),ISNUMBER(E32)),D32-E32,"")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3" t="str">
        <f aca="false">IF(ISNUMBER(B33),IF(B33&lt;=INDEX(Results!$C$6:$C$12,1),INDEX(Results!$B$6:$B$12,1),IF(B33&gt;=INDEX(Results!$C$6:$C$12,7),INDEX(Results!$B$6:$B$12,7),INDEX(Results!$B$6:$B$12,MATCH(B33,Results!$C$6:$C$12,1))+(B33-INDEX(Results!$C$6:$C$12,MATCH(B33,Results!$C$6:$C$12,1)))*(INDEX(Results!$B$6:$B$12,MATCH(B33,Results!$C$6:$C$12,1)+1)-INDEX(Results!$B$6:$B$12,MATCH(B33,Results!$C$6:$C$12,1)))/(INDEX(Results!$C$6:$C$12,MATCH(B33,Results!$C$6:$C$12,1)+1)-INDEX(Results!$C$6:$C$12,MATCH(B33,Results!$C$6:$C$12,1))))),"")</f>
        <v/>
      </c>
      <c r="G33" s="13" t="str">
        <f aca="false">IF(AND(ISNUMBER(F33),ISNUMBER(D33)),D33-F33,"")</f>
        <v/>
      </c>
      <c r="H33" s="14" t="str">
        <f aca="false">IF(AND(ISNUMBER(D33),ISNUMBER(E33)),D33-E33,"")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3" t="str">
        <f aca="false">IF(ISNUMBER(B34),IF(B34&lt;=INDEX(Results!$C$6:$C$12,1),INDEX(Results!$B$6:$B$12,1),IF(B34&gt;=INDEX(Results!$C$6:$C$12,7),INDEX(Results!$B$6:$B$12,7),INDEX(Results!$B$6:$B$12,MATCH(B34,Results!$C$6:$C$12,1))+(B34-INDEX(Results!$C$6:$C$12,MATCH(B34,Results!$C$6:$C$12,1)))*(INDEX(Results!$B$6:$B$12,MATCH(B34,Results!$C$6:$C$12,1)+1)-INDEX(Results!$B$6:$B$12,MATCH(B34,Results!$C$6:$C$12,1)))/(INDEX(Results!$C$6:$C$12,MATCH(B34,Results!$C$6:$C$12,1)+1)-INDEX(Results!$C$6:$C$12,MATCH(B34,Results!$C$6:$C$12,1))))),"")</f>
        <v/>
      </c>
      <c r="G34" s="13" t="str">
        <f aca="false">IF(AND(ISNUMBER(F34),ISNUMBER(D34)),D34-F34,"")</f>
        <v/>
      </c>
      <c r="H34" s="14" t="str">
        <f aca="false">IF(AND(ISNUMBER(D34),ISNUMBER(E34)),D34-E34,"")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3" t="str">
        <f aca="false">IF(ISNUMBER(B35),IF(B35&lt;=INDEX(Results!$C$6:$C$12,1),INDEX(Results!$B$6:$B$12,1),IF(B35&gt;=INDEX(Results!$C$6:$C$12,7),INDEX(Results!$B$6:$B$12,7),INDEX(Results!$B$6:$B$12,MATCH(B35,Results!$C$6:$C$12,1))+(B35-INDEX(Results!$C$6:$C$12,MATCH(B35,Results!$C$6:$C$12,1)))*(INDEX(Results!$B$6:$B$12,MATCH(B35,Results!$C$6:$C$12,1)+1)-INDEX(Results!$B$6:$B$12,MATCH(B35,Results!$C$6:$C$12,1)))/(INDEX(Results!$C$6:$C$12,MATCH(B35,Results!$C$6:$C$12,1)+1)-INDEX(Results!$C$6:$C$12,MATCH(B35,Results!$C$6:$C$12,1))))),"")</f>
        <v/>
      </c>
      <c r="G35" s="13" t="str">
        <f aca="false">IF(AND(ISNUMBER(F35),ISNUMBER(D35)),D35-F35,"")</f>
        <v/>
      </c>
      <c r="H35" s="14" t="str">
        <f aca="false">IF(AND(ISNUMBER(D35),ISNUMBER(E35)),D35-E35,"")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3" t="str">
        <f aca="false">IF(ISNUMBER(B36),IF(B36&lt;=INDEX(Results!$C$6:$C$12,1),INDEX(Results!$B$6:$B$12,1),IF(B36&gt;=INDEX(Results!$C$6:$C$12,7),INDEX(Results!$B$6:$B$12,7),INDEX(Results!$B$6:$B$12,MATCH(B36,Results!$C$6:$C$12,1))+(B36-INDEX(Results!$C$6:$C$12,MATCH(B36,Results!$C$6:$C$12,1)))*(INDEX(Results!$B$6:$B$12,MATCH(B36,Results!$C$6:$C$12,1)+1)-INDEX(Results!$B$6:$B$12,MATCH(B36,Results!$C$6:$C$12,1)))/(INDEX(Results!$C$6:$C$12,MATCH(B36,Results!$C$6:$C$12,1)+1)-INDEX(Results!$C$6:$C$12,MATCH(B36,Results!$C$6:$C$12,1))))),"")</f>
        <v/>
      </c>
      <c r="G36" s="13" t="str">
        <f aca="false">IF(AND(ISNUMBER(F36),ISNUMBER(D36)),D36-F36,"")</f>
        <v/>
      </c>
      <c r="H36" s="14" t="str">
        <f aca="false">IF(AND(ISNUMBER(D36),ISNUMBER(E36)),D36-E36,"")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E3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28</v>
      </c>
    </row>
    <row r="2" customFormat="false" ht="15" hidden="false" customHeight="false" outlineLevel="0" collapsed="false">
      <c r="B2" s="8" t="s">
        <v>29</v>
      </c>
    </row>
    <row r="4" customFormat="false" ht="15" hidden="false" customHeight="false" outlineLevel="0" collapsed="false">
      <c r="B4" s="9" t="s">
        <v>30</v>
      </c>
    </row>
    <row r="5" customFormat="false" ht="30" hidden="false" customHeight="true" outlineLevel="0" collapsed="false">
      <c r="B5" s="10" t="s">
        <v>31</v>
      </c>
      <c r="C5" s="10" t="s">
        <v>32</v>
      </c>
      <c r="D5" s="10" t="s">
        <v>33</v>
      </c>
    </row>
    <row r="6" customFormat="false" ht="15" hidden="false" customHeight="false" outlineLevel="0" collapsed="false">
      <c r="B6" s="15" t="n">
        <v>4</v>
      </c>
      <c r="C6" s="16" t="n">
        <v>18.5</v>
      </c>
      <c r="D6" s="17" t="n">
        <v>0</v>
      </c>
    </row>
    <row r="7" customFormat="false" ht="15" hidden="false" customHeight="false" outlineLevel="0" collapsed="false">
      <c r="B7" s="15" t="n">
        <v>8</v>
      </c>
      <c r="C7" s="16" t="n">
        <v>27.5</v>
      </c>
      <c r="D7" s="17" t="n">
        <v>4</v>
      </c>
    </row>
    <row r="8" customFormat="false" ht="15" hidden="false" customHeight="false" outlineLevel="0" collapsed="false">
      <c r="B8" s="15" t="n">
        <v>10</v>
      </c>
      <c r="C8" s="16" t="n">
        <v>35.5</v>
      </c>
      <c r="D8" s="17" t="n">
        <v>10</v>
      </c>
    </row>
    <row r="9" customFormat="false" ht="15" hidden="false" customHeight="false" outlineLevel="0" collapsed="false">
      <c r="B9" s="15" t="n">
        <v>12</v>
      </c>
      <c r="C9" s="16" t="n">
        <v>47</v>
      </c>
      <c r="D9" s="17" t="n">
        <v>16</v>
      </c>
    </row>
    <row r="10" customFormat="false" ht="15" hidden="false" customHeight="false" outlineLevel="0" collapsed="false">
      <c r="B10" s="15" t="n">
        <v>14</v>
      </c>
      <c r="C10" s="16" t="n">
        <v>51.5</v>
      </c>
      <c r="D10" s="17" t="n">
        <v>22</v>
      </c>
    </row>
    <row r="11" customFormat="false" ht="15" hidden="false" customHeight="false" outlineLevel="0" collapsed="false">
      <c r="B11" s="15" t="n">
        <v>16</v>
      </c>
      <c r="C11" s="16" t="n">
        <v>53.5</v>
      </c>
      <c r="D11" s="17" t="n">
        <v>27</v>
      </c>
    </row>
    <row r="12" customFormat="false" ht="15" hidden="false" customHeight="false" outlineLevel="0" collapsed="false">
      <c r="B12" s="15" t="n">
        <v>18</v>
      </c>
      <c r="C12" s="16" t="n">
        <v>72</v>
      </c>
      <c r="D12" s="17" t="n">
        <v>33</v>
      </c>
    </row>
    <row r="15" customFormat="false" ht="15" hidden="false" customHeight="false" outlineLevel="0" collapsed="false">
      <c r="B15" s="9" t="s">
        <v>34</v>
      </c>
    </row>
    <row r="16" customFormat="false" ht="15" hidden="false" customHeight="false" outlineLevel="0" collapsed="false">
      <c r="B16" s="18" t="s">
        <v>35</v>
      </c>
      <c r="C16" s="19" t="n">
        <f aca="false">IFERROR(SUMPRODUCT(--ISNUMBER('Enter data'!$B$7:$B$36),--ISNUMBER('Enter data'!$C$7:$C$36)),"")</f>
        <v>0</v>
      </c>
    </row>
    <row r="17" customFormat="false" ht="15" hidden="false" customHeight="false" outlineLevel="0" collapsed="false">
      <c r="B17" s="18" t="s">
        <v>36</v>
      </c>
      <c r="C17" s="20" t="str">
        <f aca="false">IFERROR(SLOPE('Enter data'!$C$7:$C$36,'Enter data'!$B$7:$B$36),"")</f>
        <v/>
      </c>
    </row>
    <row r="18" customFormat="false" ht="15" hidden="false" customHeight="false" outlineLevel="0" collapsed="false">
      <c r="B18" s="18" t="s">
        <v>37</v>
      </c>
      <c r="C18" s="20" t="str">
        <f aca="false">IFERROR(INTERCEPT('Enter data'!$C$7:$C$36,'Enter data'!$B$7:$B$36),"")</f>
        <v/>
      </c>
    </row>
    <row r="19" customFormat="false" ht="15" hidden="false" customHeight="false" outlineLevel="0" collapsed="false">
      <c r="B19" s="18" t="s">
        <v>38</v>
      </c>
      <c r="C19" s="21" t="str">
        <f aca="false">IFERROR(RSQ('Enter data'!$C$7:$C$36,'Enter data'!$B$7:$B$36),"")</f>
        <v/>
      </c>
    </row>
    <row r="20" customFormat="false" ht="15" hidden="false" customHeight="false" outlineLevel="0" collapsed="false">
      <c r="B20" s="18" t="s">
        <v>39</v>
      </c>
      <c r="C20" s="20" t="str">
        <f aca="false">IFERROR(STEYX('Enter data'!$C$7:$C$36,'Enter data'!$B$7:$B$36),"")</f>
        <v/>
      </c>
    </row>
    <row r="21" customFormat="false" ht="15" hidden="false" customHeight="false" outlineLevel="0" collapsed="false">
      <c r="B21" s="18" t="s">
        <v>40</v>
      </c>
      <c r="C21" s="20" t="str">
        <f aca="false">IFERROR($C$20/SQRT(DEVSQ('Enter data'!$B$7:$B$36)),"")</f>
        <v/>
      </c>
    </row>
    <row r="22" customFormat="false" ht="15" hidden="false" customHeight="false" outlineLevel="0" collapsed="false">
      <c r="B22" s="18" t="s">
        <v>41</v>
      </c>
      <c r="C22" s="20" t="str">
        <f aca="false">IFERROR($C$17-TINV(0.05,$C$16-2)*$C$21,"")</f>
        <v/>
      </c>
    </row>
    <row r="23" customFormat="false" ht="15" hidden="false" customHeight="false" outlineLevel="0" collapsed="false">
      <c r="B23" s="18" t="s">
        <v>42</v>
      </c>
      <c r="C23" s="20" t="str">
        <f aca="false">IFERROR($C$17+TINV(0.05,$C$16-2)*$C$21,"")</f>
        <v/>
      </c>
    </row>
    <row r="24" customFormat="false" ht="15" hidden="false" customHeight="false" outlineLevel="0" collapsed="false">
      <c r="B24" s="18" t="s">
        <v>43</v>
      </c>
      <c r="C24" s="22" t="str">
        <f aca="false">IFERROR(1/$C$17,"")</f>
        <v/>
      </c>
    </row>
    <row r="26" customFormat="false" ht="15" hidden="false" customHeight="false" outlineLevel="0" collapsed="false">
      <c r="B26" s="9" t="s">
        <v>44</v>
      </c>
    </row>
    <row r="27" customFormat="false" ht="15" hidden="false" customHeight="false" outlineLevel="0" collapsed="false">
      <c r="B27" s="18" t="s">
        <v>45</v>
      </c>
      <c r="C27" s="23" t="str">
        <f aca="false">IFERROR(AVERAGE('Enter data'!$G$7:$G$36),"")</f>
        <v/>
      </c>
    </row>
    <row r="28" customFormat="false" ht="15" hidden="false" customHeight="false" outlineLevel="0" collapsed="false">
      <c r="B28" s="18" t="s">
        <v>46</v>
      </c>
      <c r="C28" s="23" t="str">
        <f aca="false">IFERROR(STDEV('Enter data'!$G$7:$G$36),"")</f>
        <v/>
      </c>
    </row>
    <row r="30" customFormat="false" ht="15" hidden="false" customHeight="false" outlineLevel="0" collapsed="false">
      <c r="B30" s="9" t="s">
        <v>47</v>
      </c>
    </row>
    <row r="31" customFormat="false" ht="15" hidden="false" customHeight="false" outlineLevel="0" collapsed="false">
      <c r="B31" s="18" t="s">
        <v>48</v>
      </c>
      <c r="C31" s="19" t="n">
        <f aca="false">IFERROR(COUNT('Enter data'!$H$7:$H$36),"")</f>
        <v>0</v>
      </c>
    </row>
    <row r="32" customFormat="false" ht="15" hidden="false" customHeight="false" outlineLevel="0" collapsed="false">
      <c r="B32" s="18" t="s">
        <v>49</v>
      </c>
      <c r="C32" s="19" t="str">
        <f aca="false">IFERROR(100*COUNTIF('Enter data'!$H$7:$H$36,0)/$C$31,"")</f>
        <v/>
      </c>
    </row>
    <row r="33" customFormat="false" ht="15" hidden="false" customHeight="false" outlineLevel="0" collapsed="false">
      <c r="B33" s="18" t="s">
        <v>50</v>
      </c>
      <c r="C33" s="19" t="str">
        <f aca="false">IFERROR(100*(COUNTIF('Enter data'!$H$7:$H$36,"&lt;=2")-COUNTIF('Enter data'!$H$7:$H$36,"&lt;-2"))/$C$31,"")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2026-10-01T00:31:38Z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2026-10-01T00:31:38Z</dcterms:modified>
  <cp:revision>0</cp:revision>
  <dc:subject/>
  <dc:title>DEV-04 Chick embryo staging from eggs of known age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