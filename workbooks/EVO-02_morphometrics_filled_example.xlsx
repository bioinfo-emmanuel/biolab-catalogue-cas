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<sst xmlns="http://schemas.openxmlformats.org/spreadsheetml/2006/main" count="310" uniqueCount="156">
  <si>
    <t xml:space="preserve">EVO-02  Morphometrics and selection in a wild population</t>
  </si>
  <si>
    <t xml:space="preserve">Excel version of the card. It does the same calculations as the R script morphometrics_analysis.R.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</si>
  <si>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</si>
  <si>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</si>
  <si>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</si>
  <si>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</si>
  <si>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</si>
  <si>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</si>
  <si>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</si>
  <si>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</si>
  <si>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Measure every specimen twice (ideally by a different person on another day). Repeatability r = (MSamong - MSwithin) / (MSamong + MSwithin) with two measurements per specimen.</t>
  </si>
  <si>
    <t xml:space="preserve">Allometry: slope of log10 width on log10 height for live specimens; a slope whose 95% interval includes 1 is consistent with isometry.</t>
  </si>
  <si>
    <t xml:space="preserve">Selection differential S = mean of survivors minus mean of the whole cohort (live plus dead shells); standardized i = S / sd of the cohort. This rests on strong assumptions (see the card).</t>
  </si>
  <si>
    <t xml:space="preserve">Differences from the R script on the card</t>
  </si>
  <si>
    <t xml:space="preserve">The R script handles a third trait (aperture) and tests each trait. This workbook tests height and width.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</si>
  <si>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</si>
  <si>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</si>
  <si>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</si>
  <si>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</si>
  <si>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The two site names</t>
  </si>
  <si>
    <t xml:space="preserve">Site 1</t>
  </si>
  <si>
    <t xml:space="preserve">Site 2</t>
  </si>
  <si>
    <t xml:space="preserve">Site_A</t>
  </si>
  <si>
    <t xml:space="preserve">Site_B</t>
  </si>
  <si>
    <t xml:space="preserve">2. Specimens (one row per specimen; type live or dead in the last column)</t>
  </si>
  <si>
    <t xml:space="preserve">Specimen</t>
  </si>
  <si>
    <t xml:space="preserve">Site</t>
  </si>
  <si>
    <t xml:space="preserve">Height, measure 1</t>
  </si>
  <si>
    <t xml:space="preserve">Height, measure 2</t>
  </si>
  <si>
    <t xml:space="preserve">Width, measure 1</t>
  </si>
  <si>
    <t xml:space="preserve">Width, measure 2</t>
  </si>
  <si>
    <t xml:space="preserve">Status (live or dead)</t>
  </si>
  <si>
    <t xml:space="preserve">Height mean (all)</t>
  </si>
  <si>
    <t xml:space="preserve">Height mean (live)</t>
  </si>
  <si>
    <t xml:space="preserve">Width mean (live)</t>
  </si>
  <si>
    <t xml:space="preserve">Height difference (m1 - m2)</t>
  </si>
  <si>
    <t xml:space="preserve">Width difference (m1 - m2)</t>
  </si>
  <si>
    <t xml:space="preserve">Width mean (all)</t>
  </si>
  <si>
    <t xml:space="preserve">Height mean (all, text blank)</t>
  </si>
  <si>
    <t xml:space="preserve">log10 height (live)</t>
  </si>
  <si>
    <t xml:space="preserve">log10 width (live)</t>
  </si>
  <si>
    <t xml:space="preserve">s1</t>
  </si>
  <si>
    <t xml:space="preserve">live</t>
  </si>
  <si>
    <t xml:space="preserve">Site_A_live_1</t>
  </si>
  <si>
    <t xml:space="preserve">Site_A_live_2</t>
  </si>
  <si>
    <t xml:space="preserve">Site_A_live_3</t>
  </si>
  <si>
    <t xml:space="preserve">Site_A_live_4</t>
  </si>
  <si>
    <t xml:space="preserve">Site_A_live_5</t>
  </si>
  <si>
    <t xml:space="preserve">Site_A_live_6</t>
  </si>
  <si>
    <t xml:space="preserve">Site_A_live_7</t>
  </si>
  <si>
    <t xml:space="preserve">Site_A_live_8</t>
  </si>
  <si>
    <t xml:space="preserve">Site_A_live_9</t>
  </si>
  <si>
    <t xml:space="preserve">Site_A_live_10</t>
  </si>
  <si>
    <t xml:space="preserve">Site_A_live_11</t>
  </si>
  <si>
    <t xml:space="preserve">Site_A_live_12</t>
  </si>
  <si>
    <t xml:space="preserve">Site_A_live_13</t>
  </si>
  <si>
    <t xml:space="preserve">Site_A_live_14</t>
  </si>
  <si>
    <t xml:space="preserve">Site_A_live_15</t>
  </si>
  <si>
    <t xml:space="preserve">Site_A_live_16</t>
  </si>
  <si>
    <t xml:space="preserve">Site_A_live_17</t>
  </si>
  <si>
    <t xml:space="preserve">Site_A_live_18</t>
  </si>
  <si>
    <t xml:space="preserve">Site_A_live_19</t>
  </si>
  <si>
    <t xml:space="preserve">Site_A_live_20</t>
  </si>
  <si>
    <t xml:space="preserve">Site_A_live_21</t>
  </si>
  <si>
    <t xml:space="preserve">Site_A_live_22</t>
  </si>
  <si>
    <t xml:space="preserve">Site_A_live_23</t>
  </si>
  <si>
    <t xml:space="preserve">Site_A_live_24</t>
  </si>
  <si>
    <t xml:space="preserve">Site_A_live_25</t>
  </si>
  <si>
    <t xml:space="preserve">Site_A_live_26</t>
  </si>
  <si>
    <t xml:space="preserve">Site_A_live_27</t>
  </si>
  <si>
    <t xml:space="preserve">Site_A_live_28</t>
  </si>
  <si>
    <t xml:space="preserve">Site_A_live_29</t>
  </si>
  <si>
    <t xml:space="preserve">Site_A_live_30</t>
  </si>
  <si>
    <t xml:space="preserve">Site_B_live_1</t>
  </si>
  <si>
    <t xml:space="preserve">Site_B_live_2</t>
  </si>
  <si>
    <t xml:space="preserve">Site_B_live_3</t>
  </si>
  <si>
    <t xml:space="preserve">Site_B_live_4</t>
  </si>
  <si>
    <t xml:space="preserve">Site_B_live_5</t>
  </si>
  <si>
    <t xml:space="preserve">Site_B_live_6</t>
  </si>
  <si>
    <t xml:space="preserve">Site_B_live_7</t>
  </si>
  <si>
    <t xml:space="preserve">Site_B_live_8</t>
  </si>
  <si>
    <t xml:space="preserve">Site_B_live_9</t>
  </si>
  <si>
    <t xml:space="preserve">Site_B_live_10</t>
  </si>
  <si>
    <t xml:space="preserve">Site_B_live_11</t>
  </si>
  <si>
    <t xml:space="preserve">Site_B_live_12</t>
  </si>
  <si>
    <t xml:space="preserve">Site_B_live_13</t>
  </si>
  <si>
    <t xml:space="preserve">Site_B_live_14</t>
  </si>
  <si>
    <t xml:space="preserve">Site_B_live_15</t>
  </si>
  <si>
    <t xml:space="preserve">Site_B_live_16</t>
  </si>
  <si>
    <t xml:space="preserve">Site_B_live_17</t>
  </si>
  <si>
    <t xml:space="preserve">Site_B_live_18</t>
  </si>
  <si>
    <t xml:space="preserve">Site_B_live_19</t>
  </si>
  <si>
    <t xml:space="preserve">Site_B_live_20</t>
  </si>
  <si>
    <t xml:space="preserve">Site_B_live_21</t>
  </si>
  <si>
    <t xml:space="preserve">Site_B_live_22</t>
  </si>
  <si>
    <t xml:space="preserve">Site_B_live_23</t>
  </si>
  <si>
    <t xml:space="preserve">Site_B_live_24</t>
  </si>
  <si>
    <t xml:space="preserve">Site_B_live_25</t>
  </si>
  <si>
    <t xml:space="preserve">Site_B_live_26</t>
  </si>
  <si>
    <t xml:space="preserve">Site_B_live_27</t>
  </si>
  <si>
    <t xml:space="preserve">Site_B_live_28</t>
  </si>
  <si>
    <t xml:space="preserve">Site_B_live_29</t>
  </si>
  <si>
    <t xml:space="preserve">Site_B_live_30</t>
  </si>
  <si>
    <t xml:space="preserve">Site_B_dead_1</t>
  </si>
  <si>
    <t xml:space="preserve">dead</t>
  </si>
  <si>
    <t xml:space="preserve">Site_B_dead_2</t>
  </si>
  <si>
    <t xml:space="preserve">Site_B_dead_3</t>
  </si>
  <si>
    <t xml:space="preserve">Site_B_dead_4</t>
  </si>
  <si>
    <t xml:space="preserve">Site_B_dead_5</t>
  </si>
  <si>
    <t xml:space="preserve">Site_B_dead_6</t>
  </si>
  <si>
    <t xml:space="preserve">Site_B_dead_7</t>
  </si>
  <si>
    <t xml:space="preserve">Site_B_dead_8</t>
  </si>
  <si>
    <t xml:space="preserve">Site_B_dead_9</t>
  </si>
  <si>
    <t xml:space="preserve">Site_B_dead_10</t>
  </si>
  <si>
    <t xml:space="preserve">Site_B_dead_11</t>
  </si>
  <si>
    <t xml:space="preserve">Site_B_dead_12</t>
  </si>
  <si>
    <t xml:space="preserve">Site_B_dead_13</t>
  </si>
  <si>
    <t xml:space="preserve">Site_B_dead_14</t>
  </si>
  <si>
    <t xml:space="preserve">Site_B_dead_15</t>
  </si>
  <si>
    <t xml:space="preserve">Results</t>
  </si>
  <si>
    <t xml:space="preserve">Everything on this sheet is calculated. Change only the yellow settings.</t>
  </si>
  <si>
    <t xml:space="preserve">Settings</t>
  </si>
  <si>
    <t xml:space="preserve">Site used for the selection differential (type its name)</t>
  </si>
  <si>
    <t xml:space="preserve">Repeatability (two measurements per specimen)</t>
  </si>
  <si>
    <t xml:space="preserve">Specimens measured twice (height)</t>
  </si>
  <si>
    <t xml:space="preserve">Mean square among specimens</t>
  </si>
  <si>
    <t xml:space="preserve">Mean square within specimens</t>
  </si>
  <si>
    <t xml:space="preserve">Repeatability r</t>
  </si>
  <si>
    <t xml:space="preserve">Specimens measured twice (width)</t>
  </si>
  <si>
    <t xml:space="preserve">Two-site comparison, live specimens (Welch t test)</t>
  </si>
  <si>
    <t xml:space="preserve">Name</t>
  </si>
  <si>
    <t xml:space="preserve">n</t>
  </si>
  <si>
    <t xml:space="preserve">Mean</t>
  </si>
  <si>
    <t xml:space="preserve">SD</t>
  </si>
  <si>
    <t xml:space="preserve">SE</t>
  </si>
  <si>
    <t xml:space="preserve">Height: difference in means (site 1 minus site 2)</t>
  </si>
  <si>
    <t xml:space="preserve">Standard error of the difference</t>
  </si>
  <si>
    <t xml:space="preserve">Degrees of freedom (Welch)</t>
  </si>
  <si>
    <t xml:space="preserve">p value</t>
  </si>
  <si>
    <t xml:space="preserve">95% interval, lower</t>
  </si>
  <si>
    <t xml:space="preserve">95% interval, upper</t>
  </si>
  <si>
    <t xml:space="preserve">Allometry (live specimens): log10 width on log10 height</t>
  </si>
  <si>
    <t xml:space="preserve">Points used</t>
  </si>
  <si>
    <t xml:space="preserve">Slope (isometry = 1)</t>
  </si>
  <si>
    <t xml:space="preserve">Intercept (isometry = 1)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</si>
  <si>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</si>
  <si>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</si>
  <si>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</si>
  <si>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</si>
  <si>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</si>
  <si>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Selection differential for the site named in the settings (height)</t>
  </si>
  <si>
    <t xml:space="preserve">Cohort size (live plus dead)</t>
  </si>
  <si>
    <t xml:space="preserve">Survivors (live)</t>
  </si>
  <si>
    <t xml:space="preserve">S = mean of survivors minus mean of cohort</t>
  </si>
  <si>
    <t xml:space="preserve">Standard deviation of the cohort</t>
  </si>
  <si>
    <t xml:space="preserve">Standardized differential i = S / sd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</si>
</sst>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;\-0.000;;@"/>
    <numFmt numFmtId="166" formatCode="0.00"/>
    <numFmt numFmtId="167" formatCode="0.000"/>
    <numFmt numFmtId="168" formatCode="0"/>
    <numFmt numFmtId="169" formatCode="0.0000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0" t="s">
        <v>21</v>
      </c>
    </row>
    <row r="6" customFormat="false" ht="15" hidden="false" customHeight="false" outlineLevel="0" collapsed="false">
      <c r="A6" s="11" t="s">
        <v>22</v>
      </c>
      <c r="B6" s="11" t="s">
        <v>23</v>
      </c>
    </row>
    <row r="9" customFormat="false" ht="15" hidden="false" customHeight="false" outlineLevel="0" collapsed="false">
      <c r="A9" s="9" t="s">
        <v>24</v>
      </c>
    </row>
    <row r="10" customFormat="false" ht="31.5" hidden="false" customHeight="true" outlineLevel="0" collapsed="false">
      <c r="A10" s="10" t="s">
        <v>25</v>
      </c>
      <c r="B10" s="10" t="s">
        <v>26</v>
      </c>
      <c r="C10" s="10" t="s">
        <v>27</v>
      </c>
      <c r="D10" s="10" t="s">
        <v>28</v>
      </c>
      <c r="E10" s="10" t="s">
        <v>29</v>
      </c>
      <c r="F10" s="10" t="s">
        <v>30</v>
      </c>
      <c r="G10" s="10" t="s">
        <v>31</v>
      </c>
      <c r="H10" s="10" t="s">
        <v>32</v>
      </c>
      <c r="I10" s="10" t="s">
        <v>33</v>
      </c>
      <c r="J10" s="10" t="s">
        <v>34</v>
      </c>
      <c r="K10" s="10" t="s">
        <v>35</v>
      </c>
      <c r="L10" s="10" t="s">
        <v>36</v>
      </c>
      <c r="M10" s="10" t="s">
        <v>37</v>
      </c>
      <c r="N10" s="10" t="s">
        <v>38</v>
      </c>
      <c r="O10" s="10" t="s">
        <v>39</v>
      </c>
      <c r="P10" s="10" t="s">
        <v>40</v>
      </c>
    </row>
    <row r="11" customFormat="false" ht="15" hidden="false" customHeight="false" outlineLevel="0" collapsed="false">
      <c r="A11" s="12" t="s">
        <v>41</v>
      </c>
      <c r="B11" s="12" t="s">
        <v>22</v>
      </c>
      <c r="C11" s="12" t="n">
        <v>21.4</v>
      </c>
      <c r="D11" s="12" t="n">
        <v>21.6</v>
      </c>
      <c r="E11" s="12" t="n">
        <v>16.8</v>
      </c>
      <c r="F11" s="12" t="n">
        <v>16.6</v>
      </c>
      <c r="G11" s="12" t="s">
        <v>42</v>
      </c>
    </row>
    <row r="12" customFormat="false" ht="15" hidden="false" customHeight="false" outlineLevel="0" collapsed="false">
      <c r="A12" s="11" t="s">
        <v>43</v>
      </c>
      <c r="B12" s="11" t="s">
        <v>22</v>
      </c>
      <c r="C12" s="11" t="n">
        <v>22.2</v>
      </c>
      <c r="D12" s="11" t="n">
        <v>22.2</v>
      </c>
      <c r="E12" s="11" t="n">
        <v>18.4</v>
      </c>
      <c r="F12" s="11" t="n">
        <v>17.5</v>
      </c>
      <c r="G12" s="11" t="s">
        <v>42</v>
      </c>
      <c r="H12" s="13" t="n">
        <f aca="false">IF(AND(ISNUMBER(C12),ISNUMBER(D12)),AVERAGE(C12:D12),0)</f>
        <v>22.2</v>
      </c>
      <c r="I12" s="13" t="n">
        <f aca="false">IF(AND(H12&gt;0,G12&lt;&gt;"dead"),H12,0)</f>
        <v>22.2</v>
      </c>
      <c r="J12" s="13" t="n">
        <f aca="false">IF(AND(ISNUMBER(E12),ISNUMBER(F12),G12&lt;&gt;"dead"),AVERAGE(E12:F12),0)</f>
        <v>17.95</v>
      </c>
      <c r="K12" s="14" t="n">
        <f aca="false">IF(AND(ISNUMBER(C12),ISNUMBER(D12)),C12-D12,"")</f>
        <v>0</v>
      </c>
      <c r="L12" s="14" t="n">
        <f aca="false">IF(AND(ISNUMBER(E12),ISNUMBER(F12)),E12-F12,"")</f>
        <v>0.899999999999999</v>
      </c>
      <c r="M12" s="14" t="n">
        <f aca="false">IF(AND(ISNUMBER(E12),ISNUMBER(F12)),AVERAGE(E12:F12),"")</f>
        <v>17.95</v>
      </c>
      <c r="N12" s="14" t="n">
        <f aca="false">IF(H12&gt;0,H12,"")</f>
        <v>22.2</v>
      </c>
      <c r="O12" s="15" t="n">
        <f aca="false">IF(AND(I12&gt;0,J12&gt;0),LOG10(I12),"")</f>
        <v>1.34635297445064</v>
      </c>
      <c r="P12" s="15" t="n">
        <f aca="false">IF(AND(I12&gt;0,J12&gt;0),LOG10(J12),"")</f>
        <v>1.25406445291434</v>
      </c>
    </row>
    <row r="13" customFormat="false" ht="15" hidden="false" customHeight="false" outlineLevel="0" collapsed="false">
      <c r="A13" s="11" t="s">
        <v>44</v>
      </c>
      <c r="B13" s="11" t="s">
        <v>22</v>
      </c>
      <c r="C13" s="11" t="n">
        <v>20.6</v>
      </c>
      <c r="D13" s="11" t="n">
        <v>20.9</v>
      </c>
      <c r="E13" s="11" t="n">
        <v>15.2</v>
      </c>
      <c r="F13" s="11" t="n">
        <v>15.4</v>
      </c>
      <c r="G13" s="11" t="s">
        <v>42</v>
      </c>
      <c r="H13" s="13" t="n">
        <f aca="false">IF(AND(ISNUMBER(C13),ISNUMBER(D13)),AVERAGE(C13:D13),0)</f>
        <v>20.75</v>
      </c>
      <c r="I13" s="13" t="n">
        <f aca="false">IF(AND(H13&gt;0,G13&lt;&gt;"dead"),H13,0)</f>
        <v>20.75</v>
      </c>
      <c r="J13" s="13" t="n">
        <f aca="false">IF(AND(ISNUMBER(E13),ISNUMBER(F13),G13&lt;&gt;"dead"),AVERAGE(E13:F13),0)</f>
        <v>15.3</v>
      </c>
      <c r="K13" s="14" t="n">
        <f aca="false">IF(AND(ISNUMBER(C13),ISNUMBER(D13)),C13-D13,"")</f>
        <v>-0.299999999999997</v>
      </c>
      <c r="L13" s="14" t="n">
        <f aca="false">IF(AND(ISNUMBER(E13),ISNUMBER(F13)),E13-F13,"")</f>
        <v>-0.200000000000001</v>
      </c>
      <c r="M13" s="14" t="n">
        <f aca="false">IF(AND(ISNUMBER(E13),ISNUMBER(F13)),AVERAGE(E13:F13),"")</f>
        <v>15.3</v>
      </c>
      <c r="N13" s="14" t="n">
        <f aca="false">IF(H13&gt;0,H13,"")</f>
        <v>20.75</v>
      </c>
      <c r="O13" s="15" t="n">
        <f aca="false">IF(AND(I13&gt;0,J13&gt;0),LOG10(I13),"")</f>
        <v>1.31701810104811</v>
      </c>
      <c r="P13" s="15" t="n">
        <f aca="false">IF(AND(I13&gt;0,J13&gt;0),LOG10(J13),"")</f>
        <v>1.1846914308176</v>
      </c>
    </row>
    <row r="14" customFormat="false" ht="15" hidden="false" customHeight="false" outlineLevel="0" collapsed="false">
      <c r="A14" s="11" t="s">
        <v>45</v>
      </c>
      <c r="B14" s="11" t="s">
        <v>22</v>
      </c>
      <c r="C14" s="11" t="n">
        <v>17.5</v>
      </c>
      <c r="D14" s="11" t="n">
        <v>18.3</v>
      </c>
      <c r="E14" s="11" t="n">
        <v>14.2</v>
      </c>
      <c r="F14" s="11" t="n">
        <v>14.2</v>
      </c>
      <c r="G14" s="11" t="s">
        <v>42</v>
      </c>
      <c r="H14" s="13" t="n">
        <f aca="false">IF(AND(ISNUMBER(C14),ISNUMBER(D14)),AVERAGE(C14:D14),0)</f>
        <v>17.9</v>
      </c>
      <c r="I14" s="13" t="n">
        <f aca="false">IF(AND(H14&gt;0,G14&lt;&gt;"dead"),H14,0)</f>
        <v>17.9</v>
      </c>
      <c r="J14" s="13" t="n">
        <f aca="false">IF(AND(ISNUMBER(E14),ISNUMBER(F14),G14&lt;&gt;"dead"),AVERAGE(E14:F14),0)</f>
        <v>14.2</v>
      </c>
      <c r="K14" s="14" t="n">
        <f aca="false">IF(AND(ISNUMBER(C14),ISNUMBER(D14)),C14-D14,"")</f>
        <v>-0.800000000000001</v>
      </c>
      <c r="L14" s="14" t="n">
        <f aca="false">IF(AND(ISNUMBER(E14),ISNUMBER(F14)),E14-F14,"")</f>
        <v>0</v>
      </c>
      <c r="M14" s="14" t="n">
        <f aca="false">IF(AND(ISNUMBER(E14),ISNUMBER(F14)),AVERAGE(E14:F14),"")</f>
        <v>14.2</v>
      </c>
      <c r="N14" s="14" t="n">
        <f aca="false">IF(H14&gt;0,H14,"")</f>
        <v>17.9</v>
      </c>
      <c r="O14" s="15" t="n">
        <f aca="false">IF(AND(I14&gt;0,J14&gt;0),LOG10(I14),"")</f>
        <v>1.25285303097989</v>
      </c>
      <c r="P14" s="15" t="n">
        <f aca="false">IF(AND(I14&gt;0,J14&gt;0),LOG10(J14),"")</f>
        <v>1.15228834438306</v>
      </c>
    </row>
    <row r="15" customFormat="false" ht="15" hidden="false" customHeight="false" outlineLevel="0" collapsed="false">
      <c r="A15" s="11" t="s">
        <v>46</v>
      </c>
      <c r="B15" s="11" t="s">
        <v>22</v>
      </c>
      <c r="C15" s="11" t="n">
        <v>22.1</v>
      </c>
      <c r="D15" s="11" t="n">
        <v>21.8</v>
      </c>
      <c r="E15" s="11" t="n">
        <v>17.3</v>
      </c>
      <c r="F15" s="11" t="n">
        <v>17.4</v>
      </c>
      <c r="G15" s="11" t="s">
        <v>42</v>
      </c>
      <c r="H15" s="13" t="n">
        <f aca="false">IF(AND(ISNUMBER(C15),ISNUMBER(D15)),AVERAGE(C15:D15),0)</f>
        <v>21.95</v>
      </c>
      <c r="I15" s="13" t="n">
        <f aca="false">IF(AND(H15&gt;0,G15&lt;&gt;"dead"),H15,0)</f>
        <v>21.95</v>
      </c>
      <c r="J15" s="13" t="n">
        <f aca="false">IF(AND(ISNUMBER(E15),ISNUMBER(F15),G15&lt;&gt;"dead"),AVERAGE(E15:F15),0)</f>
        <v>17.35</v>
      </c>
      <c r="K15" s="14" t="n">
        <f aca="false">IF(AND(ISNUMBER(C15),ISNUMBER(D15)),C15-D15,"")</f>
        <v>0.300000000000001</v>
      </c>
      <c r="L15" s="14" t="n">
        <f aca="false">IF(AND(ISNUMBER(E15),ISNUMBER(F15)),E15-F15,"")</f>
        <v>-0.0999999999999979</v>
      </c>
      <c r="M15" s="14" t="n">
        <f aca="false">IF(AND(ISNUMBER(E15),ISNUMBER(F15)),AVERAGE(E15:F15),"")</f>
        <v>17.35</v>
      </c>
      <c r="N15" s="14" t="n">
        <f aca="false">IF(H15&gt;0,H15,"")</f>
        <v>21.95</v>
      </c>
      <c r="O15" s="15" t="n">
        <f aca="false">IF(AND(I15&gt;0,J15&gt;0),LOG10(I15),"")</f>
        <v>1.34143452457814</v>
      </c>
      <c r="P15" s="15" t="n">
        <f aca="false">IF(AND(I15&gt;0,J15&gt;0),LOG10(J15),"")</f>
        <v>1.23929947912689</v>
      </c>
    </row>
    <row r="16" customFormat="false" ht="15" hidden="false" customHeight="false" outlineLevel="0" collapsed="false">
      <c r="A16" s="11" t="s">
        <v>47</v>
      </c>
      <c r="B16" s="11" t="s">
        <v>22</v>
      </c>
      <c r="C16" s="11" t="n">
        <v>20.6</v>
      </c>
      <c r="D16" s="11" t="n">
        <v>20.4</v>
      </c>
      <c r="E16" s="11" t="n">
        <v>16</v>
      </c>
      <c r="F16" s="11" t="n">
        <v>15.3</v>
      </c>
      <c r="G16" s="11" t="s">
        <v>42</v>
      </c>
      <c r="H16" s="13" t="n">
        <f aca="false">IF(AND(ISNUMBER(C16),ISNUMBER(D16)),AVERAGE(C16:D16),0)</f>
        <v>20.5</v>
      </c>
      <c r="I16" s="13" t="n">
        <f aca="false">IF(AND(H16&gt;0,G16&lt;&gt;"dead"),H16,0)</f>
        <v>20.5</v>
      </c>
      <c r="J16" s="13" t="n">
        <f aca="false">IF(AND(ISNUMBER(E16),ISNUMBER(F16),G16&lt;&gt;"dead"),AVERAGE(E16:F16),0)</f>
        <v>15.65</v>
      </c>
      <c r="K16" s="14" t="n">
        <f aca="false">IF(AND(ISNUMBER(C16),ISNUMBER(D16)),C16-D16,"")</f>
        <v>0.200000000000003</v>
      </c>
      <c r="L16" s="14" t="n">
        <f aca="false">IF(AND(ISNUMBER(E16),ISNUMBER(F16)),E16-F16,"")</f>
        <v>0.699999999999999</v>
      </c>
      <c r="M16" s="14" t="n">
        <f aca="false">IF(AND(ISNUMBER(E16),ISNUMBER(F16)),AVERAGE(E16:F16),"")</f>
        <v>15.65</v>
      </c>
      <c r="N16" s="14" t="n">
        <f aca="false">IF(H16&gt;0,H16,"")</f>
        <v>20.5</v>
      </c>
      <c r="O16" s="15" t="n">
        <f aca="false">IF(AND(I16&gt;0,J16&gt;0),LOG10(I16),"")</f>
        <v>1.31175386105575</v>
      </c>
      <c r="P16" s="15" t="n">
        <f aca="false">IF(AND(I16&gt;0,J16&gt;0),LOG10(J16),"")</f>
        <v>1.19451434188247</v>
      </c>
    </row>
    <row r="17" customFormat="false" ht="15" hidden="false" customHeight="false" outlineLevel="0" collapsed="false">
      <c r="A17" s="11" t="s">
        <v>48</v>
      </c>
      <c r="B17" s="11" t="s">
        <v>22</v>
      </c>
      <c r="C17" s="11" t="n">
        <v>23.6</v>
      </c>
      <c r="D17" s="11" t="n">
        <v>23.4</v>
      </c>
      <c r="E17" s="11" t="n">
        <v>18.1</v>
      </c>
      <c r="F17" s="11" t="n">
        <v>18</v>
      </c>
      <c r="G17" s="11" t="s">
        <v>42</v>
      </c>
      <c r="H17" s="13" t="n">
        <f aca="false">IF(AND(ISNUMBER(C17),ISNUMBER(D17)),AVERAGE(C17:D17),0)</f>
        <v>23.5</v>
      </c>
      <c r="I17" s="13" t="n">
        <f aca="false">IF(AND(H17&gt;0,G17&lt;&gt;"dead"),H17,0)</f>
        <v>23.5</v>
      </c>
      <c r="J17" s="13" t="n">
        <f aca="false">IF(AND(ISNUMBER(E17),ISNUMBER(F17),G17&lt;&gt;"dead"),AVERAGE(E17:F17),0)</f>
        <v>18.05</v>
      </c>
      <c r="K17" s="14" t="n">
        <f aca="false">IF(AND(ISNUMBER(C17),ISNUMBER(D17)),C17-D17,"")</f>
        <v>0.200000000000003</v>
      </c>
      <c r="L17" s="14" t="n">
        <f aca="false">IF(AND(ISNUMBER(E17),ISNUMBER(F17)),E17-F17,"")</f>
        <v>0.100000000000001</v>
      </c>
      <c r="M17" s="14" t="n">
        <f aca="false">IF(AND(ISNUMBER(E17),ISNUMBER(F17)),AVERAGE(E17:F17),"")</f>
        <v>18.05</v>
      </c>
      <c r="N17" s="14" t="n">
        <f aca="false">IF(H17&gt;0,H17,"")</f>
        <v>23.5</v>
      </c>
      <c r="O17" s="15" t="n">
        <f aca="false">IF(AND(I17&gt;0,J17&gt;0),LOG10(I17),"")</f>
        <v>1.37106786227174</v>
      </c>
      <c r="P17" s="15" t="n">
        <f aca="false">IF(AND(I17&gt;0,J17&gt;0),LOG10(J17),"")</f>
        <v>1.25647720624168</v>
      </c>
    </row>
    <row r="18" customFormat="false" ht="15" hidden="false" customHeight="false" outlineLevel="0" collapsed="false">
      <c r="A18" s="11" t="s">
        <v>49</v>
      </c>
      <c r="B18" s="11" t="s">
        <v>22</v>
      </c>
      <c r="C18" s="11" t="n">
        <v>22.4</v>
      </c>
      <c r="D18" s="11" t="n">
        <v>23</v>
      </c>
      <c r="E18" s="11" t="n">
        <v>17.2</v>
      </c>
      <c r="F18" s="11" t="n">
        <v>16.9</v>
      </c>
      <c r="G18" s="11" t="s">
        <v>42</v>
      </c>
      <c r="H18" s="13" t="n">
        <f aca="false">IF(AND(ISNUMBER(C18),ISNUMBER(D18)),AVERAGE(C18:D18),0)</f>
        <v>22.7</v>
      </c>
      <c r="I18" s="13" t="n">
        <f aca="false">IF(AND(H18&gt;0,G18&lt;&gt;"dead"),H18,0)</f>
        <v>22.7</v>
      </c>
      <c r="J18" s="13" t="n">
        <f aca="false">IF(AND(ISNUMBER(E18),ISNUMBER(F18),G18&lt;&gt;"dead"),AVERAGE(E18:F18),0)</f>
        <v>17.05</v>
      </c>
      <c r="K18" s="14" t="n">
        <f aca="false">IF(AND(ISNUMBER(C18),ISNUMBER(D18)),C18-D18,"")</f>
        <v>-0.600000000000001</v>
      </c>
      <c r="L18" s="14" t="n">
        <f aca="false">IF(AND(ISNUMBER(E18),ISNUMBER(F18)),E18-F18,"")</f>
        <v>0.300000000000001</v>
      </c>
      <c r="M18" s="14" t="n">
        <f aca="false">IF(AND(ISNUMBER(E18),ISNUMBER(F18)),AVERAGE(E18:F18),"")</f>
        <v>17.05</v>
      </c>
      <c r="N18" s="14" t="n">
        <f aca="false">IF(H18&gt;0,H18,"")</f>
        <v>22.7</v>
      </c>
      <c r="O18" s="15" t="n">
        <f aca="false">IF(AND(I18&gt;0,J18&gt;0),LOG10(I18),"")</f>
        <v>1.35602585719312</v>
      </c>
      <c r="P18" s="15" t="n">
        <f aca="false">IF(AND(I18&gt;0,J18&gt;0),LOG10(J18),"")</f>
        <v>1.23172438332852</v>
      </c>
    </row>
    <row r="19" customFormat="false" ht="15" hidden="false" customHeight="false" outlineLevel="0" collapsed="false">
      <c r="A19" s="11" t="s">
        <v>50</v>
      </c>
      <c r="B19" s="11" t="s">
        <v>22</v>
      </c>
      <c r="C19" s="11" t="n">
        <v>24.3</v>
      </c>
      <c r="D19" s="11" t="n">
        <v>24.3</v>
      </c>
      <c r="E19" s="11" t="n">
        <v>18.6</v>
      </c>
      <c r="F19" s="11" t="n">
        <v>18.1</v>
      </c>
      <c r="G19" s="11" t="s">
        <v>42</v>
      </c>
      <c r="H19" s="13" t="n">
        <f aca="false">IF(AND(ISNUMBER(C19),ISNUMBER(D19)),AVERAGE(C19:D19),0)</f>
        <v>24.3</v>
      </c>
      <c r="I19" s="13" t="n">
        <f aca="false">IF(AND(H19&gt;0,G19&lt;&gt;"dead"),H19,0)</f>
        <v>24.3</v>
      </c>
      <c r="J19" s="13" t="n">
        <f aca="false">IF(AND(ISNUMBER(E19),ISNUMBER(F19),G19&lt;&gt;"dead"),AVERAGE(E19:F19),0)</f>
        <v>18.35</v>
      </c>
      <c r="K19" s="14" t="n">
        <f aca="false">IF(AND(ISNUMBER(C19),ISNUMBER(D19)),C19-D19,"")</f>
        <v>0</v>
      </c>
      <c r="L19" s="14" t="n">
        <f aca="false">IF(AND(ISNUMBER(E19),ISNUMBER(F19)),E19-F19,"")</f>
        <v>0.5</v>
      </c>
      <c r="M19" s="14" t="n">
        <f aca="false">IF(AND(ISNUMBER(E19),ISNUMBER(F19)),AVERAGE(E19:F19),"")</f>
        <v>18.35</v>
      </c>
      <c r="N19" s="14" t="n">
        <f aca="false">IF(H19&gt;0,H19,"")</f>
        <v>24.3</v>
      </c>
      <c r="O19" s="15" t="n">
        <f aca="false">IF(AND(I19&gt;0,J19&gt;0),LOG10(I19),"")</f>
        <v>1.38560627359831</v>
      </c>
      <c r="P19" s="15" t="n">
        <f aca="false">IF(AND(I19&gt;0,J19&gt;0),LOG10(J19),"")</f>
        <v>1.26363606858811</v>
      </c>
    </row>
    <row r="20" customFormat="false" ht="15" hidden="false" customHeight="false" outlineLevel="0" collapsed="false">
      <c r="A20" s="11" t="s">
        <v>51</v>
      </c>
      <c r="B20" s="11" t="s">
        <v>22</v>
      </c>
      <c r="C20" s="11" t="n">
        <v>21.1</v>
      </c>
      <c r="D20" s="11" t="n">
        <v>21.4</v>
      </c>
      <c r="E20" s="11" t="n">
        <v>17.2</v>
      </c>
      <c r="F20" s="11" t="n">
        <v>16.8</v>
      </c>
      <c r="G20" s="11" t="s">
        <v>42</v>
      </c>
      <c r="H20" s="13" t="n">
        <f aca="false">IF(AND(ISNUMBER(C20),ISNUMBER(D20)),AVERAGE(C20:D20),0)</f>
        <v>21.25</v>
      </c>
      <c r="I20" s="13" t="n">
        <f aca="false">IF(AND(H20&gt;0,G20&lt;&gt;"dead"),H20,0)</f>
        <v>21.25</v>
      </c>
      <c r="J20" s="13" t="n">
        <f aca="false">IF(AND(ISNUMBER(E20),ISNUMBER(F20),G20&lt;&gt;"dead"),AVERAGE(E20:F20),0)</f>
        <v>17</v>
      </c>
      <c r="K20" s="14" t="n">
        <f aca="false">IF(AND(ISNUMBER(C20),ISNUMBER(D20)),C20-D20,"")</f>
        <v>-0.299999999999997</v>
      </c>
      <c r="L20" s="14" t="n">
        <f aca="false">IF(AND(ISNUMBER(E20),ISNUMBER(F20)),E20-F20,"")</f>
        <v>0.399999999999999</v>
      </c>
      <c r="M20" s="14" t="n">
        <f aca="false">IF(AND(ISNUMBER(E20),ISNUMBER(F20)),AVERAGE(E20:F20),"")</f>
        <v>17</v>
      </c>
      <c r="N20" s="14" t="n">
        <f aca="false">IF(H20&gt;0,H20,"")</f>
        <v>21.25</v>
      </c>
      <c r="O20" s="15" t="n">
        <f aca="false">IF(AND(I20&gt;0,J20&gt;0),LOG10(I20),"")</f>
        <v>1.32735893438633</v>
      </c>
      <c r="P20" s="15" t="n">
        <f aca="false">IF(AND(I20&gt;0,J20&gt;0),LOG10(J20),"")</f>
        <v>1.23044892137827</v>
      </c>
    </row>
    <row r="21" customFormat="false" ht="15" hidden="false" customHeight="false" outlineLevel="0" collapsed="false">
      <c r="A21" s="11" t="s">
        <v>52</v>
      </c>
      <c r="B21" s="11" t="s">
        <v>22</v>
      </c>
      <c r="C21" s="11" t="n">
        <v>25</v>
      </c>
      <c r="D21" s="11" t="n">
        <v>25.1</v>
      </c>
      <c r="E21" s="11" t="n">
        <v>20.9</v>
      </c>
      <c r="F21" s="11" t="n">
        <v>21.2</v>
      </c>
      <c r="G21" s="11" t="s">
        <v>42</v>
      </c>
      <c r="H21" s="13" t="n">
        <f aca="false">IF(AND(ISNUMBER(C21),ISNUMBER(D21)),AVERAGE(C21:D21),0)</f>
        <v>25.05</v>
      </c>
      <c r="I21" s="13" t="n">
        <f aca="false">IF(AND(H21&gt;0,G21&lt;&gt;"dead"),H21,0)</f>
        <v>25.05</v>
      </c>
      <c r="J21" s="13" t="n">
        <f aca="false">IF(AND(ISNUMBER(E21),ISNUMBER(F21),G21&lt;&gt;"dead"),AVERAGE(E21:F21),0)</f>
        <v>21.05</v>
      </c>
      <c r="K21" s="14" t="n">
        <f aca="false">IF(AND(ISNUMBER(C21),ISNUMBER(D21)),C21-D21,"")</f>
        <v>-0.100000000000001</v>
      </c>
      <c r="L21" s="14" t="n">
        <f aca="false">IF(AND(ISNUMBER(E21),ISNUMBER(F21)),E21-F21,"")</f>
        <v>-0.300000000000001</v>
      </c>
      <c r="M21" s="14" t="n">
        <f aca="false">IF(AND(ISNUMBER(E21),ISNUMBER(F21)),AVERAGE(E21:F21),"")</f>
        <v>21.05</v>
      </c>
      <c r="N21" s="14" t="n">
        <f aca="false">IF(H21&gt;0,H21,"")</f>
        <v>25.05</v>
      </c>
      <c r="O21" s="15" t="n">
        <f aca="false">IF(AND(I21&gt;0,J21&gt;0),LOG10(I21),"")</f>
        <v>1.39880773020326</v>
      </c>
      <c r="P21" s="15" t="n">
        <f aca="false">IF(AND(I21&gt;0,J21&gt;0),LOG10(J21),"")</f>
        <v>1.32325210017169</v>
      </c>
    </row>
    <row r="22" customFormat="false" ht="15" hidden="false" customHeight="false" outlineLevel="0" collapsed="false">
      <c r="A22" s="11" t="s">
        <v>53</v>
      </c>
      <c r="B22" s="11" t="s">
        <v>22</v>
      </c>
      <c r="C22" s="11" t="n">
        <v>22.6</v>
      </c>
      <c r="D22" s="11" t="n">
        <v>22.1</v>
      </c>
      <c r="E22" s="11" t="n">
        <v>17</v>
      </c>
      <c r="F22" s="11" t="n">
        <v>17.2</v>
      </c>
      <c r="G22" s="11" t="s">
        <v>42</v>
      </c>
      <c r="H22" s="13" t="n">
        <f aca="false">IF(AND(ISNUMBER(C22),ISNUMBER(D22)),AVERAGE(C22:D22),0)</f>
        <v>22.35</v>
      </c>
      <c r="I22" s="13" t="n">
        <f aca="false">IF(AND(H22&gt;0,G22&lt;&gt;"dead"),H22,0)</f>
        <v>22.35</v>
      </c>
      <c r="J22" s="13" t="n">
        <f aca="false">IF(AND(ISNUMBER(E22),ISNUMBER(F22),G22&lt;&gt;"dead"),AVERAGE(E22:F22),0)</f>
        <v>17.1</v>
      </c>
      <c r="K22" s="14" t="n">
        <f aca="false">IF(AND(ISNUMBER(C22),ISNUMBER(D22)),C22-D22,"")</f>
        <v>0.5</v>
      </c>
      <c r="L22" s="14" t="n">
        <f aca="false">IF(AND(ISNUMBER(E22),ISNUMBER(F22)),E22-F22,"")</f>
        <v>-0.199999999999999</v>
      </c>
      <c r="M22" s="14" t="n">
        <f aca="false">IF(AND(ISNUMBER(E22),ISNUMBER(F22)),AVERAGE(E22:F22),"")</f>
        <v>17.1</v>
      </c>
      <c r="N22" s="14" t="n">
        <f aca="false">IF(H22&gt;0,H22,"")</f>
        <v>22.35</v>
      </c>
      <c r="O22" s="15" t="n">
        <f aca="false">IF(AND(I22&gt;0,J22&gt;0),LOG10(I22),"")</f>
        <v>1.34927752746796</v>
      </c>
      <c r="P22" s="15" t="n">
        <f aca="false">IF(AND(I22&gt;0,J22&gt;0),LOG10(J22),"")</f>
        <v>1.23299611039215</v>
      </c>
    </row>
    <row r="23" customFormat="false" ht="15" hidden="false" customHeight="false" outlineLevel="0" collapsed="false">
      <c r="A23" s="11" t="s">
        <v>54</v>
      </c>
      <c r="B23" s="11" t="s">
        <v>22</v>
      </c>
      <c r="C23" s="11" t="n">
        <v>22.4</v>
      </c>
      <c r="D23" s="11" t="n">
        <v>22.3</v>
      </c>
      <c r="E23" s="11" t="n">
        <v>18</v>
      </c>
      <c r="F23" s="11" t="n">
        <v>18.1</v>
      </c>
      <c r="G23" s="11" t="s">
        <v>42</v>
      </c>
      <c r="H23" s="13" t="n">
        <f aca="false">IF(AND(ISNUMBER(C23),ISNUMBER(D23)),AVERAGE(C23:D23),0)</f>
        <v>22.35</v>
      </c>
      <c r="I23" s="13" t="n">
        <f aca="false">IF(AND(H23&gt;0,G23&lt;&gt;"dead"),H23,0)</f>
        <v>22.35</v>
      </c>
      <c r="J23" s="13" t="n">
        <f aca="false">IF(AND(ISNUMBER(E23),ISNUMBER(F23),G23&lt;&gt;"dead"),AVERAGE(E23:F23),0)</f>
        <v>18.05</v>
      </c>
      <c r="K23" s="14" t="n">
        <f aca="false">IF(AND(ISNUMBER(C23),ISNUMBER(D23)),C23-D23,"")</f>
        <v>0.0999999999999979</v>
      </c>
      <c r="L23" s="14" t="n">
        <f aca="false">IF(AND(ISNUMBER(E23),ISNUMBER(F23)),E23-F23,"")</f>
        <v>-0.100000000000001</v>
      </c>
      <c r="M23" s="14" t="n">
        <f aca="false">IF(AND(ISNUMBER(E23),ISNUMBER(F23)),AVERAGE(E23:F23),"")</f>
        <v>18.05</v>
      </c>
      <c r="N23" s="14" t="n">
        <f aca="false">IF(H23&gt;0,H23,"")</f>
        <v>22.35</v>
      </c>
      <c r="O23" s="15" t="n">
        <f aca="false">IF(AND(I23&gt;0,J23&gt;0),LOG10(I23),"")</f>
        <v>1.34927752746796</v>
      </c>
      <c r="P23" s="15" t="n">
        <f aca="false">IF(AND(I23&gt;0,J23&gt;0),LOG10(J23),"")</f>
        <v>1.25647720624168</v>
      </c>
    </row>
    <row r="24" customFormat="false" ht="15" hidden="false" customHeight="false" outlineLevel="0" collapsed="false">
      <c r="A24" s="11" t="s">
        <v>55</v>
      </c>
      <c r="B24" s="11" t="s">
        <v>22</v>
      </c>
      <c r="C24" s="11" t="n">
        <v>22.3</v>
      </c>
      <c r="D24" s="11" t="n">
        <v>22</v>
      </c>
      <c r="E24" s="11" t="n">
        <v>17.7</v>
      </c>
      <c r="F24" s="11" t="n">
        <v>17.2</v>
      </c>
      <c r="G24" s="11" t="s">
        <v>42</v>
      </c>
      <c r="H24" s="13" t="n">
        <f aca="false">IF(AND(ISNUMBER(C24),ISNUMBER(D24)),AVERAGE(C24:D24),0)</f>
        <v>22.15</v>
      </c>
      <c r="I24" s="13" t="n">
        <f aca="false">IF(AND(H24&gt;0,G24&lt;&gt;"dead"),H24,0)</f>
        <v>22.15</v>
      </c>
      <c r="J24" s="13" t="n">
        <f aca="false">IF(AND(ISNUMBER(E24),ISNUMBER(F24),G24&lt;&gt;"dead"),AVERAGE(E24:F24),0)</f>
        <v>17.45</v>
      </c>
      <c r="K24" s="14" t="n">
        <f aca="false">IF(AND(ISNUMBER(C24),ISNUMBER(D24)),C24-D24,"")</f>
        <v>0.300000000000001</v>
      </c>
      <c r="L24" s="14" t="n">
        <f aca="false">IF(AND(ISNUMBER(E24),ISNUMBER(F24)),E24-F24,"")</f>
        <v>0.5</v>
      </c>
      <c r="M24" s="14" t="n">
        <f aca="false">IF(AND(ISNUMBER(E24),ISNUMBER(F24)),AVERAGE(E24:F24),"")</f>
        <v>17.45</v>
      </c>
      <c r="N24" s="14" t="n">
        <f aca="false">IF(H24&gt;0,H24,"")</f>
        <v>22.15</v>
      </c>
      <c r="O24" s="15" t="n">
        <f aca="false">IF(AND(I24&gt;0,J24&gt;0),LOG10(I24),"")</f>
        <v>1.34537373055909</v>
      </c>
      <c r="P24" s="15" t="n">
        <f aca="false">IF(AND(I24&gt;0,J24&gt;0),LOG10(J24),"")</f>
        <v>1.2417954312952</v>
      </c>
    </row>
    <row r="25" customFormat="false" ht="15" hidden="false" customHeight="false" outlineLevel="0" collapsed="false">
      <c r="A25" s="11" t="s">
        <v>56</v>
      </c>
      <c r="B25" s="11" t="s">
        <v>22</v>
      </c>
      <c r="C25" s="11" t="n">
        <v>19.6</v>
      </c>
      <c r="D25" s="11" t="n">
        <v>19.6</v>
      </c>
      <c r="E25" s="11" t="n">
        <v>15.5</v>
      </c>
      <c r="F25" s="11" t="n">
        <v>15.5</v>
      </c>
      <c r="G25" s="11" t="s">
        <v>42</v>
      </c>
      <c r="H25" s="13" t="n">
        <f aca="false">IF(AND(ISNUMBER(C25),ISNUMBER(D25)),AVERAGE(C25:D25),0)</f>
        <v>19.6</v>
      </c>
      <c r="I25" s="13" t="n">
        <f aca="false">IF(AND(H25&gt;0,G25&lt;&gt;"dead"),H25,0)</f>
        <v>19.6</v>
      </c>
      <c r="J25" s="13" t="n">
        <f aca="false">IF(AND(ISNUMBER(E25),ISNUMBER(F25),G25&lt;&gt;"dead"),AVERAGE(E25:F25),0)</f>
        <v>15.5</v>
      </c>
      <c r="K25" s="14" t="n">
        <f aca="false">IF(AND(ISNUMBER(C25),ISNUMBER(D25)),C25-D25,"")</f>
        <v>0</v>
      </c>
      <c r="L25" s="14" t="n">
        <f aca="false">IF(AND(ISNUMBER(E25),ISNUMBER(F25)),E25-F25,"")</f>
        <v>0</v>
      </c>
      <c r="M25" s="14" t="n">
        <f aca="false">IF(AND(ISNUMBER(E25),ISNUMBER(F25)),AVERAGE(E25:F25),"")</f>
        <v>15.5</v>
      </c>
      <c r="N25" s="14" t="n">
        <f aca="false">IF(H25&gt;0,H25,"")</f>
        <v>19.6</v>
      </c>
      <c r="O25" s="15" t="n">
        <f aca="false">IF(AND(I25&gt;0,J25&gt;0),LOG10(I25),"")</f>
        <v>1.29225607135648</v>
      </c>
      <c r="P25" s="15" t="n">
        <f aca="false">IF(AND(I25&gt;0,J25&gt;0),LOG10(J25),"")</f>
        <v>1.19033169817029</v>
      </c>
    </row>
    <row r="26" customFormat="false" ht="15" hidden="false" customHeight="false" outlineLevel="0" collapsed="false">
      <c r="A26" s="11" t="s">
        <v>57</v>
      </c>
      <c r="B26" s="11" t="s">
        <v>22</v>
      </c>
      <c r="C26" s="11" t="n">
        <v>23.6</v>
      </c>
      <c r="D26" s="11" t="n">
        <v>23.9</v>
      </c>
      <c r="E26" s="11" t="n">
        <v>17.5</v>
      </c>
      <c r="F26" s="11" t="n">
        <v>16.8</v>
      </c>
      <c r="G26" s="11" t="s">
        <v>42</v>
      </c>
      <c r="H26" s="13" t="n">
        <f aca="false">IF(AND(ISNUMBER(C26),ISNUMBER(D26)),AVERAGE(C26:D26),0)</f>
        <v>23.75</v>
      </c>
      <c r="I26" s="13" t="n">
        <f aca="false">IF(AND(H26&gt;0,G26&lt;&gt;"dead"),H26,0)</f>
        <v>23.75</v>
      </c>
      <c r="J26" s="13" t="n">
        <f aca="false">IF(AND(ISNUMBER(E26),ISNUMBER(F26),G26&lt;&gt;"dead"),AVERAGE(E26:F26),0)</f>
        <v>17.15</v>
      </c>
      <c r="K26" s="14" t="n">
        <f aca="false">IF(AND(ISNUMBER(C26),ISNUMBER(D26)),C26-D26,"")</f>
        <v>-0.299999999999997</v>
      </c>
      <c r="L26" s="14" t="n">
        <f aca="false">IF(AND(ISNUMBER(E26),ISNUMBER(F26)),E26-F26,"")</f>
        <v>0.699999999999999</v>
      </c>
      <c r="M26" s="14" t="n">
        <f aca="false">IF(AND(ISNUMBER(E26),ISNUMBER(F26)),AVERAGE(E26:F26),"")</f>
        <v>17.15</v>
      </c>
      <c r="N26" s="14" t="n">
        <f aca="false">IF(H26&gt;0,H26,"")</f>
        <v>23.75</v>
      </c>
      <c r="O26" s="15" t="n">
        <f aca="false">IF(AND(I26&gt;0,J26&gt;0),LOG10(I26),"")</f>
        <v>1.37566361396089</v>
      </c>
      <c r="P26" s="15" t="n">
        <f aca="false">IF(AND(I26&gt;0,J26&gt;0),LOG10(J26),"")</f>
        <v>1.23426412437879</v>
      </c>
    </row>
    <row r="27" customFormat="false" ht="15" hidden="false" customHeight="false" outlineLevel="0" collapsed="false">
      <c r="A27" s="11" t="s">
        <v>58</v>
      </c>
      <c r="B27" s="11" t="s">
        <v>22</v>
      </c>
      <c r="C27" s="11" t="n">
        <v>24.5</v>
      </c>
      <c r="D27" s="11" t="n">
        <v>24.7</v>
      </c>
      <c r="E27" s="11" t="n">
        <v>19.1</v>
      </c>
      <c r="F27" s="11" t="n">
        <v>18.4</v>
      </c>
      <c r="G27" s="11" t="s">
        <v>42</v>
      </c>
      <c r="H27" s="13" t="n">
        <f aca="false">IF(AND(ISNUMBER(C27),ISNUMBER(D27)),AVERAGE(C27:D27),0)</f>
        <v>24.6</v>
      </c>
      <c r="I27" s="13" t="n">
        <f aca="false">IF(AND(H27&gt;0,G27&lt;&gt;"dead"),H27,0)</f>
        <v>24.6</v>
      </c>
      <c r="J27" s="13" t="n">
        <f aca="false">IF(AND(ISNUMBER(E27),ISNUMBER(F27),G27&lt;&gt;"dead"),AVERAGE(E27:F27),0)</f>
        <v>18.75</v>
      </c>
      <c r="K27" s="14" t="n">
        <f aca="false">IF(AND(ISNUMBER(C27),ISNUMBER(D27)),C27-D27,"")</f>
        <v>-0.199999999999999</v>
      </c>
      <c r="L27" s="14" t="n">
        <f aca="false">IF(AND(ISNUMBER(E27),ISNUMBER(F27)),E27-F27,"")</f>
        <v>0.700000000000003</v>
      </c>
      <c r="M27" s="14" t="n">
        <f aca="false">IF(AND(ISNUMBER(E27),ISNUMBER(F27)),AVERAGE(E27:F27),"")</f>
        <v>18.75</v>
      </c>
      <c r="N27" s="14" t="n">
        <f aca="false">IF(H27&gt;0,H27,"")</f>
        <v>24.6</v>
      </c>
      <c r="O27" s="15" t="n">
        <f aca="false">IF(AND(I27&gt;0,J27&gt;0),LOG10(I27),"")</f>
        <v>1.39093510710338</v>
      </c>
      <c r="P27" s="15" t="n">
        <f aca="false">IF(AND(I27&gt;0,J27&gt;0),LOG10(J27),"")</f>
        <v>1.27300127206374</v>
      </c>
    </row>
    <row r="28" customFormat="false" ht="15" hidden="false" customHeight="false" outlineLevel="0" collapsed="false">
      <c r="A28" s="11" t="s">
        <v>59</v>
      </c>
      <c r="B28" s="11" t="s">
        <v>22</v>
      </c>
      <c r="C28" s="11" t="n">
        <v>23.9</v>
      </c>
      <c r="D28" s="11" t="n">
        <v>24.1</v>
      </c>
      <c r="E28" s="11" t="n">
        <v>18.3</v>
      </c>
      <c r="F28" s="11" t="n">
        <v>18.7</v>
      </c>
      <c r="G28" s="11" t="s">
        <v>42</v>
      </c>
      <c r="H28" s="13" t="n">
        <f aca="false">IF(AND(ISNUMBER(C28),ISNUMBER(D28)),AVERAGE(C28:D28),0)</f>
        <v>24</v>
      </c>
      <c r="I28" s="13" t="n">
        <f aca="false">IF(AND(H28&gt;0,G28&lt;&gt;"dead"),H28,0)</f>
        <v>24</v>
      </c>
      <c r="J28" s="13" t="n">
        <f aca="false">IF(AND(ISNUMBER(E28),ISNUMBER(F28),G28&lt;&gt;"dead"),AVERAGE(E28:F28),0)</f>
        <v>18.5</v>
      </c>
      <c r="K28" s="14" t="n">
        <f aca="false">IF(AND(ISNUMBER(C28),ISNUMBER(D28)),C28-D28,"")</f>
        <v>-0.200000000000003</v>
      </c>
      <c r="L28" s="14" t="n">
        <f aca="false">IF(AND(ISNUMBER(E28),ISNUMBER(F28)),E28-F28,"")</f>
        <v>-0.399999999999999</v>
      </c>
      <c r="M28" s="14" t="n">
        <f aca="false">IF(AND(ISNUMBER(E28),ISNUMBER(F28)),AVERAGE(E28:F28),"")</f>
        <v>18.5</v>
      </c>
      <c r="N28" s="14" t="n">
        <f aca="false">IF(H28&gt;0,H28,"")</f>
        <v>24</v>
      </c>
      <c r="O28" s="15" t="n">
        <f aca="false">IF(AND(I28&gt;0,J28&gt;0),LOG10(I28),"")</f>
        <v>1.38021124171161</v>
      </c>
      <c r="P28" s="15" t="n">
        <f aca="false">IF(AND(I28&gt;0,J28&gt;0),LOG10(J28),"")</f>
        <v>1.26717172840301</v>
      </c>
    </row>
    <row r="29" customFormat="false" ht="15" hidden="false" customHeight="false" outlineLevel="0" collapsed="false">
      <c r="A29" s="11" t="s">
        <v>60</v>
      </c>
      <c r="B29" s="11" t="s">
        <v>22</v>
      </c>
      <c r="C29" s="11" t="n">
        <v>22.3</v>
      </c>
      <c r="D29" s="11" t="n">
        <v>22.4</v>
      </c>
      <c r="E29" s="11" t="n">
        <v>17</v>
      </c>
      <c r="F29" s="11" t="n">
        <v>17.3</v>
      </c>
      <c r="G29" s="11" t="s">
        <v>42</v>
      </c>
      <c r="H29" s="13" t="n">
        <f aca="false">IF(AND(ISNUMBER(C29),ISNUMBER(D29)),AVERAGE(C29:D29),0)</f>
        <v>22.35</v>
      </c>
      <c r="I29" s="13" t="n">
        <f aca="false">IF(AND(H29&gt;0,G29&lt;&gt;"dead"),H29,0)</f>
        <v>22.35</v>
      </c>
      <c r="J29" s="13" t="n">
        <f aca="false">IF(AND(ISNUMBER(E29),ISNUMBER(F29),G29&lt;&gt;"dead"),AVERAGE(E29:F29),0)</f>
        <v>17.15</v>
      </c>
      <c r="K29" s="14" t="n">
        <f aca="false">IF(AND(ISNUMBER(C29),ISNUMBER(D29)),C29-D29,"")</f>
        <v>-0.0999999999999979</v>
      </c>
      <c r="L29" s="14" t="n">
        <f aca="false">IF(AND(ISNUMBER(E29),ISNUMBER(F29)),E29-F29,"")</f>
        <v>-0.300000000000001</v>
      </c>
      <c r="M29" s="14" t="n">
        <f aca="false">IF(AND(ISNUMBER(E29),ISNUMBER(F29)),AVERAGE(E29:F29),"")</f>
        <v>17.15</v>
      </c>
      <c r="N29" s="14" t="n">
        <f aca="false">IF(H29&gt;0,H29,"")</f>
        <v>22.35</v>
      </c>
      <c r="O29" s="15" t="n">
        <f aca="false">IF(AND(I29&gt;0,J29&gt;0),LOG10(I29),"")</f>
        <v>1.34927752746796</v>
      </c>
      <c r="P29" s="15" t="n">
        <f aca="false">IF(AND(I29&gt;0,J29&gt;0),LOG10(J29),"")</f>
        <v>1.23426412437879</v>
      </c>
    </row>
    <row r="30" customFormat="false" ht="15" hidden="false" customHeight="false" outlineLevel="0" collapsed="false">
      <c r="A30" s="11" t="s">
        <v>61</v>
      </c>
      <c r="B30" s="11" t="s">
        <v>22</v>
      </c>
      <c r="C30" s="11" t="n">
        <v>22.1</v>
      </c>
      <c r="D30" s="11" t="n">
        <v>22.6</v>
      </c>
      <c r="E30" s="11" t="n">
        <v>16.8</v>
      </c>
      <c r="F30" s="11" t="n">
        <v>17.1</v>
      </c>
      <c r="G30" s="11" t="s">
        <v>42</v>
      </c>
      <c r="H30" s="13" t="n">
        <f aca="false">IF(AND(ISNUMBER(C30),ISNUMBER(D30)),AVERAGE(C30:D30),0)</f>
        <v>22.35</v>
      </c>
      <c r="I30" s="13" t="n">
        <f aca="false">IF(AND(H30&gt;0,G30&lt;&gt;"dead"),H30,0)</f>
        <v>22.35</v>
      </c>
      <c r="J30" s="13" t="n">
        <f aca="false">IF(AND(ISNUMBER(E30),ISNUMBER(F30),G30&lt;&gt;"dead"),AVERAGE(E30:F30),0)</f>
        <v>16.95</v>
      </c>
      <c r="K30" s="14" t="n">
        <f aca="false">IF(AND(ISNUMBER(C30),ISNUMBER(D30)),C30-D30,"")</f>
        <v>-0.5</v>
      </c>
      <c r="L30" s="14" t="n">
        <f aca="false">IF(AND(ISNUMBER(E30),ISNUMBER(F30)),E30-F30,"")</f>
        <v>-0.300000000000001</v>
      </c>
      <c r="M30" s="14" t="n">
        <f aca="false">IF(AND(ISNUMBER(E30),ISNUMBER(F30)),AVERAGE(E30:F30),"")</f>
        <v>16.95</v>
      </c>
      <c r="N30" s="14" t="n">
        <f aca="false">IF(H30&gt;0,H30,"")</f>
        <v>22.35</v>
      </c>
      <c r="O30" s="15" t="n">
        <f aca="false">IF(AND(I30&gt;0,J30&gt;0),LOG10(I30),"")</f>
        <v>1.34927752746796</v>
      </c>
      <c r="P30" s="15" t="n">
        <f aca="false">IF(AND(I30&gt;0,J30&gt;0),LOG10(J30),"")</f>
        <v>1.2291697025391</v>
      </c>
    </row>
    <row r="31" customFormat="false" ht="15" hidden="false" customHeight="false" outlineLevel="0" collapsed="false">
      <c r="A31" s="11" t="s">
        <v>62</v>
      </c>
      <c r="B31" s="11" t="s">
        <v>22</v>
      </c>
      <c r="C31" s="11" t="n">
        <v>18.7</v>
      </c>
      <c r="D31" s="11" t="n">
        <v>18.9</v>
      </c>
      <c r="E31" s="11" t="n">
        <v>15.2</v>
      </c>
      <c r="F31" s="11" t="n">
        <v>14.9</v>
      </c>
      <c r="G31" s="11" t="s">
        <v>42</v>
      </c>
      <c r="H31" s="13" t="n">
        <f aca="false">IF(AND(ISNUMBER(C31),ISNUMBER(D31)),AVERAGE(C31:D31),0)</f>
        <v>18.8</v>
      </c>
      <c r="I31" s="13" t="n">
        <f aca="false">IF(AND(H31&gt;0,G31&lt;&gt;"dead"),H31,0)</f>
        <v>18.8</v>
      </c>
      <c r="J31" s="13" t="n">
        <f aca="false">IF(AND(ISNUMBER(E31),ISNUMBER(F31),G31&lt;&gt;"dead"),AVERAGE(E31:F31),0)</f>
        <v>15.05</v>
      </c>
      <c r="K31" s="14" t="n">
        <f aca="false">IF(AND(ISNUMBER(C31),ISNUMBER(D31)),C31-D31,"")</f>
        <v>-0.199999999999999</v>
      </c>
      <c r="L31" s="14" t="n">
        <f aca="false">IF(AND(ISNUMBER(E31),ISNUMBER(F31)),E31-F31,"")</f>
        <v>0.299999999999999</v>
      </c>
      <c r="M31" s="14" t="n">
        <f aca="false">IF(AND(ISNUMBER(E31),ISNUMBER(F31)),AVERAGE(E31:F31),"")</f>
        <v>15.05</v>
      </c>
      <c r="N31" s="14" t="n">
        <f aca="false">IF(H31&gt;0,H31,"")</f>
        <v>18.8</v>
      </c>
      <c r="O31" s="15" t="n">
        <f aca="false">IF(AND(I31&gt;0,J31&gt;0),LOG10(I31),"")</f>
        <v>1.27415784926368</v>
      </c>
      <c r="P31" s="15" t="n">
        <f aca="false">IF(AND(I31&gt;0,J31&gt;0),LOG10(J31),"")</f>
        <v>1.17753649992986</v>
      </c>
    </row>
    <row r="32" customFormat="false" ht="15" hidden="false" customHeight="false" outlineLevel="0" collapsed="false">
      <c r="A32" s="11" t="s">
        <v>63</v>
      </c>
      <c r="B32" s="11" t="s">
        <v>22</v>
      </c>
      <c r="C32" s="11" t="n">
        <v>23.7</v>
      </c>
      <c r="D32" s="11" t="n">
        <v>23.5</v>
      </c>
      <c r="E32" s="11" t="n">
        <v>19.4</v>
      </c>
      <c r="F32" s="11" t="n">
        <v>19.2</v>
      </c>
      <c r="G32" s="11" t="s">
        <v>42</v>
      </c>
      <c r="H32" s="13" t="n">
        <f aca="false">IF(AND(ISNUMBER(C32),ISNUMBER(D32)),AVERAGE(C32:D32),0)</f>
        <v>23.6</v>
      </c>
      <c r="I32" s="13" t="n">
        <f aca="false">IF(AND(H32&gt;0,G32&lt;&gt;"dead"),H32,0)</f>
        <v>23.6</v>
      </c>
      <c r="J32" s="13" t="n">
        <f aca="false">IF(AND(ISNUMBER(E32),ISNUMBER(F32),G32&lt;&gt;"dead"),AVERAGE(E32:F32),0)</f>
        <v>19.3</v>
      </c>
      <c r="K32" s="14" t="n">
        <f aca="false">IF(AND(ISNUMBER(C32),ISNUMBER(D32)),C32-D32,"")</f>
        <v>0.199999999999999</v>
      </c>
      <c r="L32" s="14" t="n">
        <f aca="false">IF(AND(ISNUMBER(E32),ISNUMBER(F32)),E32-F32,"")</f>
        <v>0.199999999999999</v>
      </c>
      <c r="M32" s="14" t="n">
        <f aca="false">IF(AND(ISNUMBER(E32),ISNUMBER(F32)),AVERAGE(E32:F32),"")</f>
        <v>19.3</v>
      </c>
      <c r="N32" s="14" t="n">
        <f aca="false">IF(H32&gt;0,H32,"")</f>
        <v>23.6</v>
      </c>
      <c r="O32" s="15" t="n">
        <f aca="false">IF(AND(I32&gt;0,J32&gt;0),LOG10(I32),"")</f>
        <v>1.37291200297011</v>
      </c>
      <c r="P32" s="15" t="n">
        <f aca="false">IF(AND(I32&gt;0,J32&gt;0),LOG10(J32),"")</f>
        <v>1.28555730900777</v>
      </c>
    </row>
    <row r="33" customFormat="false" ht="15" hidden="false" customHeight="false" outlineLevel="0" collapsed="false">
      <c r="A33" s="11" t="s">
        <v>64</v>
      </c>
      <c r="B33" s="11" t="s">
        <v>22</v>
      </c>
      <c r="C33" s="11" t="n">
        <v>27.6</v>
      </c>
      <c r="D33" s="11" t="n">
        <v>27.7</v>
      </c>
      <c r="E33" s="11" t="n">
        <v>20.6</v>
      </c>
      <c r="F33" s="11" t="n">
        <v>20.9</v>
      </c>
      <c r="G33" s="11" t="s">
        <v>42</v>
      </c>
      <c r="H33" s="13" t="n">
        <f aca="false">IF(AND(ISNUMBER(C33),ISNUMBER(D33)),AVERAGE(C33:D33),0)</f>
        <v>27.65</v>
      </c>
      <c r="I33" s="13" t="n">
        <f aca="false">IF(AND(H33&gt;0,G33&lt;&gt;"dead"),H33,0)</f>
        <v>27.65</v>
      </c>
      <c r="J33" s="13" t="n">
        <f aca="false">IF(AND(ISNUMBER(E33),ISNUMBER(F33),G33&lt;&gt;"dead"),AVERAGE(E33:F33),0)</f>
        <v>20.75</v>
      </c>
      <c r="K33" s="14" t="n">
        <f aca="false">IF(AND(ISNUMBER(C33),ISNUMBER(D33)),C33-D33,"")</f>
        <v>-0.0999999999999979</v>
      </c>
      <c r="L33" s="14" t="n">
        <f aca="false">IF(AND(ISNUMBER(E33),ISNUMBER(F33)),E33-F33,"")</f>
        <v>-0.299999999999997</v>
      </c>
      <c r="M33" s="14" t="n">
        <f aca="false">IF(AND(ISNUMBER(E33),ISNUMBER(F33)),AVERAGE(E33:F33),"")</f>
        <v>20.75</v>
      </c>
      <c r="N33" s="14" t="n">
        <f aca="false">IF(H33&gt;0,H33,"")</f>
        <v>27.65</v>
      </c>
      <c r="O33" s="15" t="n">
        <f aca="false">IF(AND(I33&gt;0,J33&gt;0),LOG10(I33),"")</f>
        <v>1.44169513564072</v>
      </c>
      <c r="P33" s="15" t="n">
        <f aca="false">IF(AND(I33&gt;0,J33&gt;0),LOG10(J33),"")</f>
        <v>1.31701810104811</v>
      </c>
    </row>
    <row r="34" customFormat="false" ht="15" hidden="false" customHeight="false" outlineLevel="0" collapsed="false">
      <c r="A34" s="11" t="s">
        <v>65</v>
      </c>
      <c r="B34" s="11" t="s">
        <v>22</v>
      </c>
      <c r="C34" s="11" t="n">
        <v>25.4</v>
      </c>
      <c r="D34" s="11" t="n">
        <v>25.2</v>
      </c>
      <c r="E34" s="11" t="n">
        <v>20.1</v>
      </c>
      <c r="F34" s="11" t="n">
        <v>20.1</v>
      </c>
      <c r="G34" s="11" t="s">
        <v>42</v>
      </c>
      <c r="H34" s="13" t="n">
        <f aca="false">IF(AND(ISNUMBER(C34),ISNUMBER(D34)),AVERAGE(C34:D34),0)</f>
        <v>25.3</v>
      </c>
      <c r="I34" s="13" t="n">
        <f aca="false">IF(AND(H34&gt;0,G34&lt;&gt;"dead"),H34,0)</f>
        <v>25.3</v>
      </c>
      <c r="J34" s="13" t="n">
        <f aca="false">IF(AND(ISNUMBER(E34),ISNUMBER(F34),G34&lt;&gt;"dead"),AVERAGE(E34:F34),0)</f>
        <v>20.1</v>
      </c>
      <c r="K34" s="14" t="n">
        <f aca="false">IF(AND(ISNUMBER(C34),ISNUMBER(D34)),C34-D34,"")</f>
        <v>0.199999999999999</v>
      </c>
      <c r="L34" s="14" t="n">
        <f aca="false">IF(AND(ISNUMBER(E34),ISNUMBER(F34)),E34-F34,"")</f>
        <v>0</v>
      </c>
      <c r="M34" s="14" t="n">
        <f aca="false">IF(AND(ISNUMBER(E34),ISNUMBER(F34)),AVERAGE(E34:F34),"")</f>
        <v>20.1</v>
      </c>
      <c r="N34" s="14" t="n">
        <f aca="false">IF(H34&gt;0,H34,"")</f>
        <v>25.3</v>
      </c>
      <c r="O34" s="15" t="n">
        <f aca="false">IF(AND(I34&gt;0,J34&gt;0),LOG10(I34),"")</f>
        <v>1.40312052117582</v>
      </c>
      <c r="P34" s="15" t="n">
        <f aca="false">IF(AND(I34&gt;0,J34&gt;0),LOG10(J34),"")</f>
        <v>1.30319605742049</v>
      </c>
    </row>
    <row r="35" customFormat="false" ht="15" hidden="false" customHeight="false" outlineLevel="0" collapsed="false">
      <c r="A35" s="11" t="s">
        <v>66</v>
      </c>
      <c r="B35" s="11" t="s">
        <v>22</v>
      </c>
      <c r="C35" s="11" t="n">
        <v>22.7</v>
      </c>
      <c r="D35" s="11" t="n">
        <v>22.7</v>
      </c>
      <c r="E35" s="11" t="n">
        <v>17.1</v>
      </c>
      <c r="F35" s="11" t="n">
        <v>17.5</v>
      </c>
      <c r="G35" s="11" t="s">
        <v>42</v>
      </c>
      <c r="H35" s="13" t="n">
        <f aca="false">IF(AND(ISNUMBER(C35),ISNUMBER(D35)),AVERAGE(C35:D35),0)</f>
        <v>22.7</v>
      </c>
      <c r="I35" s="13" t="n">
        <f aca="false">IF(AND(H35&gt;0,G35&lt;&gt;"dead"),H35,0)</f>
        <v>22.7</v>
      </c>
      <c r="J35" s="13" t="n">
        <f aca="false">IF(AND(ISNUMBER(E35),ISNUMBER(F35),G35&lt;&gt;"dead"),AVERAGE(E35:F35),0)</f>
        <v>17.3</v>
      </c>
      <c r="K35" s="14" t="n">
        <f aca="false">IF(AND(ISNUMBER(C35),ISNUMBER(D35)),C35-D35,"")</f>
        <v>0</v>
      </c>
      <c r="L35" s="14" t="n">
        <f aca="false">IF(AND(ISNUMBER(E35),ISNUMBER(F35)),E35-F35,"")</f>
        <v>-0.399999999999999</v>
      </c>
      <c r="M35" s="14" t="n">
        <f aca="false">IF(AND(ISNUMBER(E35),ISNUMBER(F35)),AVERAGE(E35:F35),"")</f>
        <v>17.3</v>
      </c>
      <c r="N35" s="14" t="n">
        <f aca="false">IF(H35&gt;0,H35,"")</f>
        <v>22.7</v>
      </c>
      <c r="O35" s="15" t="n">
        <f aca="false">IF(AND(I35&gt;0,J35&gt;0),LOG10(I35),"")</f>
        <v>1.35602585719312</v>
      </c>
      <c r="P35" s="15" t="n">
        <f aca="false">IF(AND(I35&gt;0,J35&gt;0),LOG10(J35),"")</f>
        <v>1.2380461031288</v>
      </c>
    </row>
    <row r="36" customFormat="false" ht="15" hidden="false" customHeight="false" outlineLevel="0" collapsed="false">
      <c r="A36" s="11" t="s">
        <v>67</v>
      </c>
      <c r="B36" s="11" t="s">
        <v>22</v>
      </c>
      <c r="C36" s="11" t="n">
        <v>17.3</v>
      </c>
      <c r="D36" s="11" t="n">
        <v>17.3</v>
      </c>
      <c r="E36" s="11" t="n">
        <v>12.5</v>
      </c>
      <c r="F36" s="11" t="n">
        <v>12.9</v>
      </c>
      <c r="G36" s="11" t="s">
        <v>42</v>
      </c>
      <c r="H36" s="13" t="n">
        <f aca="false">IF(AND(ISNUMBER(C36),ISNUMBER(D36)),AVERAGE(C36:D36),0)</f>
        <v>17.3</v>
      </c>
      <c r="I36" s="13" t="n">
        <f aca="false">IF(AND(H36&gt;0,G36&lt;&gt;"dead"),H36,0)</f>
        <v>17.3</v>
      </c>
      <c r="J36" s="13" t="n">
        <f aca="false">IF(AND(ISNUMBER(E36),ISNUMBER(F36),G36&lt;&gt;"dead"),AVERAGE(E36:F36),0)</f>
        <v>12.7</v>
      </c>
      <c r="K36" s="14" t="n">
        <f aca="false">IF(AND(ISNUMBER(C36),ISNUMBER(D36)),C36-D36,"")</f>
        <v>0</v>
      </c>
      <c r="L36" s="14" t="n">
        <f aca="false">IF(AND(ISNUMBER(E36),ISNUMBER(F36)),E36-F36,"")</f>
        <v>-0.4</v>
      </c>
      <c r="M36" s="14" t="n">
        <f aca="false">IF(AND(ISNUMBER(E36),ISNUMBER(F36)),AVERAGE(E36:F36),"")</f>
        <v>12.7</v>
      </c>
      <c r="N36" s="14" t="n">
        <f aca="false">IF(H36&gt;0,H36,"")</f>
        <v>17.3</v>
      </c>
      <c r="O36" s="15" t="n">
        <f aca="false">IF(AND(I36&gt;0,J36&gt;0),LOG10(I36),"")</f>
        <v>1.2380461031288</v>
      </c>
      <c r="P36" s="15" t="n">
        <f aca="false">IF(AND(I36&gt;0,J36&gt;0),LOG10(J36),"")</f>
        <v>1.10380372095596</v>
      </c>
    </row>
    <row r="37" customFormat="false" ht="15" hidden="false" customHeight="false" outlineLevel="0" collapsed="false">
      <c r="A37" s="11" t="s">
        <v>68</v>
      </c>
      <c r="B37" s="11" t="s">
        <v>22</v>
      </c>
      <c r="C37" s="11" t="n">
        <v>24.4</v>
      </c>
      <c r="D37" s="11" t="n">
        <v>24.6</v>
      </c>
      <c r="E37" s="11" t="n">
        <v>19.4</v>
      </c>
      <c r="F37" s="11" t="n">
        <v>19</v>
      </c>
      <c r="G37" s="11" t="s">
        <v>42</v>
      </c>
      <c r="H37" s="13" t="n">
        <f aca="false">IF(AND(ISNUMBER(C37),ISNUMBER(D37)),AVERAGE(C37:D37),0)</f>
        <v>24.5</v>
      </c>
      <c r="I37" s="13" t="n">
        <f aca="false">IF(AND(H37&gt;0,G37&lt;&gt;"dead"),H37,0)</f>
        <v>24.5</v>
      </c>
      <c r="J37" s="13" t="n">
        <f aca="false">IF(AND(ISNUMBER(E37),ISNUMBER(F37),G37&lt;&gt;"dead"),AVERAGE(E37:F37),0)</f>
        <v>19.2</v>
      </c>
      <c r="K37" s="14" t="n">
        <f aca="false">IF(AND(ISNUMBER(C37),ISNUMBER(D37)),C37-D37,"")</f>
        <v>-0.200000000000003</v>
      </c>
      <c r="L37" s="14" t="n">
        <f aca="false">IF(AND(ISNUMBER(E37),ISNUMBER(F37)),E37-F37,"")</f>
        <v>0.399999999999999</v>
      </c>
      <c r="M37" s="14" t="n">
        <f aca="false">IF(AND(ISNUMBER(E37),ISNUMBER(F37)),AVERAGE(E37:F37),"")</f>
        <v>19.2</v>
      </c>
      <c r="N37" s="14" t="n">
        <f aca="false">IF(H37&gt;0,H37,"")</f>
        <v>24.5</v>
      </c>
      <c r="O37" s="15" t="n">
        <f aca="false">IF(AND(I37&gt;0,J37&gt;0),LOG10(I37),"")</f>
        <v>1.38916608436453</v>
      </c>
      <c r="P37" s="15" t="n">
        <f aca="false">IF(AND(I37&gt;0,J37&gt;0),LOG10(J37),"")</f>
        <v>1.28330122870355</v>
      </c>
    </row>
    <row r="38" customFormat="false" ht="15" hidden="false" customHeight="false" outlineLevel="0" collapsed="false">
      <c r="A38" s="11" t="s">
        <v>69</v>
      </c>
      <c r="B38" s="11" t="s">
        <v>22</v>
      </c>
      <c r="C38" s="11" t="n">
        <v>21.2</v>
      </c>
      <c r="D38" s="11" t="n">
        <v>21.6</v>
      </c>
      <c r="E38" s="11" t="n">
        <v>17.6</v>
      </c>
      <c r="F38" s="11" t="n">
        <v>17.4</v>
      </c>
      <c r="G38" s="11" t="s">
        <v>42</v>
      </c>
      <c r="H38" s="13" t="n">
        <f aca="false">IF(AND(ISNUMBER(C38),ISNUMBER(D38)),AVERAGE(C38:D38),0)</f>
        <v>21.4</v>
      </c>
      <c r="I38" s="13" t="n">
        <f aca="false">IF(AND(H38&gt;0,G38&lt;&gt;"dead"),H38,0)</f>
        <v>21.4</v>
      </c>
      <c r="J38" s="13" t="n">
        <f aca="false">IF(AND(ISNUMBER(E38),ISNUMBER(F38),G38&lt;&gt;"dead"),AVERAGE(E38:F38),0)</f>
        <v>17.5</v>
      </c>
      <c r="K38" s="14" t="n">
        <f aca="false">IF(AND(ISNUMBER(C38),ISNUMBER(D38)),C38-D38,"")</f>
        <v>-0.400000000000002</v>
      </c>
      <c r="L38" s="14" t="n">
        <f aca="false">IF(AND(ISNUMBER(E38),ISNUMBER(F38)),E38-F38,"")</f>
        <v>0.200000000000003</v>
      </c>
      <c r="M38" s="14" t="n">
        <f aca="false">IF(AND(ISNUMBER(E38),ISNUMBER(F38)),AVERAGE(E38:F38),"")</f>
        <v>17.5</v>
      </c>
      <c r="N38" s="14" t="n">
        <f aca="false">IF(H38&gt;0,H38,"")</f>
        <v>21.4</v>
      </c>
      <c r="O38" s="15" t="n">
        <f aca="false">IF(AND(I38&gt;0,J38&gt;0),LOG10(I38),"")</f>
        <v>1.33041377334919</v>
      </c>
      <c r="P38" s="15" t="n">
        <f aca="false">IF(AND(I38&gt;0,J38&gt;0),LOG10(J38),"")</f>
        <v>1.24303804868629</v>
      </c>
    </row>
    <row r="39" customFormat="false" ht="15" hidden="false" customHeight="false" outlineLevel="0" collapsed="false">
      <c r="A39" s="11" t="s">
        <v>70</v>
      </c>
      <c r="B39" s="11" t="s">
        <v>22</v>
      </c>
      <c r="C39" s="11" t="n">
        <v>19.9</v>
      </c>
      <c r="D39" s="11" t="n">
        <v>19.9</v>
      </c>
      <c r="E39" s="11" t="n">
        <v>15.1</v>
      </c>
      <c r="F39" s="11" t="n">
        <v>15.4</v>
      </c>
      <c r="G39" s="11" t="s">
        <v>42</v>
      </c>
      <c r="H39" s="13" t="n">
        <f aca="false">IF(AND(ISNUMBER(C39),ISNUMBER(D39)),AVERAGE(C39:D39),0)</f>
        <v>19.9</v>
      </c>
      <c r="I39" s="13" t="n">
        <f aca="false">IF(AND(H39&gt;0,G39&lt;&gt;"dead"),H39,0)</f>
        <v>19.9</v>
      </c>
      <c r="J39" s="13" t="n">
        <f aca="false">IF(AND(ISNUMBER(E39),ISNUMBER(F39),G39&lt;&gt;"dead"),AVERAGE(E39:F39),0)</f>
        <v>15.25</v>
      </c>
      <c r="K39" s="14" t="n">
        <f aca="false">IF(AND(ISNUMBER(C39),ISNUMBER(D39)),C39-D39,"")</f>
        <v>0</v>
      </c>
      <c r="L39" s="14" t="n">
        <f aca="false">IF(AND(ISNUMBER(E39),ISNUMBER(F39)),E39-F39,"")</f>
        <v>-0.300000000000001</v>
      </c>
      <c r="M39" s="14" t="n">
        <f aca="false">IF(AND(ISNUMBER(E39),ISNUMBER(F39)),AVERAGE(E39:F39),"")</f>
        <v>15.25</v>
      </c>
      <c r="N39" s="14" t="n">
        <f aca="false">IF(H39&gt;0,H39,"")</f>
        <v>19.9</v>
      </c>
      <c r="O39" s="15" t="n">
        <f aca="false">IF(AND(I39&gt;0,J39&gt;0),LOG10(I39),"")</f>
        <v>1.29885307640971</v>
      </c>
      <c r="P39" s="15" t="n">
        <f aca="false">IF(AND(I39&gt;0,J39&gt;0),LOG10(J39),"")</f>
        <v>1.1832698436828</v>
      </c>
    </row>
    <row r="40" customFormat="false" ht="15" hidden="false" customHeight="false" outlineLevel="0" collapsed="false">
      <c r="A40" s="11" t="s">
        <v>71</v>
      </c>
      <c r="B40" s="11" t="s">
        <v>22</v>
      </c>
      <c r="C40" s="11" t="n">
        <v>23</v>
      </c>
      <c r="D40" s="11" t="n">
        <v>23</v>
      </c>
      <c r="E40" s="11" t="n">
        <v>18.8</v>
      </c>
      <c r="F40" s="11" t="n">
        <v>18.7</v>
      </c>
      <c r="G40" s="11" t="s">
        <v>42</v>
      </c>
      <c r="H40" s="13" t="n">
        <f aca="false">IF(AND(ISNUMBER(C40),ISNUMBER(D40)),AVERAGE(C40:D40),0)</f>
        <v>23</v>
      </c>
      <c r="I40" s="13" t="n">
        <f aca="false">IF(AND(H40&gt;0,G40&lt;&gt;"dead"),H40,0)</f>
        <v>23</v>
      </c>
      <c r="J40" s="13" t="n">
        <f aca="false">IF(AND(ISNUMBER(E40),ISNUMBER(F40),G40&lt;&gt;"dead"),AVERAGE(E40:F40),0)</f>
        <v>18.75</v>
      </c>
      <c r="K40" s="14" t="n">
        <f aca="false">IF(AND(ISNUMBER(C40),ISNUMBER(D40)),C40-D40,"")</f>
        <v>0</v>
      </c>
      <c r="L40" s="14" t="n">
        <f aca="false">IF(AND(ISNUMBER(E40),ISNUMBER(F40)),E40-F40,"")</f>
        <v>0.100000000000001</v>
      </c>
      <c r="M40" s="14" t="n">
        <f aca="false">IF(AND(ISNUMBER(E40),ISNUMBER(F40)),AVERAGE(E40:F40),"")</f>
        <v>18.75</v>
      </c>
      <c r="N40" s="14" t="n">
        <f aca="false">IF(H40&gt;0,H40,"")</f>
        <v>23</v>
      </c>
      <c r="O40" s="15" t="n">
        <f aca="false">IF(AND(I40&gt;0,J40&gt;0),LOG10(I40),"")</f>
        <v>1.36172783601759</v>
      </c>
      <c r="P40" s="15" t="n">
        <f aca="false">IF(AND(I40&gt;0,J40&gt;0),LOG10(J40),"")</f>
        <v>1.27300127206374</v>
      </c>
    </row>
    <row r="41" customFormat="false" ht="15" hidden="false" customHeight="false" outlineLevel="0" collapsed="false">
      <c r="A41" s="11" t="s">
        <v>72</v>
      </c>
      <c r="B41" s="11" t="s">
        <v>22</v>
      </c>
      <c r="C41" s="11" t="n">
        <v>20</v>
      </c>
      <c r="D41" s="11" t="n">
        <v>19.5</v>
      </c>
      <c r="E41" s="11" t="n">
        <v>15.3</v>
      </c>
      <c r="F41" s="11" t="n">
        <v>16.4</v>
      </c>
      <c r="G41" s="11" t="s">
        <v>42</v>
      </c>
      <c r="H41" s="13" t="n">
        <f aca="false">IF(AND(ISNUMBER(C41),ISNUMBER(D41)),AVERAGE(C41:D41),0)</f>
        <v>19.75</v>
      </c>
      <c r="I41" s="13" t="n">
        <f aca="false">IF(AND(H41&gt;0,G41&lt;&gt;"dead"),H41,0)</f>
        <v>19.75</v>
      </c>
      <c r="J41" s="13" t="n">
        <f aca="false">IF(AND(ISNUMBER(E41),ISNUMBER(F41),G41&lt;&gt;"dead"),AVERAGE(E41:F41),0)</f>
        <v>15.85</v>
      </c>
      <c r="K41" s="14" t="n">
        <f aca="false">IF(AND(ISNUMBER(C41),ISNUMBER(D41)),C41-D41,"")</f>
        <v>0.5</v>
      </c>
      <c r="L41" s="14" t="n">
        <f aca="false">IF(AND(ISNUMBER(E41),ISNUMBER(F41)),E41-F41,"")</f>
        <v>-1.1</v>
      </c>
      <c r="M41" s="14" t="n">
        <f aca="false">IF(AND(ISNUMBER(E41),ISNUMBER(F41)),AVERAGE(E41:F41),"")</f>
        <v>15.85</v>
      </c>
      <c r="N41" s="14" t="n">
        <f aca="false">IF(H41&gt;0,H41,"")</f>
        <v>19.75</v>
      </c>
      <c r="O41" s="15" t="n">
        <f aca="false">IF(AND(I41&gt;0,J41&gt;0),LOG10(I41),"")</f>
        <v>1.29556709996248</v>
      </c>
      <c r="P41" s="15" t="n">
        <f aca="false">IF(AND(I41&gt;0,J41&gt;0),LOG10(J41),"")</f>
        <v>1.20002926655377</v>
      </c>
    </row>
    <row r="42" customFormat="false" ht="15" hidden="false" customHeight="false" outlineLevel="0" collapsed="false">
      <c r="A42" s="11" t="s">
        <v>73</v>
      </c>
      <c r="B42" s="11" t="s">
        <v>23</v>
      </c>
      <c r="C42" s="11" t="n">
        <v>22.4</v>
      </c>
      <c r="D42" s="11" t="n">
        <v>23</v>
      </c>
      <c r="E42" s="11" t="n">
        <v>16.1</v>
      </c>
      <c r="F42" s="11" t="n">
        <v>16.2</v>
      </c>
      <c r="G42" s="11" t="s">
        <v>42</v>
      </c>
      <c r="H42" s="13" t="n">
        <f aca="false">IF(AND(ISNUMBER(C42),ISNUMBER(D42)),AVERAGE(C42:D42),0)</f>
        <v>22.7</v>
      </c>
      <c r="I42" s="13" t="n">
        <f aca="false">IF(AND(H42&gt;0,G42&lt;&gt;"dead"),H42,0)</f>
        <v>22.7</v>
      </c>
      <c r="J42" s="13" t="n">
        <f aca="false">IF(AND(ISNUMBER(E42),ISNUMBER(F42),G42&lt;&gt;"dead"),AVERAGE(E42:F42),0)</f>
        <v>16.15</v>
      </c>
      <c r="K42" s="14" t="n">
        <f aca="false">IF(AND(ISNUMBER(C42),ISNUMBER(D42)),C42-D42,"")</f>
        <v>-0.600000000000001</v>
      </c>
      <c r="L42" s="14" t="n">
        <f aca="false">IF(AND(ISNUMBER(E42),ISNUMBER(F42)),E42-F42,"")</f>
        <v>-0.0999999999999979</v>
      </c>
      <c r="M42" s="14" t="n">
        <f aca="false">IF(AND(ISNUMBER(E42),ISNUMBER(F42)),AVERAGE(E42:F42),"")</f>
        <v>16.15</v>
      </c>
      <c r="N42" s="14" t="n">
        <f aca="false">IF(H42&gt;0,H42,"")</f>
        <v>22.7</v>
      </c>
      <c r="O42" s="15" t="n">
        <f aca="false">IF(AND(I42&gt;0,J42&gt;0),LOG10(I42),"")</f>
        <v>1.35602585719312</v>
      </c>
      <c r="P42" s="15" t="n">
        <f aca="false">IF(AND(I42&gt;0,J42&gt;0),LOG10(J42),"")</f>
        <v>1.20817252666712</v>
      </c>
    </row>
    <row r="43" customFormat="false" ht="15" hidden="false" customHeight="false" outlineLevel="0" collapsed="false">
      <c r="A43" s="11" t="s">
        <v>74</v>
      </c>
      <c r="B43" s="11" t="s">
        <v>23</v>
      </c>
      <c r="C43" s="11" t="n">
        <v>24.8</v>
      </c>
      <c r="D43" s="11" t="n">
        <v>24.6</v>
      </c>
      <c r="E43" s="11" t="n">
        <v>18.9</v>
      </c>
      <c r="F43" s="11" t="n">
        <v>19.2</v>
      </c>
      <c r="G43" s="11" t="s">
        <v>42</v>
      </c>
      <c r="H43" s="13" t="n">
        <f aca="false">IF(AND(ISNUMBER(C43),ISNUMBER(D43)),AVERAGE(C43:D43),0)</f>
        <v>24.7</v>
      </c>
      <c r="I43" s="13" t="n">
        <f aca="false">IF(AND(H43&gt;0,G43&lt;&gt;"dead"),H43,0)</f>
        <v>24.7</v>
      </c>
      <c r="J43" s="13" t="n">
        <f aca="false">IF(AND(ISNUMBER(E43),ISNUMBER(F43),G43&lt;&gt;"dead"),AVERAGE(E43:F43),0)</f>
        <v>19.05</v>
      </c>
      <c r="K43" s="14" t="n">
        <f aca="false">IF(AND(ISNUMBER(C43),ISNUMBER(D43)),C43-D43,"")</f>
        <v>0.199999999999999</v>
      </c>
      <c r="L43" s="14" t="n">
        <f aca="false">IF(AND(ISNUMBER(E43),ISNUMBER(F43)),E43-F43,"")</f>
        <v>-0.300000000000001</v>
      </c>
      <c r="M43" s="14" t="n">
        <f aca="false">IF(AND(ISNUMBER(E43),ISNUMBER(F43)),AVERAGE(E43:F43),"")</f>
        <v>19.05</v>
      </c>
      <c r="N43" s="14" t="n">
        <f aca="false">IF(H43&gt;0,H43,"")</f>
        <v>24.7</v>
      </c>
      <c r="O43" s="15" t="n">
        <f aca="false">IF(AND(I43&gt;0,J43&gt;0),LOG10(I43),"")</f>
        <v>1.39269695325967</v>
      </c>
      <c r="P43" s="15" t="n">
        <f aca="false">IF(AND(I43&gt;0,J43&gt;0),LOG10(J43),"")</f>
        <v>1.27989498001164</v>
      </c>
    </row>
    <row r="44" customFormat="false" ht="15" hidden="false" customHeight="false" outlineLevel="0" collapsed="false">
      <c r="A44" s="11" t="s">
        <v>75</v>
      </c>
      <c r="B44" s="11" t="s">
        <v>23</v>
      </c>
      <c r="C44" s="11" t="n">
        <v>27.4</v>
      </c>
      <c r="D44" s="11" t="n">
        <v>27.4</v>
      </c>
      <c r="E44" s="11" t="n">
        <v>21</v>
      </c>
      <c r="F44" s="11" t="n">
        <v>21.5</v>
      </c>
      <c r="G44" s="11" t="s">
        <v>42</v>
      </c>
      <c r="H44" s="13" t="n">
        <f aca="false">IF(AND(ISNUMBER(C44),ISNUMBER(D44)),AVERAGE(C44:D44),0)</f>
        <v>27.4</v>
      </c>
      <c r="I44" s="13" t="n">
        <f aca="false">IF(AND(H44&gt;0,G44&lt;&gt;"dead"),H44,0)</f>
        <v>27.4</v>
      </c>
      <c r="J44" s="13" t="n">
        <f aca="false">IF(AND(ISNUMBER(E44),ISNUMBER(F44),G44&lt;&gt;"dead"),AVERAGE(E44:F44),0)</f>
        <v>21.25</v>
      </c>
      <c r="K44" s="14" t="n">
        <f aca="false">IF(AND(ISNUMBER(C44),ISNUMBER(D44)),C44-D44,"")</f>
        <v>0</v>
      </c>
      <c r="L44" s="14" t="n">
        <f aca="false">IF(AND(ISNUMBER(E44),ISNUMBER(F44)),E44-F44,"")</f>
        <v>-0.5</v>
      </c>
      <c r="M44" s="14" t="n">
        <f aca="false">IF(AND(ISNUMBER(E44),ISNUMBER(F44)),AVERAGE(E44:F44),"")</f>
        <v>21.25</v>
      </c>
      <c r="N44" s="14" t="n">
        <f aca="false">IF(H44&gt;0,H44,"")</f>
        <v>27.4</v>
      </c>
      <c r="O44" s="15" t="n">
        <f aca="false">IF(AND(I44&gt;0,J44&gt;0),LOG10(I44),"")</f>
        <v>1.43775056282039</v>
      </c>
      <c r="P44" s="15" t="n">
        <f aca="false">IF(AND(I44&gt;0,J44&gt;0),LOG10(J44),"")</f>
        <v>1.32735893438633</v>
      </c>
    </row>
    <row r="45" customFormat="false" ht="15" hidden="false" customHeight="false" outlineLevel="0" collapsed="false">
      <c r="A45" s="11" t="s">
        <v>76</v>
      </c>
      <c r="B45" s="11" t="s">
        <v>23</v>
      </c>
      <c r="C45" s="11" t="n">
        <v>24.1</v>
      </c>
      <c r="D45" s="11" t="n">
        <v>24.3</v>
      </c>
      <c r="E45" s="11" t="n">
        <v>19.2</v>
      </c>
      <c r="F45" s="11" t="n">
        <v>18.4</v>
      </c>
      <c r="G45" s="11" t="s">
        <v>42</v>
      </c>
      <c r="H45" s="13" t="n">
        <f aca="false">IF(AND(ISNUMBER(C45),ISNUMBER(D45)),AVERAGE(C45:D45),0)</f>
        <v>24.2</v>
      </c>
      <c r="I45" s="13" t="n">
        <f aca="false">IF(AND(H45&gt;0,G45&lt;&gt;"dead"),H45,0)</f>
        <v>24.2</v>
      </c>
      <c r="J45" s="13" t="n">
        <f aca="false">IF(AND(ISNUMBER(E45),ISNUMBER(F45),G45&lt;&gt;"dead"),AVERAGE(E45:F45),0)</f>
        <v>18.8</v>
      </c>
      <c r="K45" s="14" t="n">
        <f aca="false">IF(AND(ISNUMBER(C45),ISNUMBER(D45)),C45-D45,"")</f>
        <v>-0.199999999999999</v>
      </c>
      <c r="L45" s="14" t="n">
        <f aca="false">IF(AND(ISNUMBER(E45),ISNUMBER(F45)),E45-F45,"")</f>
        <v>0.800000000000001</v>
      </c>
      <c r="M45" s="14" t="n">
        <f aca="false">IF(AND(ISNUMBER(E45),ISNUMBER(F45)),AVERAGE(E45:F45),"")</f>
        <v>18.8</v>
      </c>
      <c r="N45" s="14" t="n">
        <f aca="false">IF(H45&gt;0,H45,"")</f>
        <v>24.2</v>
      </c>
      <c r="O45" s="15" t="n">
        <f aca="false">IF(AND(I45&gt;0,J45&gt;0),LOG10(I45),"")</f>
        <v>1.38381536598043</v>
      </c>
      <c r="P45" s="15" t="n">
        <f aca="false">IF(AND(I45&gt;0,J45&gt;0),LOG10(J45),"")</f>
        <v>1.27415784926368</v>
      </c>
    </row>
    <row r="46" customFormat="false" ht="15" hidden="false" customHeight="false" outlineLevel="0" collapsed="false">
      <c r="A46" s="11" t="s">
        <v>77</v>
      </c>
      <c r="B46" s="11" t="s">
        <v>23</v>
      </c>
      <c r="C46" s="11" t="n">
        <v>26.1</v>
      </c>
      <c r="D46" s="11" t="n">
        <v>26.1</v>
      </c>
      <c r="E46" s="11" t="n">
        <v>19.7</v>
      </c>
      <c r="F46" s="11" t="n">
        <v>19.9</v>
      </c>
      <c r="G46" s="11" t="s">
        <v>42</v>
      </c>
      <c r="H46" s="13" t="n">
        <f aca="false">IF(AND(ISNUMBER(C46),ISNUMBER(D46)),AVERAGE(C46:D46),0)</f>
        <v>26.1</v>
      </c>
      <c r="I46" s="13" t="n">
        <f aca="false">IF(AND(H46&gt;0,G46&lt;&gt;"dead"),H46,0)</f>
        <v>26.1</v>
      </c>
      <c r="J46" s="13" t="n">
        <f aca="false">IF(AND(ISNUMBER(E46),ISNUMBER(F46),G46&lt;&gt;"dead"),AVERAGE(E46:F46),0)</f>
        <v>19.8</v>
      </c>
      <c r="K46" s="14" t="n">
        <f aca="false">IF(AND(ISNUMBER(C46),ISNUMBER(D46)),C46-D46,"")</f>
        <v>0</v>
      </c>
      <c r="L46" s="14" t="n">
        <f aca="false">IF(AND(ISNUMBER(E46),ISNUMBER(F46)),E46-F46,"")</f>
        <v>-0.199999999999999</v>
      </c>
      <c r="M46" s="14" t="n">
        <f aca="false">IF(AND(ISNUMBER(E46),ISNUMBER(F46)),AVERAGE(E46:F46),"")</f>
        <v>19.8</v>
      </c>
      <c r="N46" s="14" t="n">
        <f aca="false">IF(H46&gt;0,H46,"")</f>
        <v>26.1</v>
      </c>
      <c r="O46" s="15" t="n">
        <f aca="false">IF(AND(I46&gt;0,J46&gt;0),LOG10(I46),"")</f>
        <v>1.41664050733828</v>
      </c>
      <c r="P46" s="15" t="n">
        <f aca="false">IF(AND(I46&gt;0,J46&gt;0),LOG10(J46),"")</f>
        <v>1.29666519026153</v>
      </c>
    </row>
    <row r="47" customFormat="false" ht="15" hidden="false" customHeight="false" outlineLevel="0" collapsed="false">
      <c r="A47" s="11" t="s">
        <v>78</v>
      </c>
      <c r="B47" s="11" t="s">
        <v>23</v>
      </c>
      <c r="C47" s="11" t="n">
        <v>25.2</v>
      </c>
      <c r="D47" s="11" t="n">
        <v>25.1</v>
      </c>
      <c r="E47" s="11" t="n">
        <v>19.9</v>
      </c>
      <c r="F47" s="11" t="n">
        <v>20.2</v>
      </c>
      <c r="G47" s="11" t="s">
        <v>42</v>
      </c>
      <c r="H47" s="13" t="n">
        <f aca="false">IF(AND(ISNUMBER(C47),ISNUMBER(D47)),AVERAGE(C47:D47),0)</f>
        <v>25.15</v>
      </c>
      <c r="I47" s="13" t="n">
        <f aca="false">IF(AND(H47&gt;0,G47&lt;&gt;"dead"),H47,0)</f>
        <v>25.15</v>
      </c>
      <c r="J47" s="13" t="n">
        <f aca="false">IF(AND(ISNUMBER(E47),ISNUMBER(F47),G47&lt;&gt;"dead"),AVERAGE(E47:F47),0)</f>
        <v>20.05</v>
      </c>
      <c r="K47" s="14" t="n">
        <f aca="false">IF(AND(ISNUMBER(C47),ISNUMBER(D47)),C47-D47,"")</f>
        <v>0.0999999999999979</v>
      </c>
      <c r="L47" s="14" t="n">
        <f aca="false">IF(AND(ISNUMBER(E47),ISNUMBER(F47)),E47-F47,"")</f>
        <v>-0.300000000000001</v>
      </c>
      <c r="M47" s="14" t="n">
        <f aca="false">IF(AND(ISNUMBER(E47),ISNUMBER(F47)),AVERAGE(E47:F47),"")</f>
        <v>20.05</v>
      </c>
      <c r="N47" s="14" t="n">
        <f aca="false">IF(H47&gt;0,H47,"")</f>
        <v>25.15</v>
      </c>
      <c r="O47" s="15" t="n">
        <f aca="false">IF(AND(I47&gt;0,J47&gt;0),LOG10(I47),"")</f>
        <v>1.40053798939195</v>
      </c>
      <c r="P47" s="15" t="n">
        <f aca="false">IF(AND(I47&gt;0,J47&gt;0),LOG10(J47),"")</f>
        <v>1.3021143769562</v>
      </c>
    </row>
    <row r="48" customFormat="false" ht="15" hidden="false" customHeight="false" outlineLevel="0" collapsed="false">
      <c r="A48" s="11" t="s">
        <v>79</v>
      </c>
      <c r="B48" s="11" t="s">
        <v>23</v>
      </c>
      <c r="C48" s="11" t="n">
        <v>26.3</v>
      </c>
      <c r="D48" s="11" t="n">
        <v>26.2</v>
      </c>
      <c r="E48" s="11" t="n">
        <v>20</v>
      </c>
      <c r="F48" s="11" t="n">
        <v>20.4</v>
      </c>
      <c r="G48" s="11" t="s">
        <v>42</v>
      </c>
      <c r="H48" s="13" t="n">
        <f aca="false">IF(AND(ISNUMBER(C48),ISNUMBER(D48)),AVERAGE(C48:D48),0)</f>
        <v>26.25</v>
      </c>
      <c r="I48" s="13" t="n">
        <f aca="false">IF(AND(H48&gt;0,G48&lt;&gt;"dead"),H48,0)</f>
        <v>26.25</v>
      </c>
      <c r="J48" s="13" t="n">
        <f aca="false">IF(AND(ISNUMBER(E48),ISNUMBER(F48),G48&lt;&gt;"dead"),AVERAGE(E48:F48),0)</f>
        <v>20.2</v>
      </c>
      <c r="K48" s="14" t="n">
        <f aca="false">IF(AND(ISNUMBER(C48),ISNUMBER(D48)),C48-D48,"")</f>
        <v>0.100000000000001</v>
      </c>
      <c r="L48" s="14" t="n">
        <f aca="false">IF(AND(ISNUMBER(E48),ISNUMBER(F48)),E48-F48,"")</f>
        <v>-0.399999999999999</v>
      </c>
      <c r="M48" s="14" t="n">
        <f aca="false">IF(AND(ISNUMBER(E48),ISNUMBER(F48)),AVERAGE(E48:F48),"")</f>
        <v>20.2</v>
      </c>
      <c r="N48" s="14" t="n">
        <f aca="false">IF(H48&gt;0,H48,"")</f>
        <v>26.25</v>
      </c>
      <c r="O48" s="15" t="n">
        <f aca="false">IF(AND(I48&gt;0,J48&gt;0),LOG10(I48),"")</f>
        <v>1.41912930774198</v>
      </c>
      <c r="P48" s="15" t="n">
        <f aca="false">IF(AND(I48&gt;0,J48&gt;0),LOG10(J48),"")</f>
        <v>1.30535136944662</v>
      </c>
    </row>
    <row r="49" customFormat="false" ht="15" hidden="false" customHeight="false" outlineLevel="0" collapsed="false">
      <c r="A49" s="11" t="s">
        <v>80</v>
      </c>
      <c r="B49" s="11" t="s">
        <v>23</v>
      </c>
      <c r="C49" s="11" t="n">
        <v>24.3</v>
      </c>
      <c r="D49" s="11" t="n">
        <v>24.4</v>
      </c>
      <c r="E49" s="11" t="n">
        <v>19</v>
      </c>
      <c r="F49" s="11" t="n">
        <v>19.6</v>
      </c>
      <c r="G49" s="11" t="s">
        <v>42</v>
      </c>
      <c r="H49" s="13" t="n">
        <f aca="false">IF(AND(ISNUMBER(C49),ISNUMBER(D49)),AVERAGE(C49:D49),0)</f>
        <v>24.35</v>
      </c>
      <c r="I49" s="13" t="n">
        <f aca="false">IF(AND(H49&gt;0,G49&lt;&gt;"dead"),H49,0)</f>
        <v>24.35</v>
      </c>
      <c r="J49" s="13" t="n">
        <f aca="false">IF(AND(ISNUMBER(E49),ISNUMBER(F49),G49&lt;&gt;"dead"),AVERAGE(E49:F49),0)</f>
        <v>19.3</v>
      </c>
      <c r="K49" s="14" t="n">
        <f aca="false">IF(AND(ISNUMBER(C49),ISNUMBER(D49)),C49-D49,"")</f>
        <v>-0.0999999999999979</v>
      </c>
      <c r="L49" s="14" t="n">
        <f aca="false">IF(AND(ISNUMBER(E49),ISNUMBER(F49)),E49-F49,"")</f>
        <v>-0.600000000000001</v>
      </c>
      <c r="M49" s="14" t="n">
        <f aca="false">IF(AND(ISNUMBER(E49),ISNUMBER(F49)),AVERAGE(E49:F49),"")</f>
        <v>19.3</v>
      </c>
      <c r="N49" s="14" t="n">
        <f aca="false">IF(H49&gt;0,H49,"")</f>
        <v>24.35</v>
      </c>
      <c r="O49" s="15" t="n">
        <f aca="false">IF(AND(I49&gt;0,J49&gt;0),LOG10(I49),"")</f>
        <v>1.38649896555065</v>
      </c>
      <c r="P49" s="15" t="n">
        <f aca="false">IF(AND(I49&gt;0,J49&gt;0),LOG10(J49),"")</f>
        <v>1.28555730900777</v>
      </c>
    </row>
    <row r="50" customFormat="false" ht="15" hidden="false" customHeight="false" outlineLevel="0" collapsed="false">
      <c r="A50" s="11" t="s">
        <v>81</v>
      </c>
      <c r="B50" s="11" t="s">
        <v>23</v>
      </c>
      <c r="C50" s="11" t="n">
        <v>26.2</v>
      </c>
      <c r="D50" s="11" t="n">
        <v>25.3</v>
      </c>
      <c r="E50" s="11" t="n">
        <v>19.8</v>
      </c>
      <c r="F50" s="11" t="n">
        <v>19.9</v>
      </c>
      <c r="G50" s="11" t="s">
        <v>42</v>
      </c>
      <c r="H50" s="13" t="n">
        <f aca="false">IF(AND(ISNUMBER(C50),ISNUMBER(D50)),AVERAGE(C50:D50),0)</f>
        <v>25.75</v>
      </c>
      <c r="I50" s="13" t="n">
        <f aca="false">IF(AND(H50&gt;0,G50&lt;&gt;"dead"),H50,0)</f>
        <v>25.75</v>
      </c>
      <c r="J50" s="13" t="n">
        <f aca="false">IF(AND(ISNUMBER(E50),ISNUMBER(F50),G50&lt;&gt;"dead"),AVERAGE(E50:F50),0)</f>
        <v>19.85</v>
      </c>
      <c r="K50" s="14" t="n">
        <f aca="false">IF(AND(ISNUMBER(C50),ISNUMBER(D50)),C50-D50,"")</f>
        <v>0.899999999999999</v>
      </c>
      <c r="L50" s="14" t="n">
        <f aca="false">IF(AND(ISNUMBER(E50),ISNUMBER(F50)),E50-F50,"")</f>
        <v>-0.0999999999999979</v>
      </c>
      <c r="M50" s="14" t="n">
        <f aca="false">IF(AND(ISNUMBER(E50),ISNUMBER(F50)),AVERAGE(E50:F50),"")</f>
        <v>19.85</v>
      </c>
      <c r="N50" s="14" t="n">
        <f aca="false">IF(H50&gt;0,H50,"")</f>
        <v>25.75</v>
      </c>
      <c r="O50" s="15" t="n">
        <f aca="false">IF(AND(I50&gt;0,J50&gt;0),LOG10(I50),"")</f>
        <v>1.41077723337721</v>
      </c>
      <c r="P50" s="15" t="n">
        <f aca="false">IF(AND(I50&gt;0,J50&gt;0),LOG10(J50),"")</f>
        <v>1.29776051109913</v>
      </c>
    </row>
    <row r="51" customFormat="false" ht="15" hidden="false" customHeight="false" outlineLevel="0" collapsed="false">
      <c r="A51" s="11" t="s">
        <v>82</v>
      </c>
      <c r="B51" s="11" t="s">
        <v>23</v>
      </c>
      <c r="C51" s="11" t="n">
        <v>26.2</v>
      </c>
      <c r="D51" s="11" t="n">
        <v>26.2</v>
      </c>
      <c r="E51" s="11" t="n">
        <v>20.5</v>
      </c>
      <c r="F51" s="11" t="n">
        <v>19.6</v>
      </c>
      <c r="G51" s="11" t="s">
        <v>42</v>
      </c>
      <c r="H51" s="13" t="n">
        <f aca="false">IF(AND(ISNUMBER(C51),ISNUMBER(D51)),AVERAGE(C51:D51),0)</f>
        <v>26.2</v>
      </c>
      <c r="I51" s="13" t="n">
        <f aca="false">IF(AND(H51&gt;0,G51&lt;&gt;"dead"),H51,0)</f>
        <v>26.2</v>
      </c>
      <c r="J51" s="13" t="n">
        <f aca="false">IF(AND(ISNUMBER(E51),ISNUMBER(F51),G51&lt;&gt;"dead"),AVERAGE(E51:F51),0)</f>
        <v>20.05</v>
      </c>
      <c r="K51" s="14" t="n">
        <f aca="false">IF(AND(ISNUMBER(C51),ISNUMBER(D51)),C51-D51,"")</f>
        <v>0</v>
      </c>
      <c r="L51" s="14" t="n">
        <f aca="false">IF(AND(ISNUMBER(E51),ISNUMBER(F51)),E51-F51,"")</f>
        <v>0.899999999999999</v>
      </c>
      <c r="M51" s="14" t="n">
        <f aca="false">IF(AND(ISNUMBER(E51),ISNUMBER(F51)),AVERAGE(E51:F51),"")</f>
        <v>20.05</v>
      </c>
      <c r="N51" s="14" t="n">
        <f aca="false">IF(H51&gt;0,H51,"")</f>
        <v>26.2</v>
      </c>
      <c r="O51" s="15" t="n">
        <f aca="false">IF(AND(I51&gt;0,J51&gt;0),LOG10(I51),"")</f>
        <v>1.41830129131975</v>
      </c>
      <c r="P51" s="15" t="n">
        <f aca="false">IF(AND(I51&gt;0,J51&gt;0),LOG10(J51),"")</f>
        <v>1.3021143769562</v>
      </c>
    </row>
    <row r="52" customFormat="false" ht="15" hidden="false" customHeight="false" outlineLevel="0" collapsed="false">
      <c r="A52" s="11" t="s">
        <v>83</v>
      </c>
      <c r="B52" s="11" t="s">
        <v>23</v>
      </c>
      <c r="C52" s="11" t="n">
        <v>23.7</v>
      </c>
      <c r="D52" s="11" t="n">
        <v>23.3</v>
      </c>
      <c r="E52" s="11" t="n">
        <v>18.7</v>
      </c>
      <c r="F52" s="11" t="n">
        <v>18.5</v>
      </c>
      <c r="G52" s="11" t="s">
        <v>42</v>
      </c>
      <c r="H52" s="13" t="n">
        <f aca="false">IF(AND(ISNUMBER(C52),ISNUMBER(D52)),AVERAGE(C52:D52),0)</f>
        <v>23.5</v>
      </c>
      <c r="I52" s="13" t="n">
        <f aca="false">IF(AND(H52&gt;0,G52&lt;&gt;"dead"),H52,0)</f>
        <v>23.5</v>
      </c>
      <c r="J52" s="13" t="n">
        <f aca="false">IF(AND(ISNUMBER(E52),ISNUMBER(F52),G52&lt;&gt;"dead"),AVERAGE(E52:F52),0)</f>
        <v>18.6</v>
      </c>
      <c r="K52" s="14" t="n">
        <f aca="false">IF(AND(ISNUMBER(C52),ISNUMBER(D52)),C52-D52,"")</f>
        <v>0.399999999999999</v>
      </c>
      <c r="L52" s="14" t="n">
        <f aca="false">IF(AND(ISNUMBER(E52),ISNUMBER(F52)),E52-F52,"")</f>
        <v>0.199999999999999</v>
      </c>
      <c r="M52" s="14" t="n">
        <f aca="false">IF(AND(ISNUMBER(E52),ISNUMBER(F52)),AVERAGE(E52:F52),"")</f>
        <v>18.6</v>
      </c>
      <c r="N52" s="14" t="n">
        <f aca="false">IF(H52&gt;0,H52,"")</f>
        <v>23.5</v>
      </c>
      <c r="O52" s="15" t="n">
        <f aca="false">IF(AND(I52&gt;0,J52&gt;0),LOG10(I52),"")</f>
        <v>1.37106786227174</v>
      </c>
      <c r="P52" s="15" t="n">
        <f aca="false">IF(AND(I52&gt;0,J52&gt;0),LOG10(J52),"")</f>
        <v>1.26951294421792</v>
      </c>
    </row>
    <row r="53" customFormat="false" ht="15" hidden="false" customHeight="false" outlineLevel="0" collapsed="false">
      <c r="A53" s="11" t="s">
        <v>84</v>
      </c>
      <c r="B53" s="11" t="s">
        <v>23</v>
      </c>
      <c r="C53" s="11" t="n">
        <v>26.8</v>
      </c>
      <c r="D53" s="11" t="n">
        <v>26.2</v>
      </c>
      <c r="E53" s="11" t="n">
        <v>22</v>
      </c>
      <c r="F53" s="11" t="n">
        <v>21.8</v>
      </c>
      <c r="G53" s="11" t="s">
        <v>42</v>
      </c>
      <c r="H53" s="13" t="n">
        <f aca="false">IF(AND(ISNUMBER(C53),ISNUMBER(D53)),AVERAGE(C53:D53),0)</f>
        <v>26.5</v>
      </c>
      <c r="I53" s="13" t="n">
        <f aca="false">IF(AND(H53&gt;0,G53&lt;&gt;"dead"),H53,0)</f>
        <v>26.5</v>
      </c>
      <c r="J53" s="13" t="n">
        <f aca="false">IF(AND(ISNUMBER(E53),ISNUMBER(F53),G53&lt;&gt;"dead"),AVERAGE(E53:F53),0)</f>
        <v>21.9</v>
      </c>
      <c r="K53" s="14" t="n">
        <f aca="false">IF(AND(ISNUMBER(C53),ISNUMBER(D53)),C53-D53,"")</f>
        <v>0.600000000000001</v>
      </c>
      <c r="L53" s="14" t="n">
        <f aca="false">IF(AND(ISNUMBER(E53),ISNUMBER(F53)),E53-F53,"")</f>
        <v>0.199999999999999</v>
      </c>
      <c r="M53" s="14" t="n">
        <f aca="false">IF(AND(ISNUMBER(E53),ISNUMBER(F53)),AVERAGE(E53:F53),"")</f>
        <v>21.9</v>
      </c>
      <c r="N53" s="14" t="n">
        <f aca="false">IF(H53&gt;0,H53,"")</f>
        <v>26.5</v>
      </c>
      <c r="O53" s="15" t="n">
        <f aca="false">IF(AND(I53&gt;0,J53&gt;0),LOG10(I53),"")</f>
        <v>1.42324587393681</v>
      </c>
      <c r="P53" s="15" t="n">
        <f aca="false">IF(AND(I53&gt;0,J53&gt;0),LOG10(J53),"")</f>
        <v>1.34044411484012</v>
      </c>
    </row>
    <row r="54" customFormat="false" ht="15" hidden="false" customHeight="false" outlineLevel="0" collapsed="false">
      <c r="A54" s="11" t="s">
        <v>85</v>
      </c>
      <c r="B54" s="11" t="s">
        <v>23</v>
      </c>
      <c r="C54" s="11" t="n">
        <v>26.6</v>
      </c>
      <c r="D54" s="11" t="n">
        <v>27.1</v>
      </c>
      <c r="E54" s="11" t="n">
        <v>22.6</v>
      </c>
      <c r="F54" s="11" t="n">
        <v>22.3</v>
      </c>
      <c r="G54" s="11" t="s">
        <v>42</v>
      </c>
      <c r="H54" s="13" t="n">
        <f aca="false">IF(AND(ISNUMBER(C54),ISNUMBER(D54)),AVERAGE(C54:D54),0)</f>
        <v>26.85</v>
      </c>
      <c r="I54" s="13" t="n">
        <f aca="false">IF(AND(H54&gt;0,G54&lt;&gt;"dead"),H54,0)</f>
        <v>26.85</v>
      </c>
      <c r="J54" s="13" t="n">
        <f aca="false">IF(AND(ISNUMBER(E54),ISNUMBER(F54),G54&lt;&gt;"dead"),AVERAGE(E54:F54),0)</f>
        <v>22.45</v>
      </c>
      <c r="K54" s="14" t="n">
        <f aca="false">IF(AND(ISNUMBER(C54),ISNUMBER(D54)),C54-D54,"")</f>
        <v>-0.5</v>
      </c>
      <c r="L54" s="14" t="n">
        <f aca="false">IF(AND(ISNUMBER(E54),ISNUMBER(F54)),E54-F54,"")</f>
        <v>0.300000000000001</v>
      </c>
      <c r="M54" s="14" t="n">
        <f aca="false">IF(AND(ISNUMBER(E54),ISNUMBER(F54)),AVERAGE(E54:F54),"")</f>
        <v>22.45</v>
      </c>
      <c r="N54" s="14" t="n">
        <f aca="false">IF(H54&gt;0,H54,"")</f>
        <v>26.85</v>
      </c>
      <c r="O54" s="15" t="n">
        <f aca="false">IF(AND(I54&gt;0,J54&gt;0),LOG10(I54),"")</f>
        <v>1.42894429003557</v>
      </c>
      <c r="P54" s="15" t="n">
        <f aca="false">IF(AND(I54&gt;0,J54&gt;0),LOG10(J54),"")</f>
        <v>1.35121634533934</v>
      </c>
    </row>
    <row r="55" customFormat="false" ht="15" hidden="false" customHeight="false" outlineLevel="0" collapsed="false">
      <c r="A55" s="11" t="s">
        <v>86</v>
      </c>
      <c r="B55" s="11" t="s">
        <v>23</v>
      </c>
      <c r="C55" s="11" t="n">
        <v>22.7</v>
      </c>
      <c r="D55" s="11" t="n">
        <v>23.5</v>
      </c>
      <c r="E55" s="11" t="n">
        <v>18.2</v>
      </c>
      <c r="F55" s="11" t="n">
        <v>18.6</v>
      </c>
      <c r="G55" s="11" t="s">
        <v>42</v>
      </c>
      <c r="H55" s="13" t="n">
        <f aca="false">IF(AND(ISNUMBER(C55),ISNUMBER(D55)),AVERAGE(C55:D55),0)</f>
        <v>23.1</v>
      </c>
      <c r="I55" s="13" t="n">
        <f aca="false">IF(AND(H55&gt;0,G55&lt;&gt;"dead"),H55,0)</f>
        <v>23.1</v>
      </c>
      <c r="J55" s="13" t="n">
        <f aca="false">IF(AND(ISNUMBER(E55),ISNUMBER(F55),G55&lt;&gt;"dead"),AVERAGE(E55:F55),0)</f>
        <v>18.4</v>
      </c>
      <c r="K55" s="14" t="n">
        <f aca="false">IF(AND(ISNUMBER(C55),ISNUMBER(D55)),C55-D55,"")</f>
        <v>-0.800000000000001</v>
      </c>
      <c r="L55" s="14" t="n">
        <f aca="false">IF(AND(ISNUMBER(E55),ISNUMBER(F55)),E55-F55,"")</f>
        <v>-0.400000000000002</v>
      </c>
      <c r="M55" s="14" t="n">
        <f aca="false">IF(AND(ISNUMBER(E55),ISNUMBER(F55)),AVERAGE(E55:F55),"")</f>
        <v>18.4</v>
      </c>
      <c r="N55" s="14" t="n">
        <f aca="false">IF(H55&gt;0,H55,"")</f>
        <v>23.1</v>
      </c>
      <c r="O55" s="15" t="n">
        <f aca="false">IF(AND(I55&gt;0,J55&gt;0),LOG10(I55),"")</f>
        <v>1.36361197989214</v>
      </c>
      <c r="P55" s="15" t="n">
        <f aca="false">IF(AND(I55&gt;0,J55&gt;0),LOG10(J55),"")</f>
        <v>1.26481782300954</v>
      </c>
    </row>
    <row r="56" customFormat="false" ht="15" hidden="false" customHeight="false" outlineLevel="0" collapsed="false">
      <c r="A56" s="11" t="s">
        <v>87</v>
      </c>
      <c r="B56" s="11" t="s">
        <v>23</v>
      </c>
      <c r="C56" s="11" t="n">
        <v>26.2</v>
      </c>
      <c r="D56" s="11" t="n">
        <v>26.2</v>
      </c>
      <c r="E56" s="11" t="n">
        <v>19.4</v>
      </c>
      <c r="F56" s="11" t="n">
        <v>18.6</v>
      </c>
      <c r="G56" s="11" t="s">
        <v>42</v>
      </c>
      <c r="H56" s="13" t="n">
        <f aca="false">IF(AND(ISNUMBER(C56),ISNUMBER(D56)),AVERAGE(C56:D56),0)</f>
        <v>26.2</v>
      </c>
      <c r="I56" s="13" t="n">
        <f aca="false">IF(AND(H56&gt;0,G56&lt;&gt;"dead"),H56,0)</f>
        <v>26.2</v>
      </c>
      <c r="J56" s="13" t="n">
        <f aca="false">IF(AND(ISNUMBER(E56),ISNUMBER(F56),G56&lt;&gt;"dead"),AVERAGE(E56:F56),0)</f>
        <v>19</v>
      </c>
      <c r="K56" s="14" t="n">
        <f aca="false">IF(AND(ISNUMBER(C56),ISNUMBER(D56)),C56-D56,"")</f>
        <v>0</v>
      </c>
      <c r="L56" s="14" t="n">
        <f aca="false">IF(AND(ISNUMBER(E56),ISNUMBER(F56)),E56-F56,"")</f>
        <v>0.799999999999997</v>
      </c>
      <c r="M56" s="14" t="n">
        <f aca="false">IF(AND(ISNUMBER(E56),ISNUMBER(F56)),AVERAGE(E56:F56),"")</f>
        <v>19</v>
      </c>
      <c r="N56" s="14" t="n">
        <f aca="false">IF(H56&gt;0,H56,"")</f>
        <v>26.2</v>
      </c>
      <c r="O56" s="15" t="n">
        <f aca="false">IF(AND(I56&gt;0,J56&gt;0),LOG10(I56),"")</f>
        <v>1.41830129131975</v>
      </c>
      <c r="P56" s="15" t="n">
        <f aca="false">IF(AND(I56&gt;0,J56&gt;0),LOG10(J56),"")</f>
        <v>1.27875360095283</v>
      </c>
    </row>
    <row r="57" customFormat="false" ht="15" hidden="false" customHeight="false" outlineLevel="0" collapsed="false">
      <c r="A57" s="11" t="s">
        <v>88</v>
      </c>
      <c r="B57" s="11" t="s">
        <v>23</v>
      </c>
      <c r="C57" s="11" t="n">
        <v>23</v>
      </c>
      <c r="D57" s="11" t="n">
        <v>22.9</v>
      </c>
      <c r="E57" s="11" t="n">
        <v>18</v>
      </c>
      <c r="F57" s="11" t="n">
        <v>19.1</v>
      </c>
      <c r="G57" s="11" t="s">
        <v>42</v>
      </c>
      <c r="H57" s="13" t="n">
        <f aca="false">IF(AND(ISNUMBER(C57),ISNUMBER(D57)),AVERAGE(C57:D57),0)</f>
        <v>22.95</v>
      </c>
      <c r="I57" s="13" t="n">
        <f aca="false">IF(AND(H57&gt;0,G57&lt;&gt;"dead"),H57,0)</f>
        <v>22.95</v>
      </c>
      <c r="J57" s="13" t="n">
        <f aca="false">IF(AND(ISNUMBER(E57),ISNUMBER(F57),G57&lt;&gt;"dead"),AVERAGE(E57:F57),0)</f>
        <v>18.55</v>
      </c>
      <c r="K57" s="14" t="n">
        <f aca="false">IF(AND(ISNUMBER(C57),ISNUMBER(D57)),C57-D57,"")</f>
        <v>0.100000000000001</v>
      </c>
      <c r="L57" s="14" t="n">
        <f aca="false">IF(AND(ISNUMBER(E57),ISNUMBER(F57)),E57-F57,"")</f>
        <v>-1.1</v>
      </c>
      <c r="M57" s="14" t="n">
        <f aca="false">IF(AND(ISNUMBER(E57),ISNUMBER(F57)),AVERAGE(E57:F57),"")</f>
        <v>18.55</v>
      </c>
      <c r="N57" s="14" t="n">
        <f aca="false">IF(H57&gt;0,H57,"")</f>
        <v>22.95</v>
      </c>
      <c r="O57" s="15" t="n">
        <f aca="false">IF(AND(I57&gt;0,J57&gt;0),LOG10(I57),"")</f>
        <v>1.36078268987328</v>
      </c>
      <c r="P57" s="15" t="n">
        <f aca="false">IF(AND(I57&gt;0,J57&gt;0),LOG10(J57),"")</f>
        <v>1.26834391395106</v>
      </c>
    </row>
    <row r="58" customFormat="false" ht="15" hidden="false" customHeight="false" outlineLevel="0" collapsed="false">
      <c r="A58" s="11" t="s">
        <v>89</v>
      </c>
      <c r="B58" s="11" t="s">
        <v>23</v>
      </c>
      <c r="C58" s="11" t="n">
        <v>23.8</v>
      </c>
      <c r="D58" s="11" t="n">
        <v>23.9</v>
      </c>
      <c r="E58" s="11" t="n">
        <v>18.4</v>
      </c>
      <c r="F58" s="11" t="n">
        <v>18.3</v>
      </c>
      <c r="G58" s="11" t="s">
        <v>42</v>
      </c>
      <c r="H58" s="13" t="n">
        <f aca="false">IF(AND(ISNUMBER(C58),ISNUMBER(D58)),AVERAGE(C58:D58),0)</f>
        <v>23.85</v>
      </c>
      <c r="I58" s="13" t="n">
        <f aca="false">IF(AND(H58&gt;0,G58&lt;&gt;"dead"),H58,0)</f>
        <v>23.85</v>
      </c>
      <c r="J58" s="13" t="n">
        <f aca="false">IF(AND(ISNUMBER(E58),ISNUMBER(F58),G58&lt;&gt;"dead"),AVERAGE(E58:F58),0)</f>
        <v>18.35</v>
      </c>
      <c r="K58" s="14" t="n">
        <f aca="false">IF(AND(ISNUMBER(C58),ISNUMBER(D58)),C58-D58,"")</f>
        <v>-0.0999999999999979</v>
      </c>
      <c r="L58" s="14" t="n">
        <f aca="false">IF(AND(ISNUMBER(E58),ISNUMBER(F58)),E58-F58,"")</f>
        <v>0.0999999999999979</v>
      </c>
      <c r="M58" s="14" t="n">
        <f aca="false">IF(AND(ISNUMBER(E58),ISNUMBER(F58)),AVERAGE(E58:F58),"")</f>
        <v>18.35</v>
      </c>
      <c r="N58" s="14" t="n">
        <f aca="false">IF(H58&gt;0,H58,"")</f>
        <v>23.85</v>
      </c>
      <c r="O58" s="15" t="n">
        <f aca="false">IF(AND(I58&gt;0,J58&gt;0),LOG10(I58),"")</f>
        <v>1.37748838337613</v>
      </c>
      <c r="P58" s="15" t="n">
        <f aca="false">IF(AND(I58&gt;0,J58&gt;0),LOG10(J58),"")</f>
        <v>1.26363606858811</v>
      </c>
    </row>
    <row r="59" customFormat="false" ht="15" hidden="false" customHeight="false" outlineLevel="0" collapsed="false">
      <c r="A59" s="11" t="s">
        <v>90</v>
      </c>
      <c r="B59" s="11" t="s">
        <v>23</v>
      </c>
      <c r="C59" s="11" t="n">
        <v>27</v>
      </c>
      <c r="D59" s="11" t="n">
        <v>26.8</v>
      </c>
      <c r="E59" s="11" t="n">
        <v>20.7</v>
      </c>
      <c r="F59" s="11" t="n">
        <v>21.8</v>
      </c>
      <c r="G59" s="11" t="s">
        <v>42</v>
      </c>
      <c r="H59" s="13" t="n">
        <f aca="false">IF(AND(ISNUMBER(C59),ISNUMBER(D59)),AVERAGE(C59:D59),0)</f>
        <v>26.9</v>
      </c>
      <c r="I59" s="13" t="n">
        <f aca="false">IF(AND(H59&gt;0,G59&lt;&gt;"dead"),H59,0)</f>
        <v>26.9</v>
      </c>
      <c r="J59" s="13" t="n">
        <f aca="false">IF(AND(ISNUMBER(E59),ISNUMBER(F59),G59&lt;&gt;"dead"),AVERAGE(E59:F59),0)</f>
        <v>21.25</v>
      </c>
      <c r="K59" s="14" t="n">
        <f aca="false">IF(AND(ISNUMBER(C59),ISNUMBER(D59)),C59-D59,"")</f>
        <v>0.199999999999999</v>
      </c>
      <c r="L59" s="14" t="n">
        <f aca="false">IF(AND(ISNUMBER(E59),ISNUMBER(F59)),E59-F59,"")</f>
        <v>-1.1</v>
      </c>
      <c r="M59" s="14" t="n">
        <f aca="false">IF(AND(ISNUMBER(E59),ISNUMBER(F59)),AVERAGE(E59:F59),"")</f>
        <v>21.25</v>
      </c>
      <c r="N59" s="14" t="n">
        <f aca="false">IF(H59&gt;0,H59,"")</f>
        <v>26.9</v>
      </c>
      <c r="O59" s="15" t="n">
        <f aca="false">IF(AND(I59&gt;0,J59&gt;0),LOG10(I59),"")</f>
        <v>1.42975228000241</v>
      </c>
      <c r="P59" s="15" t="n">
        <f aca="false">IF(AND(I59&gt;0,J59&gt;0),LOG10(J59),"")</f>
        <v>1.32735893438633</v>
      </c>
    </row>
    <row r="60" customFormat="false" ht="15" hidden="false" customHeight="false" outlineLevel="0" collapsed="false">
      <c r="A60" s="11" t="s">
        <v>91</v>
      </c>
      <c r="B60" s="11" t="s">
        <v>23</v>
      </c>
      <c r="C60" s="11" t="n">
        <v>24.2</v>
      </c>
      <c r="D60" s="11" t="n">
        <v>24.2</v>
      </c>
      <c r="E60" s="11" t="n">
        <v>19.7</v>
      </c>
      <c r="F60" s="11" t="n">
        <v>19.4</v>
      </c>
      <c r="G60" s="11" t="s">
        <v>42</v>
      </c>
      <c r="H60" s="13" t="n">
        <f aca="false">IF(AND(ISNUMBER(C60),ISNUMBER(D60)),AVERAGE(C60:D60),0)</f>
        <v>24.2</v>
      </c>
      <c r="I60" s="13" t="n">
        <f aca="false">IF(AND(H60&gt;0,G60&lt;&gt;"dead"),H60,0)</f>
        <v>24.2</v>
      </c>
      <c r="J60" s="13" t="n">
        <f aca="false">IF(AND(ISNUMBER(E60),ISNUMBER(F60),G60&lt;&gt;"dead"),AVERAGE(E60:F60),0)</f>
        <v>19.55</v>
      </c>
      <c r="K60" s="14" t="n">
        <f aca="false">IF(AND(ISNUMBER(C60),ISNUMBER(D60)),C60-D60,"")</f>
        <v>0</v>
      </c>
      <c r="L60" s="14" t="n">
        <f aca="false">IF(AND(ISNUMBER(E60),ISNUMBER(F60)),E60-F60,"")</f>
        <v>0.300000000000001</v>
      </c>
      <c r="M60" s="14" t="n">
        <f aca="false">IF(AND(ISNUMBER(E60),ISNUMBER(F60)),AVERAGE(E60:F60),"")</f>
        <v>19.55</v>
      </c>
      <c r="N60" s="14" t="n">
        <f aca="false">IF(H60&gt;0,H60,"")</f>
        <v>24.2</v>
      </c>
      <c r="O60" s="15" t="n">
        <f aca="false">IF(AND(I60&gt;0,J60&gt;0),LOG10(I60),"")</f>
        <v>1.38381536598043</v>
      </c>
      <c r="P60" s="15" t="n">
        <f aca="false">IF(AND(I60&gt;0,J60&gt;0),LOG10(J60),"")</f>
        <v>1.29114676173189</v>
      </c>
    </row>
    <row r="61" customFormat="false" ht="15" hidden="false" customHeight="false" outlineLevel="0" collapsed="false">
      <c r="A61" s="11" t="s">
        <v>92</v>
      </c>
      <c r="B61" s="11" t="s">
        <v>23</v>
      </c>
      <c r="C61" s="11" t="n">
        <v>25.3</v>
      </c>
      <c r="D61" s="11" t="n">
        <v>25.2</v>
      </c>
      <c r="E61" s="11" t="n">
        <v>20.2</v>
      </c>
      <c r="F61" s="11" t="n">
        <v>20</v>
      </c>
      <c r="G61" s="11" t="s">
        <v>42</v>
      </c>
      <c r="H61" s="13" t="n">
        <f aca="false">IF(AND(ISNUMBER(C61),ISNUMBER(D61)),AVERAGE(C61:D61),0)</f>
        <v>25.25</v>
      </c>
      <c r="I61" s="13" t="n">
        <f aca="false">IF(AND(H61&gt;0,G61&lt;&gt;"dead"),H61,0)</f>
        <v>25.25</v>
      </c>
      <c r="J61" s="13" t="n">
        <f aca="false">IF(AND(ISNUMBER(E61),ISNUMBER(F61),G61&lt;&gt;"dead"),AVERAGE(E61:F61),0)</f>
        <v>20.1</v>
      </c>
      <c r="K61" s="14" t="n">
        <f aca="false">IF(AND(ISNUMBER(C61),ISNUMBER(D61)),C61-D61,"")</f>
        <v>0.100000000000001</v>
      </c>
      <c r="L61" s="14" t="n">
        <f aca="false">IF(AND(ISNUMBER(E61),ISNUMBER(F61)),E61-F61,"")</f>
        <v>0.199999999999999</v>
      </c>
      <c r="M61" s="14" t="n">
        <f aca="false">IF(AND(ISNUMBER(E61),ISNUMBER(F61)),AVERAGE(E61:F61),"")</f>
        <v>20.1</v>
      </c>
      <c r="N61" s="14" t="n">
        <f aca="false">IF(H61&gt;0,H61,"")</f>
        <v>25.25</v>
      </c>
      <c r="O61" s="15" t="n">
        <f aca="false">IF(AND(I61&gt;0,J61&gt;0),LOG10(I61),"")</f>
        <v>1.40226138245468</v>
      </c>
      <c r="P61" s="15" t="n">
        <f aca="false">IF(AND(I61&gt;0,J61&gt;0),LOG10(J61),"")</f>
        <v>1.30319605742049</v>
      </c>
    </row>
    <row r="62" customFormat="false" ht="15" hidden="false" customHeight="false" outlineLevel="0" collapsed="false">
      <c r="A62" s="11" t="s">
        <v>93</v>
      </c>
      <c r="B62" s="11" t="s">
        <v>23</v>
      </c>
      <c r="C62" s="11" t="n">
        <v>25.1</v>
      </c>
      <c r="D62" s="11" t="n">
        <v>25.7</v>
      </c>
      <c r="E62" s="11" t="n">
        <v>18.3</v>
      </c>
      <c r="F62" s="11" t="n">
        <v>18.5</v>
      </c>
      <c r="G62" s="11" t="s">
        <v>42</v>
      </c>
      <c r="H62" s="13" t="n">
        <f aca="false">IF(AND(ISNUMBER(C62),ISNUMBER(D62)),AVERAGE(C62:D62),0)</f>
        <v>25.4</v>
      </c>
      <c r="I62" s="13" t="n">
        <f aca="false">IF(AND(H62&gt;0,G62&lt;&gt;"dead"),H62,0)</f>
        <v>25.4</v>
      </c>
      <c r="J62" s="13" t="n">
        <f aca="false">IF(AND(ISNUMBER(E62),ISNUMBER(F62),G62&lt;&gt;"dead"),AVERAGE(E62:F62),0)</f>
        <v>18.4</v>
      </c>
      <c r="K62" s="14" t="n">
        <f aca="false">IF(AND(ISNUMBER(C62),ISNUMBER(D62)),C62-D62,"")</f>
        <v>-0.599999999999998</v>
      </c>
      <c r="L62" s="14" t="n">
        <f aca="false">IF(AND(ISNUMBER(E62),ISNUMBER(F62)),E62-F62,"")</f>
        <v>-0.199999999999999</v>
      </c>
      <c r="M62" s="14" t="n">
        <f aca="false">IF(AND(ISNUMBER(E62),ISNUMBER(F62)),AVERAGE(E62:F62),"")</f>
        <v>18.4</v>
      </c>
      <c r="N62" s="14" t="n">
        <f aca="false">IF(H62&gt;0,H62,"")</f>
        <v>25.4</v>
      </c>
      <c r="O62" s="15" t="n">
        <f aca="false">IF(AND(I62&gt;0,J62&gt;0),LOG10(I62),"")</f>
        <v>1.40483371661994</v>
      </c>
      <c r="P62" s="15" t="n">
        <f aca="false">IF(AND(I62&gt;0,J62&gt;0),LOG10(J62),"")</f>
        <v>1.26481782300954</v>
      </c>
    </row>
    <row r="63" customFormat="false" ht="15" hidden="false" customHeight="false" outlineLevel="0" collapsed="false">
      <c r="A63" s="11" t="s">
        <v>94</v>
      </c>
      <c r="B63" s="11" t="s">
        <v>23</v>
      </c>
      <c r="C63" s="11" t="n">
        <v>25.4</v>
      </c>
      <c r="D63" s="11" t="n">
        <v>24.9</v>
      </c>
      <c r="E63" s="11" t="n">
        <v>19.3</v>
      </c>
      <c r="F63" s="11" t="n">
        <v>19</v>
      </c>
      <c r="G63" s="11" t="s">
        <v>42</v>
      </c>
      <c r="H63" s="13" t="n">
        <f aca="false">IF(AND(ISNUMBER(C63),ISNUMBER(D63)),AVERAGE(C63:D63),0)</f>
        <v>25.15</v>
      </c>
      <c r="I63" s="13" t="n">
        <f aca="false">IF(AND(H63&gt;0,G63&lt;&gt;"dead"),H63,0)</f>
        <v>25.15</v>
      </c>
      <c r="J63" s="13" t="n">
        <f aca="false">IF(AND(ISNUMBER(E63),ISNUMBER(F63),G63&lt;&gt;"dead"),AVERAGE(E63:F63),0)</f>
        <v>19.15</v>
      </c>
      <c r="K63" s="14" t="n">
        <f aca="false">IF(AND(ISNUMBER(C63),ISNUMBER(D63)),C63-D63,"")</f>
        <v>0.5</v>
      </c>
      <c r="L63" s="14" t="n">
        <f aca="false">IF(AND(ISNUMBER(E63),ISNUMBER(F63)),E63-F63,"")</f>
        <v>0.300000000000001</v>
      </c>
      <c r="M63" s="14" t="n">
        <f aca="false">IF(AND(ISNUMBER(E63),ISNUMBER(F63)),AVERAGE(E63:F63),"")</f>
        <v>19.15</v>
      </c>
      <c r="N63" s="14" t="n">
        <f aca="false">IF(H63&gt;0,H63,"")</f>
        <v>25.15</v>
      </c>
      <c r="O63" s="15" t="n">
        <f aca="false">IF(AND(I63&gt;0,J63&gt;0),LOG10(I63),"")</f>
        <v>1.40053798939195</v>
      </c>
      <c r="P63" s="15" t="n">
        <f aca="false">IF(AND(I63&gt;0,J63&gt;0),LOG10(J63),"")</f>
        <v>1.28216877830464</v>
      </c>
    </row>
    <row r="64" customFormat="false" ht="15" hidden="false" customHeight="false" outlineLevel="0" collapsed="false">
      <c r="A64" s="11" t="s">
        <v>95</v>
      </c>
      <c r="B64" s="11" t="s">
        <v>23</v>
      </c>
      <c r="C64" s="11" t="n">
        <v>24.6</v>
      </c>
      <c r="D64" s="11" t="n">
        <v>24.1</v>
      </c>
      <c r="E64" s="11" t="n">
        <v>16.9</v>
      </c>
      <c r="F64" s="11" t="n">
        <v>17.9</v>
      </c>
      <c r="G64" s="11" t="s">
        <v>42</v>
      </c>
      <c r="H64" s="13" t="n">
        <f aca="false">IF(AND(ISNUMBER(C64),ISNUMBER(D64)),AVERAGE(C64:D64),0)</f>
        <v>24.35</v>
      </c>
      <c r="I64" s="13" t="n">
        <f aca="false">IF(AND(H64&gt;0,G64&lt;&gt;"dead"),H64,0)</f>
        <v>24.35</v>
      </c>
      <c r="J64" s="13" t="n">
        <f aca="false">IF(AND(ISNUMBER(E64),ISNUMBER(F64),G64&lt;&gt;"dead"),AVERAGE(E64:F64),0)</f>
        <v>17.4</v>
      </c>
      <c r="K64" s="14" t="n">
        <f aca="false">IF(AND(ISNUMBER(C64),ISNUMBER(D64)),C64-D64,"")</f>
        <v>0.5</v>
      </c>
      <c r="L64" s="14" t="n">
        <f aca="false">IF(AND(ISNUMBER(E64),ISNUMBER(F64)),E64-F64,"")</f>
        <v>-1</v>
      </c>
      <c r="M64" s="14" t="n">
        <f aca="false">IF(AND(ISNUMBER(E64),ISNUMBER(F64)),AVERAGE(E64:F64),"")</f>
        <v>17.4</v>
      </c>
      <c r="N64" s="14" t="n">
        <f aca="false">IF(H64&gt;0,H64,"")</f>
        <v>24.35</v>
      </c>
      <c r="O64" s="15" t="n">
        <f aca="false">IF(AND(I64&gt;0,J64&gt;0),LOG10(I64),"")</f>
        <v>1.38649896555065</v>
      </c>
      <c r="P64" s="15" t="n">
        <f aca="false">IF(AND(I64&gt;0,J64&gt;0),LOG10(J64),"")</f>
        <v>1.2405492482826</v>
      </c>
    </row>
    <row r="65" customFormat="false" ht="15" hidden="false" customHeight="false" outlineLevel="0" collapsed="false">
      <c r="A65" s="11" t="s">
        <v>96</v>
      </c>
      <c r="B65" s="11" t="s">
        <v>23</v>
      </c>
      <c r="C65" s="11" t="n">
        <v>26.8</v>
      </c>
      <c r="D65" s="11" t="n">
        <v>26.8</v>
      </c>
      <c r="E65" s="11" t="n">
        <v>21.6</v>
      </c>
      <c r="F65" s="11" t="n">
        <v>21.6</v>
      </c>
      <c r="G65" s="11" t="s">
        <v>42</v>
      </c>
      <c r="H65" s="13" t="n">
        <f aca="false">IF(AND(ISNUMBER(C65),ISNUMBER(D65)),AVERAGE(C65:D65),0)</f>
        <v>26.8</v>
      </c>
      <c r="I65" s="13" t="n">
        <f aca="false">IF(AND(H65&gt;0,G65&lt;&gt;"dead"),H65,0)</f>
        <v>26.8</v>
      </c>
      <c r="J65" s="13" t="n">
        <f aca="false">IF(AND(ISNUMBER(E65),ISNUMBER(F65),G65&lt;&gt;"dead"),AVERAGE(E65:F65),0)</f>
        <v>21.6</v>
      </c>
      <c r="K65" s="14" t="n">
        <f aca="false">IF(AND(ISNUMBER(C65),ISNUMBER(D65)),C65-D65,"")</f>
        <v>0</v>
      </c>
      <c r="L65" s="14" t="n">
        <f aca="false">IF(AND(ISNUMBER(E65),ISNUMBER(F65)),E65-F65,"")</f>
        <v>0</v>
      </c>
      <c r="M65" s="14" t="n">
        <f aca="false">IF(AND(ISNUMBER(E65),ISNUMBER(F65)),AVERAGE(E65:F65),"")</f>
        <v>21.6</v>
      </c>
      <c r="N65" s="14" t="n">
        <f aca="false">IF(H65&gt;0,H65,"")</f>
        <v>26.8</v>
      </c>
      <c r="O65" s="15" t="n">
        <f aca="false">IF(AND(I65&gt;0,J65&gt;0),LOG10(I65),"")</f>
        <v>1.42813479402879</v>
      </c>
      <c r="P65" s="15" t="n">
        <f aca="false">IF(AND(I65&gt;0,J65&gt;0),LOG10(J65),"")</f>
        <v>1.33445375115093</v>
      </c>
    </row>
    <row r="66" customFormat="false" ht="15" hidden="false" customHeight="false" outlineLevel="0" collapsed="false">
      <c r="A66" s="11" t="s">
        <v>97</v>
      </c>
      <c r="B66" s="11" t="s">
        <v>23</v>
      </c>
      <c r="C66" s="11" t="n">
        <v>24.6</v>
      </c>
      <c r="D66" s="11" t="n">
        <v>25.6</v>
      </c>
      <c r="E66" s="11" t="n">
        <v>20.3</v>
      </c>
      <c r="F66" s="11" t="n">
        <v>20.7</v>
      </c>
      <c r="G66" s="11" t="s">
        <v>42</v>
      </c>
      <c r="H66" s="13" t="n">
        <f aca="false">IF(AND(ISNUMBER(C66),ISNUMBER(D66)),AVERAGE(C66:D66),0)</f>
        <v>25.1</v>
      </c>
      <c r="I66" s="13" t="n">
        <f aca="false">IF(AND(H66&gt;0,G66&lt;&gt;"dead"),H66,0)</f>
        <v>25.1</v>
      </c>
      <c r="J66" s="13" t="n">
        <f aca="false">IF(AND(ISNUMBER(E66),ISNUMBER(F66),G66&lt;&gt;"dead"),AVERAGE(E66:F66),0)</f>
        <v>20.5</v>
      </c>
      <c r="K66" s="14" t="n">
        <f aca="false">IF(AND(ISNUMBER(C66),ISNUMBER(D66)),C66-D66,"")</f>
        <v>-1</v>
      </c>
      <c r="L66" s="14" t="n">
        <f aca="false">IF(AND(ISNUMBER(E66),ISNUMBER(F66)),E66-F66,"")</f>
        <v>-0.399999999999999</v>
      </c>
      <c r="M66" s="14" t="n">
        <f aca="false">IF(AND(ISNUMBER(E66),ISNUMBER(F66)),AVERAGE(E66:F66),"")</f>
        <v>20.5</v>
      </c>
      <c r="N66" s="14" t="n">
        <f aca="false">IF(H66&gt;0,H66,"")</f>
        <v>25.1</v>
      </c>
      <c r="O66" s="15" t="n">
        <f aca="false">IF(AND(I66&gt;0,J66&gt;0),LOG10(I66),"")</f>
        <v>1.39967372148104</v>
      </c>
      <c r="P66" s="15" t="n">
        <f aca="false">IF(AND(I66&gt;0,J66&gt;0),LOG10(J66),"")</f>
        <v>1.31175386105575</v>
      </c>
    </row>
    <row r="67" customFormat="false" ht="15" hidden="false" customHeight="false" outlineLevel="0" collapsed="false">
      <c r="A67" s="11" t="s">
        <v>98</v>
      </c>
      <c r="B67" s="11" t="s">
        <v>23</v>
      </c>
      <c r="C67" s="11" t="n">
        <v>28</v>
      </c>
      <c r="D67" s="11" t="n">
        <v>28</v>
      </c>
      <c r="E67" s="11" t="n">
        <v>20.8</v>
      </c>
      <c r="F67" s="11" t="n">
        <v>20.8</v>
      </c>
      <c r="G67" s="11" t="s">
        <v>42</v>
      </c>
      <c r="H67" s="13" t="n">
        <f aca="false">IF(AND(ISNUMBER(C67),ISNUMBER(D67)),AVERAGE(C67:D67),0)</f>
        <v>28</v>
      </c>
      <c r="I67" s="13" t="n">
        <f aca="false">IF(AND(H67&gt;0,G67&lt;&gt;"dead"),H67,0)</f>
        <v>28</v>
      </c>
      <c r="J67" s="13" t="n">
        <f aca="false">IF(AND(ISNUMBER(E67),ISNUMBER(F67),G67&lt;&gt;"dead"),AVERAGE(E67:F67),0)</f>
        <v>20.8</v>
      </c>
      <c r="K67" s="14" t="n">
        <f aca="false">IF(AND(ISNUMBER(C67),ISNUMBER(D67)),C67-D67,"")</f>
        <v>0</v>
      </c>
      <c r="L67" s="14" t="n">
        <f aca="false">IF(AND(ISNUMBER(E67),ISNUMBER(F67)),E67-F67,"")</f>
        <v>0</v>
      </c>
      <c r="M67" s="14" t="n">
        <f aca="false">IF(AND(ISNUMBER(E67),ISNUMBER(F67)),AVERAGE(E67:F67),"")</f>
        <v>20.8</v>
      </c>
      <c r="N67" s="14" t="n">
        <f aca="false">IF(H67&gt;0,H67,"")</f>
        <v>28</v>
      </c>
      <c r="O67" s="15" t="n">
        <f aca="false">IF(AND(I67&gt;0,J67&gt;0),LOG10(I67),"")</f>
        <v>1.44715803134222</v>
      </c>
      <c r="P67" s="15" t="n">
        <f aca="false">IF(AND(I67&gt;0,J67&gt;0),LOG10(J67),"")</f>
        <v>1.31806333496276</v>
      </c>
    </row>
    <row r="68" customFormat="false" ht="15" hidden="false" customHeight="false" outlineLevel="0" collapsed="false">
      <c r="A68" s="11" t="s">
        <v>99</v>
      </c>
      <c r="B68" s="11" t="s">
        <v>23</v>
      </c>
      <c r="C68" s="11" t="n">
        <v>25.2</v>
      </c>
      <c r="D68" s="11" t="n">
        <v>25.4</v>
      </c>
      <c r="E68" s="11" t="n">
        <v>18</v>
      </c>
      <c r="F68" s="11" t="n">
        <v>17.6</v>
      </c>
      <c r="G68" s="11" t="s">
        <v>42</v>
      </c>
      <c r="H68" s="13" t="n">
        <f aca="false">IF(AND(ISNUMBER(C68),ISNUMBER(D68)),AVERAGE(C68:D68),0)</f>
        <v>25.3</v>
      </c>
      <c r="I68" s="13" t="n">
        <f aca="false">IF(AND(H68&gt;0,G68&lt;&gt;"dead"),H68,0)</f>
        <v>25.3</v>
      </c>
      <c r="J68" s="13" t="n">
        <f aca="false">IF(AND(ISNUMBER(E68),ISNUMBER(F68),G68&lt;&gt;"dead"),AVERAGE(E68:F68),0)</f>
        <v>17.8</v>
      </c>
      <c r="K68" s="14" t="n">
        <f aca="false">IF(AND(ISNUMBER(C68),ISNUMBER(D68)),C68-D68,"")</f>
        <v>-0.199999999999999</v>
      </c>
      <c r="L68" s="14" t="n">
        <f aca="false">IF(AND(ISNUMBER(E68),ISNUMBER(F68)),E68-F68,"")</f>
        <v>0.399999999999999</v>
      </c>
      <c r="M68" s="14" t="n">
        <f aca="false">IF(AND(ISNUMBER(E68),ISNUMBER(F68)),AVERAGE(E68:F68),"")</f>
        <v>17.8</v>
      </c>
      <c r="N68" s="14" t="n">
        <f aca="false">IF(H68&gt;0,H68,"")</f>
        <v>25.3</v>
      </c>
      <c r="O68" s="15" t="n">
        <f aca="false">IF(AND(I68&gt;0,J68&gt;0),LOG10(I68),"")</f>
        <v>1.40312052117582</v>
      </c>
      <c r="P68" s="15" t="n">
        <f aca="false">IF(AND(I68&gt;0,J68&gt;0),LOG10(J68),"")</f>
        <v>1.25042000230889</v>
      </c>
    </row>
    <row r="69" customFormat="false" ht="15" hidden="false" customHeight="false" outlineLevel="0" collapsed="false">
      <c r="A69" s="11" t="s">
        <v>100</v>
      </c>
      <c r="B69" s="11" t="s">
        <v>23</v>
      </c>
      <c r="C69" s="11" t="n">
        <v>24.6</v>
      </c>
      <c r="D69" s="11" t="n">
        <v>24.1</v>
      </c>
      <c r="E69" s="11" t="n">
        <v>19.8</v>
      </c>
      <c r="F69" s="11" t="n">
        <v>20</v>
      </c>
      <c r="G69" s="11" t="s">
        <v>42</v>
      </c>
      <c r="H69" s="13" t="n">
        <f aca="false">IF(AND(ISNUMBER(C69),ISNUMBER(D69)),AVERAGE(C69:D69),0)</f>
        <v>24.35</v>
      </c>
      <c r="I69" s="13" t="n">
        <f aca="false">IF(AND(H69&gt;0,G69&lt;&gt;"dead"),H69,0)</f>
        <v>24.35</v>
      </c>
      <c r="J69" s="13" t="n">
        <f aca="false">IF(AND(ISNUMBER(E69),ISNUMBER(F69),G69&lt;&gt;"dead"),AVERAGE(E69:F69),0)</f>
        <v>19.9</v>
      </c>
      <c r="K69" s="14" t="n">
        <f aca="false">IF(AND(ISNUMBER(C69),ISNUMBER(D69)),C69-D69,"")</f>
        <v>0.5</v>
      </c>
      <c r="L69" s="14" t="n">
        <f aca="false">IF(AND(ISNUMBER(E69),ISNUMBER(F69)),E69-F69,"")</f>
        <v>-0.199999999999999</v>
      </c>
      <c r="M69" s="14" t="n">
        <f aca="false">IF(AND(ISNUMBER(E69),ISNUMBER(F69)),AVERAGE(E69:F69),"")</f>
        <v>19.9</v>
      </c>
      <c r="N69" s="14" t="n">
        <f aca="false">IF(H69&gt;0,H69,"")</f>
        <v>24.35</v>
      </c>
      <c r="O69" s="15" t="n">
        <f aca="false">IF(AND(I69&gt;0,J69&gt;0),LOG10(I69),"")</f>
        <v>1.38649896555065</v>
      </c>
      <c r="P69" s="15" t="n">
        <f aca="false">IF(AND(I69&gt;0,J69&gt;0),LOG10(J69),"")</f>
        <v>1.29885307640971</v>
      </c>
    </row>
    <row r="70" customFormat="false" ht="15" hidden="false" customHeight="false" outlineLevel="0" collapsed="false">
      <c r="A70" s="11" t="s">
        <v>101</v>
      </c>
      <c r="B70" s="11" t="s">
        <v>23</v>
      </c>
      <c r="C70" s="11" t="n">
        <v>24.9</v>
      </c>
      <c r="D70" s="11" t="n">
        <v>25.2</v>
      </c>
      <c r="E70" s="11" t="n">
        <v>19.3</v>
      </c>
      <c r="F70" s="11" t="n">
        <v>18.3</v>
      </c>
      <c r="G70" s="11" t="s">
        <v>42</v>
      </c>
      <c r="H70" s="13" t="n">
        <f aca="false">IF(AND(ISNUMBER(C70),ISNUMBER(D70)),AVERAGE(C70:D70),0)</f>
        <v>25.05</v>
      </c>
      <c r="I70" s="13" t="n">
        <f aca="false">IF(AND(H70&gt;0,G70&lt;&gt;"dead"),H70,0)</f>
        <v>25.05</v>
      </c>
      <c r="J70" s="13" t="n">
        <f aca="false">IF(AND(ISNUMBER(E70),ISNUMBER(F70),G70&lt;&gt;"dead"),AVERAGE(E70:F70),0)</f>
        <v>18.8</v>
      </c>
      <c r="K70" s="14" t="n">
        <f aca="false">IF(AND(ISNUMBER(C70),ISNUMBER(D70)),C70-D70,"")</f>
        <v>-0.300000000000001</v>
      </c>
      <c r="L70" s="14" t="n">
        <f aca="false">IF(AND(ISNUMBER(E70),ISNUMBER(F70)),E70-F70,"")</f>
        <v>1</v>
      </c>
      <c r="M70" s="14" t="n">
        <f aca="false">IF(AND(ISNUMBER(E70),ISNUMBER(F70)),AVERAGE(E70:F70),"")</f>
        <v>18.8</v>
      </c>
      <c r="N70" s="14" t="n">
        <f aca="false">IF(H70&gt;0,H70,"")</f>
        <v>25.05</v>
      </c>
      <c r="O70" s="15" t="n">
        <f aca="false">IF(AND(I70&gt;0,J70&gt;0),LOG10(I70),"")</f>
        <v>1.39880773020326</v>
      </c>
      <c r="P70" s="15" t="n">
        <f aca="false">IF(AND(I70&gt;0,J70&gt;0),LOG10(J70),"")</f>
        <v>1.27415784926368</v>
      </c>
    </row>
    <row r="71" customFormat="false" ht="15" hidden="false" customHeight="false" outlineLevel="0" collapsed="false">
      <c r="A71" s="11" t="s">
        <v>102</v>
      </c>
      <c r="B71" s="11" t="s">
        <v>23</v>
      </c>
      <c r="C71" s="11" t="n">
        <v>27.5</v>
      </c>
      <c r="D71" s="11" t="n">
        <v>27.2</v>
      </c>
      <c r="E71" s="11" t="n">
        <v>21.4</v>
      </c>
      <c r="F71" s="11" t="n">
        <v>21.8</v>
      </c>
      <c r="G71" s="11" t="s">
        <v>42</v>
      </c>
      <c r="H71" s="13" t="n">
        <f aca="false">IF(AND(ISNUMBER(C71),ISNUMBER(D71)),AVERAGE(C71:D71),0)</f>
        <v>27.35</v>
      </c>
      <c r="I71" s="13" t="n">
        <f aca="false">IF(AND(H71&gt;0,G71&lt;&gt;"dead"),H71,0)</f>
        <v>27.35</v>
      </c>
      <c r="J71" s="13" t="n">
        <f aca="false">IF(AND(ISNUMBER(E71),ISNUMBER(F71),G71&lt;&gt;"dead"),AVERAGE(E71:F71),0)</f>
        <v>21.6</v>
      </c>
      <c r="K71" s="14" t="n">
        <f aca="false">IF(AND(ISNUMBER(C71),ISNUMBER(D71)),C71-D71,"")</f>
        <v>0.300000000000001</v>
      </c>
      <c r="L71" s="14" t="n">
        <f aca="false">IF(AND(ISNUMBER(E71),ISNUMBER(F71)),E71-F71,"")</f>
        <v>-0.400000000000002</v>
      </c>
      <c r="M71" s="14" t="n">
        <f aca="false">IF(AND(ISNUMBER(E71),ISNUMBER(F71)),AVERAGE(E71:F71),"")</f>
        <v>21.6</v>
      </c>
      <c r="N71" s="14" t="n">
        <f aca="false">IF(H71&gt;0,H71,"")</f>
        <v>27.35</v>
      </c>
      <c r="O71" s="15" t="n">
        <f aca="false">IF(AND(I71&gt;0,J71&gt;0),LOG10(I71),"")</f>
        <v>1.43695733066945</v>
      </c>
      <c r="P71" s="15" t="n">
        <f aca="false">IF(AND(I71&gt;0,J71&gt;0),LOG10(J71),"")</f>
        <v>1.33445375115093</v>
      </c>
    </row>
    <row r="72" customFormat="false" ht="15" hidden="false" customHeight="false" outlineLevel="0" collapsed="false">
      <c r="A72" s="11" t="s">
        <v>103</v>
      </c>
      <c r="B72" s="11" t="s">
        <v>23</v>
      </c>
      <c r="C72" s="11" t="n">
        <v>21</v>
      </c>
      <c r="D72" s="11" t="n">
        <v>20.4</v>
      </c>
      <c r="E72" s="11" t="n">
        <v>16.6</v>
      </c>
      <c r="F72" s="11" t="n">
        <v>17.5</v>
      </c>
      <c r="G72" s="11" t="s">
        <v>104</v>
      </c>
      <c r="H72" s="13" t="n">
        <f aca="false">IF(AND(ISNUMBER(C72),ISNUMBER(D72)),AVERAGE(C72:D72),0)</f>
        <v>20.7</v>
      </c>
      <c r="I72" s="13" t="n">
        <f aca="false">IF(AND(H72&gt;0,G72&lt;&gt;"dead"),H72,0)</f>
        <v>0</v>
      </c>
      <c r="J72" s="13" t="n">
        <f aca="false">IF(AND(ISNUMBER(E72),ISNUMBER(F72),G72&lt;&gt;"dead"),AVERAGE(E72:F72),0)</f>
        <v>0</v>
      </c>
      <c r="K72" s="14" t="n">
        <f aca="false">IF(AND(ISNUMBER(C72),ISNUMBER(D72)),C72-D72,"")</f>
        <v>0.600000000000001</v>
      </c>
      <c r="L72" s="14" t="n">
        <f aca="false">IF(AND(ISNUMBER(E72),ISNUMBER(F72)),E72-F72,"")</f>
        <v>-0.899999999999999</v>
      </c>
      <c r="M72" s="14" t="n">
        <f aca="false">IF(AND(ISNUMBER(E72),ISNUMBER(F72)),AVERAGE(E72:F72),"")</f>
        <v>17.05</v>
      </c>
      <c r="N72" s="14" t="n">
        <f aca="false">IF(H72&gt;0,H72,"")</f>
        <v>20.7</v>
      </c>
      <c r="O72" s="15" t="str">
        <f aca="false">IF(AND(I72&gt;0,J72&gt;0),LOG10(I72),"")</f>
        <v/>
      </c>
      <c r="P72" s="15" t="str">
        <f aca="false">IF(AND(I72&gt;0,J72&gt;0),LOG10(J72),"")</f>
        <v/>
      </c>
    </row>
    <row r="73" customFormat="false" ht="15" hidden="false" customHeight="false" outlineLevel="0" collapsed="false">
      <c r="A73" s="11" t="s">
        <v>105</v>
      </c>
      <c r="B73" s="11" t="s">
        <v>23</v>
      </c>
      <c r="C73" s="11" t="n">
        <v>25.3</v>
      </c>
      <c r="D73" s="11" t="n">
        <v>25.2</v>
      </c>
      <c r="E73" s="11" t="n">
        <v>20.8</v>
      </c>
      <c r="F73" s="11" t="n">
        <v>20.6</v>
      </c>
      <c r="G73" s="11" t="s">
        <v>104</v>
      </c>
      <c r="H73" s="13" t="n">
        <f aca="false">IF(AND(ISNUMBER(C73),ISNUMBER(D73)),AVERAGE(C73:D73),0)</f>
        <v>25.25</v>
      </c>
      <c r="I73" s="13" t="n">
        <f aca="false">IF(AND(H73&gt;0,G73&lt;&gt;"dead"),H73,0)</f>
        <v>0</v>
      </c>
      <c r="J73" s="13" t="n">
        <f aca="false">IF(AND(ISNUMBER(E73),ISNUMBER(F73),G73&lt;&gt;"dead"),AVERAGE(E73:F73),0)</f>
        <v>0</v>
      </c>
      <c r="K73" s="14" t="n">
        <f aca="false">IF(AND(ISNUMBER(C73),ISNUMBER(D73)),C73-D73,"")</f>
        <v>0.100000000000001</v>
      </c>
      <c r="L73" s="14" t="n">
        <f aca="false">IF(AND(ISNUMBER(E73),ISNUMBER(F73)),E73-F73,"")</f>
        <v>0.199999999999999</v>
      </c>
      <c r="M73" s="14" t="n">
        <f aca="false">IF(AND(ISNUMBER(E73),ISNUMBER(F73)),AVERAGE(E73:F73),"")</f>
        <v>20.7</v>
      </c>
      <c r="N73" s="14" t="n">
        <f aca="false">IF(H73&gt;0,H73,"")</f>
        <v>25.25</v>
      </c>
      <c r="O73" s="15" t="str">
        <f aca="false">IF(AND(I73&gt;0,J73&gt;0),LOG10(I73),"")</f>
        <v/>
      </c>
      <c r="P73" s="15" t="str">
        <f aca="false">IF(AND(I73&gt;0,J73&gt;0),LOG10(J73),"")</f>
        <v/>
      </c>
    </row>
    <row r="74" customFormat="false" ht="15" hidden="false" customHeight="false" outlineLevel="0" collapsed="false">
      <c r="A74" s="11" t="s">
        <v>106</v>
      </c>
      <c r="B74" s="11" t="s">
        <v>23</v>
      </c>
      <c r="C74" s="11" t="n">
        <v>29.2</v>
      </c>
      <c r="D74" s="11" t="n">
        <v>29.4</v>
      </c>
      <c r="E74" s="11" t="n">
        <v>23.7</v>
      </c>
      <c r="F74" s="11" t="n">
        <v>23.1</v>
      </c>
      <c r="G74" s="11" t="s">
        <v>104</v>
      </c>
      <c r="H74" s="13" t="n">
        <f aca="false">IF(AND(ISNUMBER(C74),ISNUMBER(D74)),AVERAGE(C74:D74),0)</f>
        <v>29.3</v>
      </c>
      <c r="I74" s="13" t="n">
        <f aca="false">IF(AND(H74&gt;0,G74&lt;&gt;"dead"),H74,0)</f>
        <v>0</v>
      </c>
      <c r="J74" s="13" t="n">
        <f aca="false">IF(AND(ISNUMBER(E74),ISNUMBER(F74),G74&lt;&gt;"dead"),AVERAGE(E74:F74),0)</f>
        <v>0</v>
      </c>
      <c r="K74" s="14" t="n">
        <f aca="false">IF(AND(ISNUMBER(C74),ISNUMBER(D74)),C74-D74,"")</f>
        <v>-0.199999999999999</v>
      </c>
      <c r="L74" s="14" t="n">
        <f aca="false">IF(AND(ISNUMBER(E74),ISNUMBER(F74)),E74-F74,"")</f>
        <v>0.599999999999998</v>
      </c>
      <c r="M74" s="14" t="n">
        <f aca="false">IF(AND(ISNUMBER(E74),ISNUMBER(F74)),AVERAGE(E74:F74),"")</f>
        <v>23.4</v>
      </c>
      <c r="N74" s="14" t="n">
        <f aca="false">IF(H74&gt;0,H74,"")</f>
        <v>29.3</v>
      </c>
      <c r="O74" s="15" t="str">
        <f aca="false">IF(AND(I74&gt;0,J74&gt;0),LOG10(I74),"")</f>
        <v/>
      </c>
      <c r="P74" s="15" t="str">
        <f aca="false">IF(AND(I74&gt;0,J74&gt;0),LOG10(J74),"")</f>
        <v/>
      </c>
    </row>
    <row r="75" customFormat="false" ht="15" hidden="false" customHeight="false" outlineLevel="0" collapsed="false">
      <c r="A75" s="11" t="s">
        <v>107</v>
      </c>
      <c r="B75" s="11" t="s">
        <v>23</v>
      </c>
      <c r="C75" s="11" t="n">
        <v>26.8</v>
      </c>
      <c r="D75" s="11" t="n">
        <v>26.4</v>
      </c>
      <c r="E75" s="11" t="n">
        <v>20.7</v>
      </c>
      <c r="F75" s="11" t="n">
        <v>21</v>
      </c>
      <c r="G75" s="11" t="s">
        <v>104</v>
      </c>
      <c r="H75" s="13" t="n">
        <f aca="false">IF(AND(ISNUMBER(C75),ISNUMBER(D75)),AVERAGE(C75:D75),0)</f>
        <v>26.6</v>
      </c>
      <c r="I75" s="13" t="n">
        <f aca="false">IF(AND(H75&gt;0,G75&lt;&gt;"dead"),H75,0)</f>
        <v>0</v>
      </c>
      <c r="J75" s="13" t="n">
        <f aca="false">IF(AND(ISNUMBER(E75),ISNUMBER(F75),G75&lt;&gt;"dead"),AVERAGE(E75:F75),0)</f>
        <v>0</v>
      </c>
      <c r="K75" s="14" t="n">
        <f aca="false">IF(AND(ISNUMBER(C75),ISNUMBER(D75)),C75-D75,"")</f>
        <v>0.400000000000002</v>
      </c>
      <c r="L75" s="14" t="n">
        <f aca="false">IF(AND(ISNUMBER(E75),ISNUMBER(F75)),E75-F75,"")</f>
        <v>-0.300000000000001</v>
      </c>
      <c r="M75" s="14" t="n">
        <f aca="false">IF(AND(ISNUMBER(E75),ISNUMBER(F75)),AVERAGE(E75:F75),"")</f>
        <v>20.85</v>
      </c>
      <c r="N75" s="14" t="n">
        <f aca="false">IF(H75&gt;0,H75,"")</f>
        <v>26.6</v>
      </c>
      <c r="O75" s="15" t="str">
        <f aca="false">IF(AND(I75&gt;0,J75&gt;0),LOG10(I75),"")</f>
        <v/>
      </c>
      <c r="P75" s="15" t="str">
        <f aca="false">IF(AND(I75&gt;0,J75&gt;0),LOG10(J75),"")</f>
        <v/>
      </c>
    </row>
    <row r="76" customFormat="false" ht="15" hidden="false" customHeight="false" outlineLevel="0" collapsed="false">
      <c r="A76" s="11" t="s">
        <v>108</v>
      </c>
      <c r="B76" s="11" t="s">
        <v>23</v>
      </c>
      <c r="C76" s="11" t="n">
        <v>27.7</v>
      </c>
      <c r="D76" s="11" t="n">
        <v>27.8</v>
      </c>
      <c r="E76" s="11" t="n">
        <v>23</v>
      </c>
      <c r="F76" s="11" t="n">
        <v>23.1</v>
      </c>
      <c r="G76" s="11" t="s">
        <v>104</v>
      </c>
      <c r="H76" s="13" t="n">
        <f aca="false">IF(AND(ISNUMBER(C76),ISNUMBER(D76)),AVERAGE(C76:D76),0)</f>
        <v>27.75</v>
      </c>
      <c r="I76" s="13" t="n">
        <f aca="false">IF(AND(H76&gt;0,G76&lt;&gt;"dead"),H76,0)</f>
        <v>0</v>
      </c>
      <c r="J76" s="13" t="n">
        <f aca="false">IF(AND(ISNUMBER(E76),ISNUMBER(F76),G76&lt;&gt;"dead"),AVERAGE(E76:F76),0)</f>
        <v>0</v>
      </c>
      <c r="K76" s="14" t="n">
        <f aca="false">IF(AND(ISNUMBER(C76),ISNUMBER(D76)),C76-D76,"")</f>
        <v>-0.100000000000001</v>
      </c>
      <c r="L76" s="14" t="n">
        <f aca="false">IF(AND(ISNUMBER(E76),ISNUMBER(F76)),E76-F76,"")</f>
        <v>-0.100000000000001</v>
      </c>
      <c r="M76" s="14" t="n">
        <f aca="false">IF(AND(ISNUMBER(E76),ISNUMBER(F76)),AVERAGE(E76:F76),"")</f>
        <v>23.05</v>
      </c>
      <c r="N76" s="14" t="n">
        <f aca="false">IF(H76&gt;0,H76,"")</f>
        <v>27.75</v>
      </c>
      <c r="O76" s="15" t="str">
        <f aca="false">IF(AND(I76&gt;0,J76&gt;0),LOG10(I76),"")</f>
        <v/>
      </c>
      <c r="P76" s="15" t="str">
        <f aca="false">IF(AND(I76&gt;0,J76&gt;0),LOG10(J76),"")</f>
        <v/>
      </c>
    </row>
    <row r="77" customFormat="false" ht="15" hidden="false" customHeight="false" outlineLevel="0" collapsed="false">
      <c r="A77" s="11" t="s">
        <v>109</v>
      </c>
      <c r="B77" s="11" t="s">
        <v>23</v>
      </c>
      <c r="C77" s="11" t="n">
        <v>26.3</v>
      </c>
      <c r="D77" s="11" t="n">
        <v>26.5</v>
      </c>
      <c r="E77" s="11" t="n">
        <v>19.3</v>
      </c>
      <c r="F77" s="11" t="n">
        <v>18.6</v>
      </c>
      <c r="G77" s="11" t="s">
        <v>104</v>
      </c>
      <c r="H77" s="13" t="n">
        <f aca="false">IF(AND(ISNUMBER(C77),ISNUMBER(D77)),AVERAGE(C77:D77),0)</f>
        <v>26.4</v>
      </c>
      <c r="I77" s="13" t="n">
        <f aca="false">IF(AND(H77&gt;0,G77&lt;&gt;"dead"),H77,0)</f>
        <v>0</v>
      </c>
      <c r="J77" s="13" t="n">
        <f aca="false">IF(AND(ISNUMBER(E77),ISNUMBER(F77),G77&lt;&gt;"dead"),AVERAGE(E77:F77),0)</f>
        <v>0</v>
      </c>
      <c r="K77" s="14" t="n">
        <f aca="false">IF(AND(ISNUMBER(C77),ISNUMBER(D77)),C77-D77,"")</f>
        <v>-0.199999999999999</v>
      </c>
      <c r="L77" s="14" t="n">
        <f aca="false">IF(AND(ISNUMBER(E77),ISNUMBER(F77)),E77-F77,"")</f>
        <v>0.699999999999999</v>
      </c>
      <c r="M77" s="14" t="n">
        <f aca="false">IF(AND(ISNUMBER(E77),ISNUMBER(F77)),AVERAGE(E77:F77),"")</f>
        <v>18.95</v>
      </c>
      <c r="N77" s="14" t="n">
        <f aca="false">IF(H77&gt;0,H77,"")</f>
        <v>26.4</v>
      </c>
      <c r="O77" s="15" t="str">
        <f aca="false">IF(AND(I77&gt;0,J77&gt;0),LOG10(I77),"")</f>
        <v/>
      </c>
      <c r="P77" s="15" t="str">
        <f aca="false">IF(AND(I77&gt;0,J77&gt;0),LOG10(J77),"")</f>
        <v/>
      </c>
    </row>
    <row r="78" customFormat="false" ht="15" hidden="false" customHeight="false" outlineLevel="0" collapsed="false">
      <c r="A78" s="11" t="s">
        <v>110</v>
      </c>
      <c r="B78" s="11" t="s">
        <v>23</v>
      </c>
      <c r="C78" s="11" t="n">
        <v>27</v>
      </c>
      <c r="D78" s="11" t="n">
        <v>27.2</v>
      </c>
      <c r="E78" s="11" t="n">
        <v>22.7</v>
      </c>
      <c r="F78" s="11" t="n">
        <v>23</v>
      </c>
      <c r="G78" s="11" t="s">
        <v>104</v>
      </c>
      <c r="H78" s="13" t="n">
        <f aca="false">IF(AND(ISNUMBER(C78),ISNUMBER(D78)),AVERAGE(C78:D78),0)</f>
        <v>27.1</v>
      </c>
      <c r="I78" s="13" t="n">
        <f aca="false">IF(AND(H78&gt;0,G78&lt;&gt;"dead"),H78,0)</f>
        <v>0</v>
      </c>
      <c r="J78" s="13" t="n">
        <f aca="false">IF(AND(ISNUMBER(E78),ISNUMBER(F78),G78&lt;&gt;"dead"),AVERAGE(E78:F78),0)</f>
        <v>0</v>
      </c>
      <c r="K78" s="14" t="n">
        <f aca="false">IF(AND(ISNUMBER(C78),ISNUMBER(D78)),C78-D78,"")</f>
        <v>-0.199999999999999</v>
      </c>
      <c r="L78" s="14" t="n">
        <f aca="false">IF(AND(ISNUMBER(E78),ISNUMBER(F78)),E78-F78,"")</f>
        <v>-0.300000000000001</v>
      </c>
      <c r="M78" s="14" t="n">
        <f aca="false">IF(AND(ISNUMBER(E78),ISNUMBER(F78)),AVERAGE(E78:F78),"")</f>
        <v>22.85</v>
      </c>
      <c r="N78" s="14" t="n">
        <f aca="false">IF(H78&gt;0,H78,"")</f>
        <v>27.1</v>
      </c>
      <c r="O78" s="15" t="str">
        <f aca="false">IF(AND(I78&gt;0,J78&gt;0),LOG10(I78),"")</f>
        <v/>
      </c>
      <c r="P78" s="15" t="str">
        <f aca="false">IF(AND(I78&gt;0,J78&gt;0),LOG10(J78),"")</f>
        <v/>
      </c>
    </row>
    <row r="79" customFormat="false" ht="15" hidden="false" customHeight="false" outlineLevel="0" collapsed="false">
      <c r="A79" s="11" t="s">
        <v>111</v>
      </c>
      <c r="B79" s="11" t="s">
        <v>23</v>
      </c>
      <c r="C79" s="11" t="n">
        <v>29.8</v>
      </c>
      <c r="D79" s="11" t="n">
        <v>29.8</v>
      </c>
      <c r="E79" s="11" t="n">
        <v>25</v>
      </c>
      <c r="F79" s="11" t="n">
        <v>25.2</v>
      </c>
      <c r="G79" s="11" t="s">
        <v>104</v>
      </c>
      <c r="H79" s="13" t="n">
        <f aca="false">IF(AND(ISNUMBER(C79),ISNUMBER(D79)),AVERAGE(C79:D79),0)</f>
        <v>29.8</v>
      </c>
      <c r="I79" s="13" t="n">
        <f aca="false">IF(AND(H79&gt;0,G79&lt;&gt;"dead"),H79,0)</f>
        <v>0</v>
      </c>
      <c r="J79" s="13" t="n">
        <f aca="false">IF(AND(ISNUMBER(E79),ISNUMBER(F79),G79&lt;&gt;"dead"),AVERAGE(E79:F79),0)</f>
        <v>0</v>
      </c>
      <c r="K79" s="14" t="n">
        <f aca="false">IF(AND(ISNUMBER(C79),ISNUMBER(D79)),C79-D79,"")</f>
        <v>0</v>
      </c>
      <c r="L79" s="14" t="n">
        <f aca="false">IF(AND(ISNUMBER(E79),ISNUMBER(F79)),E79-F79,"")</f>
        <v>-0.199999999999999</v>
      </c>
      <c r="M79" s="14" t="n">
        <f aca="false">IF(AND(ISNUMBER(E79),ISNUMBER(F79)),AVERAGE(E79:F79),"")</f>
        <v>25.1</v>
      </c>
      <c r="N79" s="14" t="n">
        <f aca="false">IF(H79&gt;0,H79,"")</f>
        <v>29.8</v>
      </c>
      <c r="O79" s="15" t="str">
        <f aca="false">IF(AND(I79&gt;0,J79&gt;0),LOG10(I79),"")</f>
        <v/>
      </c>
      <c r="P79" s="15" t="str">
        <f aca="false">IF(AND(I79&gt;0,J79&gt;0),LOG10(J79),"")</f>
        <v/>
      </c>
    </row>
    <row r="80" customFormat="false" ht="15" hidden="false" customHeight="false" outlineLevel="0" collapsed="false">
      <c r="A80" s="11" t="s">
        <v>112</v>
      </c>
      <c r="B80" s="11" t="s">
        <v>23</v>
      </c>
      <c r="C80" s="11" t="n">
        <v>25.6</v>
      </c>
      <c r="D80" s="11" t="n">
        <v>26.3</v>
      </c>
      <c r="E80" s="11" t="n">
        <v>19.7</v>
      </c>
      <c r="F80" s="11" t="n">
        <v>20.1</v>
      </c>
      <c r="G80" s="11" t="s">
        <v>104</v>
      </c>
      <c r="H80" s="13" t="n">
        <f aca="false">IF(AND(ISNUMBER(C80),ISNUMBER(D80)),AVERAGE(C80:D80),0)</f>
        <v>25.95</v>
      </c>
      <c r="I80" s="13" t="n">
        <f aca="false">IF(AND(H80&gt;0,G80&lt;&gt;"dead"),H80,0)</f>
        <v>0</v>
      </c>
      <c r="J80" s="13" t="n">
        <f aca="false">IF(AND(ISNUMBER(E80),ISNUMBER(F80),G80&lt;&gt;"dead"),AVERAGE(E80:F80),0)</f>
        <v>0</v>
      </c>
      <c r="K80" s="14" t="n">
        <f aca="false">IF(AND(ISNUMBER(C80),ISNUMBER(D80)),C80-D80,"")</f>
        <v>-0.699999999999999</v>
      </c>
      <c r="L80" s="14" t="n">
        <f aca="false">IF(AND(ISNUMBER(E80),ISNUMBER(F80)),E80-F80,"")</f>
        <v>-0.400000000000002</v>
      </c>
      <c r="M80" s="14" t="n">
        <f aca="false">IF(AND(ISNUMBER(E80),ISNUMBER(F80)),AVERAGE(E80:F80),"")</f>
        <v>19.9</v>
      </c>
      <c r="N80" s="14" t="n">
        <f aca="false">IF(H80&gt;0,H80,"")</f>
        <v>25.95</v>
      </c>
      <c r="O80" s="15" t="str">
        <f aca="false">IF(AND(I80&gt;0,J80&gt;0),LOG10(I80),"")</f>
        <v/>
      </c>
      <c r="P80" s="15" t="str">
        <f aca="false">IF(AND(I80&gt;0,J80&gt;0),LOG10(J80),"")</f>
        <v/>
      </c>
    </row>
    <row r="81" customFormat="false" ht="15" hidden="false" customHeight="false" outlineLevel="0" collapsed="false">
      <c r="A81" s="11" t="s">
        <v>113</v>
      </c>
      <c r="B81" s="11" t="s">
        <v>23</v>
      </c>
      <c r="C81" s="11" t="n">
        <v>25.2</v>
      </c>
      <c r="D81" s="11" t="n">
        <v>24.5</v>
      </c>
      <c r="E81" s="11" t="n">
        <v>19.7</v>
      </c>
      <c r="F81" s="11" t="n">
        <v>19.5</v>
      </c>
      <c r="G81" s="11" t="s">
        <v>104</v>
      </c>
      <c r="H81" s="13" t="n">
        <f aca="false">IF(AND(ISNUMBER(C81),ISNUMBER(D81)),AVERAGE(C81:D81),0)</f>
        <v>24.85</v>
      </c>
      <c r="I81" s="13" t="n">
        <f aca="false">IF(AND(H81&gt;0,G81&lt;&gt;"dead"),H81,0)</f>
        <v>0</v>
      </c>
      <c r="J81" s="13" t="n">
        <f aca="false">IF(AND(ISNUMBER(E81),ISNUMBER(F81),G81&lt;&gt;"dead"),AVERAGE(E81:F81),0)</f>
        <v>0</v>
      </c>
      <c r="K81" s="14" t="n">
        <f aca="false">IF(AND(ISNUMBER(C81),ISNUMBER(D81)),C81-D81,"")</f>
        <v>0.699999999999999</v>
      </c>
      <c r="L81" s="14" t="n">
        <f aca="false">IF(AND(ISNUMBER(E81),ISNUMBER(F81)),E81-F81,"")</f>
        <v>0.199999999999999</v>
      </c>
      <c r="M81" s="14" t="n">
        <f aca="false">IF(AND(ISNUMBER(E81),ISNUMBER(F81)),AVERAGE(E81:F81),"")</f>
        <v>19.6</v>
      </c>
      <c r="N81" s="14" t="n">
        <f aca="false">IF(H81&gt;0,H81,"")</f>
        <v>24.85</v>
      </c>
      <c r="O81" s="15" t="str">
        <f aca="false">IF(AND(I81&gt;0,J81&gt;0),LOG10(I81),"")</f>
        <v/>
      </c>
      <c r="P81" s="15" t="str">
        <f aca="false">IF(AND(I81&gt;0,J81&gt;0),LOG10(J81),"")</f>
        <v/>
      </c>
    </row>
    <row r="82" customFormat="false" ht="15" hidden="false" customHeight="false" outlineLevel="0" collapsed="false">
      <c r="A82" s="11" t="s">
        <v>114</v>
      </c>
      <c r="B82" s="11" t="s">
        <v>23</v>
      </c>
      <c r="C82" s="11" t="n">
        <v>27.9</v>
      </c>
      <c r="D82" s="11" t="n">
        <v>28.1</v>
      </c>
      <c r="E82" s="11" t="n">
        <v>22.1</v>
      </c>
      <c r="F82" s="11" t="n">
        <v>22.1</v>
      </c>
      <c r="G82" s="11" t="s">
        <v>104</v>
      </c>
      <c r="H82" s="13" t="n">
        <f aca="false">IF(AND(ISNUMBER(C82),ISNUMBER(D82)),AVERAGE(C82:D82),0)</f>
        <v>28</v>
      </c>
      <c r="I82" s="13" t="n">
        <f aca="false">IF(AND(H82&gt;0,G82&lt;&gt;"dead"),H82,0)</f>
        <v>0</v>
      </c>
      <c r="J82" s="13" t="n">
        <f aca="false">IF(AND(ISNUMBER(E82),ISNUMBER(F82),G82&lt;&gt;"dead"),AVERAGE(E82:F82),0)</f>
        <v>0</v>
      </c>
      <c r="K82" s="14" t="n">
        <f aca="false">IF(AND(ISNUMBER(C82),ISNUMBER(D82)),C82-D82,"")</f>
        <v>-0.200000000000003</v>
      </c>
      <c r="L82" s="14" t="n">
        <f aca="false">IF(AND(ISNUMBER(E82),ISNUMBER(F82)),E82-F82,"")</f>
        <v>0</v>
      </c>
      <c r="M82" s="14" t="n">
        <f aca="false">IF(AND(ISNUMBER(E82),ISNUMBER(F82)),AVERAGE(E82:F82),"")</f>
        <v>22.1</v>
      </c>
      <c r="N82" s="14" t="n">
        <f aca="false">IF(H82&gt;0,H82,"")</f>
        <v>28</v>
      </c>
      <c r="O82" s="15" t="str">
        <f aca="false">IF(AND(I82&gt;0,J82&gt;0),LOG10(I82),"")</f>
        <v/>
      </c>
      <c r="P82" s="15" t="str">
        <f aca="false">IF(AND(I82&gt;0,J82&gt;0),LOG10(J82),"")</f>
        <v/>
      </c>
    </row>
    <row r="83" customFormat="false" ht="15" hidden="false" customHeight="false" outlineLevel="0" collapsed="false">
      <c r="A83" s="11" t="s">
        <v>115</v>
      </c>
      <c r="B83" s="11" t="s">
        <v>23</v>
      </c>
      <c r="C83" s="11" t="n">
        <v>24.6</v>
      </c>
      <c r="D83" s="11" t="n">
        <v>25</v>
      </c>
      <c r="E83" s="11" t="n">
        <v>20.3</v>
      </c>
      <c r="F83" s="11" t="n">
        <v>19.8</v>
      </c>
      <c r="G83" s="11" t="s">
        <v>104</v>
      </c>
      <c r="H83" s="13" t="n">
        <f aca="false">IF(AND(ISNUMBER(C83),ISNUMBER(D83)),AVERAGE(C83:D83),0)</f>
        <v>24.8</v>
      </c>
      <c r="I83" s="13" t="n">
        <f aca="false">IF(AND(H83&gt;0,G83&lt;&gt;"dead"),H83,0)</f>
        <v>0</v>
      </c>
      <c r="J83" s="13" t="n">
        <f aca="false">IF(AND(ISNUMBER(E83),ISNUMBER(F83),G83&lt;&gt;"dead"),AVERAGE(E83:F83),0)</f>
        <v>0</v>
      </c>
      <c r="K83" s="14" t="n">
        <f aca="false">IF(AND(ISNUMBER(C83),ISNUMBER(D83)),C83-D83,"")</f>
        <v>-0.399999999999999</v>
      </c>
      <c r="L83" s="14" t="n">
        <f aca="false">IF(AND(ISNUMBER(E83),ISNUMBER(F83)),E83-F83,"")</f>
        <v>0.5</v>
      </c>
      <c r="M83" s="14" t="n">
        <f aca="false">IF(AND(ISNUMBER(E83),ISNUMBER(F83)),AVERAGE(E83:F83),"")</f>
        <v>20.05</v>
      </c>
      <c r="N83" s="14" t="n">
        <f aca="false">IF(H83&gt;0,H83,"")</f>
        <v>24.8</v>
      </c>
      <c r="O83" s="15" t="str">
        <f aca="false">IF(AND(I83&gt;0,J83&gt;0),LOG10(I83),"")</f>
        <v/>
      </c>
      <c r="P83" s="15" t="str">
        <f aca="false">IF(AND(I83&gt;0,J83&gt;0),LOG10(J83),"")</f>
        <v/>
      </c>
    </row>
    <row r="84" customFormat="false" ht="15" hidden="false" customHeight="false" outlineLevel="0" collapsed="false">
      <c r="A84" s="11" t="s">
        <v>116</v>
      </c>
      <c r="B84" s="11" t="s">
        <v>23</v>
      </c>
      <c r="C84" s="11" t="n">
        <v>30</v>
      </c>
      <c r="D84" s="11" t="n">
        <v>30.2</v>
      </c>
      <c r="E84" s="11" t="n">
        <v>22.2</v>
      </c>
      <c r="F84" s="11" t="n">
        <v>22.2</v>
      </c>
      <c r="G84" s="11" t="s">
        <v>104</v>
      </c>
      <c r="H84" s="13" t="n">
        <f aca="false">IF(AND(ISNUMBER(C84),ISNUMBER(D84)),AVERAGE(C84:D84),0)</f>
        <v>30.1</v>
      </c>
      <c r="I84" s="13" t="n">
        <f aca="false">IF(AND(H84&gt;0,G84&lt;&gt;"dead"),H84,0)</f>
        <v>0</v>
      </c>
      <c r="J84" s="13" t="n">
        <f aca="false">IF(AND(ISNUMBER(E84),ISNUMBER(F84),G84&lt;&gt;"dead"),AVERAGE(E84:F84),0)</f>
        <v>0</v>
      </c>
      <c r="K84" s="14" t="n">
        <f aca="false">IF(AND(ISNUMBER(C84),ISNUMBER(D84)),C84-D84,"")</f>
        <v>-0.199999999999999</v>
      </c>
      <c r="L84" s="14" t="n">
        <f aca="false">IF(AND(ISNUMBER(E84),ISNUMBER(F84)),E84-F84,"")</f>
        <v>0</v>
      </c>
      <c r="M84" s="14" t="n">
        <f aca="false">IF(AND(ISNUMBER(E84),ISNUMBER(F84)),AVERAGE(E84:F84),"")</f>
        <v>22.2</v>
      </c>
      <c r="N84" s="14" t="n">
        <f aca="false">IF(H84&gt;0,H84,"")</f>
        <v>30.1</v>
      </c>
      <c r="O84" s="15" t="str">
        <f aca="false">IF(AND(I84&gt;0,J84&gt;0),LOG10(I84),"")</f>
        <v/>
      </c>
      <c r="P84" s="15" t="str">
        <f aca="false">IF(AND(I84&gt;0,J84&gt;0),LOG10(J84),"")</f>
        <v/>
      </c>
    </row>
    <row r="85" customFormat="false" ht="15" hidden="false" customHeight="false" outlineLevel="0" collapsed="false">
      <c r="A85" s="11" t="s">
        <v>117</v>
      </c>
      <c r="B85" s="11" t="s">
        <v>23</v>
      </c>
      <c r="C85" s="11" t="n">
        <v>25.3</v>
      </c>
      <c r="D85" s="11" t="n">
        <v>25</v>
      </c>
      <c r="E85" s="11" t="n">
        <v>22</v>
      </c>
      <c r="F85" s="11" t="n">
        <v>21.7</v>
      </c>
      <c r="G85" s="11" t="s">
        <v>104</v>
      </c>
      <c r="H85" s="13" t="n">
        <f aca="false">IF(AND(ISNUMBER(C85),ISNUMBER(D85)),AVERAGE(C85:D85),0)</f>
        <v>25.15</v>
      </c>
      <c r="I85" s="13" t="n">
        <f aca="false">IF(AND(H85&gt;0,G85&lt;&gt;"dead"),H85,0)</f>
        <v>0</v>
      </c>
      <c r="J85" s="13" t="n">
        <f aca="false">IF(AND(ISNUMBER(E85),ISNUMBER(F85),G85&lt;&gt;"dead"),AVERAGE(E85:F85),0)</f>
        <v>0</v>
      </c>
      <c r="K85" s="14" t="n">
        <f aca="false">IF(AND(ISNUMBER(C85),ISNUMBER(D85)),C85-D85,"")</f>
        <v>0.300000000000001</v>
      </c>
      <c r="L85" s="14" t="n">
        <f aca="false">IF(AND(ISNUMBER(E85),ISNUMBER(F85)),E85-F85,"")</f>
        <v>0.300000000000001</v>
      </c>
      <c r="M85" s="14" t="n">
        <f aca="false">IF(AND(ISNUMBER(E85),ISNUMBER(F85)),AVERAGE(E85:F85),"")</f>
        <v>21.85</v>
      </c>
      <c r="N85" s="14" t="n">
        <f aca="false">IF(H85&gt;0,H85,"")</f>
        <v>25.15</v>
      </c>
      <c r="O85" s="15" t="str">
        <f aca="false">IF(AND(I85&gt;0,J85&gt;0),LOG10(I85),"")</f>
        <v/>
      </c>
      <c r="P85" s="15" t="str">
        <f aca="false">IF(AND(I85&gt;0,J85&gt;0),LOG10(J85),"")</f>
        <v/>
      </c>
    </row>
    <row r="86" customFormat="false" ht="15" hidden="false" customHeight="false" outlineLevel="0" collapsed="false">
      <c r="A86" s="11" t="s">
        <v>118</v>
      </c>
      <c r="B86" s="11" t="s">
        <v>23</v>
      </c>
      <c r="C86" s="11" t="n">
        <v>26.8</v>
      </c>
      <c r="D86" s="11" t="n">
        <v>27.2</v>
      </c>
      <c r="E86" s="11" t="n">
        <v>20.2</v>
      </c>
      <c r="F86" s="11" t="n">
        <v>20.1</v>
      </c>
      <c r="G86" s="11" t="s">
        <v>104</v>
      </c>
      <c r="H86" s="13" t="n">
        <f aca="false">IF(AND(ISNUMBER(C86),ISNUMBER(D86)),AVERAGE(C86:D86),0)</f>
        <v>27</v>
      </c>
      <c r="I86" s="13" t="n">
        <f aca="false">IF(AND(H86&gt;0,G86&lt;&gt;"dead"),H86,0)</f>
        <v>0</v>
      </c>
      <c r="J86" s="13" t="n">
        <f aca="false">IF(AND(ISNUMBER(E86),ISNUMBER(F86),G86&lt;&gt;"dead"),AVERAGE(E86:F86),0)</f>
        <v>0</v>
      </c>
      <c r="K86" s="14" t="n">
        <f aca="false">IF(AND(ISNUMBER(C86),ISNUMBER(D86)),C86-D86,"")</f>
        <v>-0.399999999999999</v>
      </c>
      <c r="L86" s="14" t="n">
        <f aca="false">IF(AND(ISNUMBER(E86),ISNUMBER(F86)),E86-F86,"")</f>
        <v>0.0999999999999979</v>
      </c>
      <c r="M86" s="14" t="n">
        <f aca="false">IF(AND(ISNUMBER(E86),ISNUMBER(F86)),AVERAGE(E86:F86),"")</f>
        <v>20.15</v>
      </c>
      <c r="N86" s="14" t="n">
        <f aca="false">IF(H86&gt;0,H86,"")</f>
        <v>27</v>
      </c>
      <c r="O86" s="15" t="str">
        <f aca="false">IF(AND(I86&gt;0,J86&gt;0),LOG10(I86),"")</f>
        <v/>
      </c>
      <c r="P86" s="15" t="str">
        <f aca="false">IF(AND(I86&gt;0,J86&gt;0),LOG10(J86),"")</f>
        <v/>
      </c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3" t="n">
        <f aca="false">IF(AND(ISNUMBER(C87),ISNUMBER(D87)),AVERAGE(C87:D87),0)</f>
        <v>0</v>
      </c>
      <c r="I87" s="13" t="n">
        <f aca="false">IF(AND(H87&gt;0,G87&lt;&gt;"dead"),H87,0)</f>
        <v>0</v>
      </c>
      <c r="J87" s="13" t="n">
        <f aca="false">IF(AND(ISNUMBER(E87),ISNUMBER(F87),G87&lt;&gt;"dead"),AVERAGE(E87:F87),0)</f>
        <v>0</v>
      </c>
      <c r="K87" s="14" t="str">
        <f aca="false">IF(AND(ISNUMBER(C87),ISNUMBER(D87)),C87-D87,"")</f>
        <v/>
      </c>
      <c r="L87" s="14" t="str">
        <f aca="false">IF(AND(ISNUMBER(E87),ISNUMBER(F87)),E87-F87,"")</f>
        <v/>
      </c>
      <c r="M87" s="14" t="str">
        <f aca="false">IF(AND(ISNUMBER(E87),ISNUMBER(F87)),AVERAGE(E87:F87),"")</f>
        <v/>
      </c>
      <c r="N87" s="14" t="str">
        <f aca="false">IF(H87&gt;0,H87,"")</f>
        <v/>
      </c>
      <c r="O87" s="15" t="str">
        <f aca="false">IF(AND(I87&gt;0,J87&gt;0),LOG10(I87),"")</f>
        <v/>
      </c>
      <c r="P87" s="15" t="str">
        <f aca="false">IF(AND(I87&gt;0,J87&gt;0),LOG10(J87),"")</f>
        <v/>
      </c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3" t="n">
        <f aca="false">IF(AND(ISNUMBER(C88),ISNUMBER(D88)),AVERAGE(C88:D88),0)</f>
        <v>0</v>
      </c>
      <c r="I88" s="13" t="n">
        <f aca="false">IF(AND(H88&gt;0,G88&lt;&gt;"dead"),H88,0)</f>
        <v>0</v>
      </c>
      <c r="J88" s="13" t="n">
        <f aca="false">IF(AND(ISNUMBER(E88),ISNUMBER(F88),G88&lt;&gt;"dead"),AVERAGE(E88:F88),0)</f>
        <v>0</v>
      </c>
      <c r="K88" s="14" t="str">
        <f aca="false">IF(AND(ISNUMBER(C88),ISNUMBER(D88)),C88-D88,"")</f>
        <v/>
      </c>
      <c r="L88" s="14" t="str">
        <f aca="false">IF(AND(ISNUMBER(E88),ISNUMBER(F88)),E88-F88,"")</f>
        <v/>
      </c>
      <c r="M88" s="14" t="str">
        <f aca="false">IF(AND(ISNUMBER(E88),ISNUMBER(F88)),AVERAGE(E88:F88),"")</f>
        <v/>
      </c>
      <c r="N88" s="14" t="str">
        <f aca="false">IF(H88&gt;0,H88,"")</f>
        <v/>
      </c>
      <c r="O88" s="15" t="str">
        <f aca="false">IF(AND(I88&gt;0,J88&gt;0),LOG10(I88),"")</f>
        <v/>
      </c>
      <c r="P88" s="15" t="str">
        <f aca="false">IF(AND(I88&gt;0,J88&gt;0),LOG10(J88),"")</f>
        <v/>
      </c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3" t="n">
        <f aca="false">IF(AND(ISNUMBER(C89),ISNUMBER(D89)),AVERAGE(C89:D89),0)</f>
        <v>0</v>
      </c>
      <c r="I89" s="13" t="n">
        <f aca="false">IF(AND(H89&gt;0,G89&lt;&gt;"dead"),H89,0)</f>
        <v>0</v>
      </c>
      <c r="J89" s="13" t="n">
        <f aca="false">IF(AND(ISNUMBER(E89),ISNUMBER(F89),G89&lt;&gt;"dead"),AVERAGE(E89:F89),0)</f>
        <v>0</v>
      </c>
      <c r="K89" s="14" t="str">
        <f aca="false">IF(AND(ISNUMBER(C89),ISNUMBER(D89)),C89-D89,"")</f>
        <v/>
      </c>
      <c r="L89" s="14" t="str">
        <f aca="false">IF(AND(ISNUMBER(E89),ISNUMBER(F89)),E89-F89,"")</f>
        <v/>
      </c>
      <c r="M89" s="14" t="str">
        <f aca="false">IF(AND(ISNUMBER(E89),ISNUMBER(F89)),AVERAGE(E89:F89),"")</f>
        <v/>
      </c>
      <c r="N89" s="14" t="str">
        <f aca="false">IF(H89&gt;0,H89,"")</f>
        <v/>
      </c>
      <c r="O89" s="15" t="str">
        <f aca="false">IF(AND(I89&gt;0,J89&gt;0),LOG10(I89),"")</f>
        <v/>
      </c>
      <c r="P89" s="15" t="str">
        <f aca="false">IF(AND(I89&gt;0,J89&gt;0),LOG10(J89),"")</f>
        <v/>
      </c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3" t="n">
        <f aca="false">IF(AND(ISNUMBER(C90),ISNUMBER(D90)),AVERAGE(C90:D90),0)</f>
        <v>0</v>
      </c>
      <c r="I90" s="13" t="n">
        <f aca="false">IF(AND(H90&gt;0,G90&lt;&gt;"dead"),H90,0)</f>
        <v>0</v>
      </c>
      <c r="J90" s="13" t="n">
        <f aca="false">IF(AND(ISNUMBER(E90),ISNUMBER(F90),G90&lt;&gt;"dead"),AVERAGE(E90:F90),0)</f>
        <v>0</v>
      </c>
      <c r="K90" s="14" t="str">
        <f aca="false">IF(AND(ISNUMBER(C90),ISNUMBER(D90)),C90-D90,"")</f>
        <v/>
      </c>
      <c r="L90" s="14" t="str">
        <f aca="false">IF(AND(ISNUMBER(E90),ISNUMBER(F90)),E90-F90,"")</f>
        <v/>
      </c>
      <c r="M90" s="14" t="str">
        <f aca="false">IF(AND(ISNUMBER(E90),ISNUMBER(F90)),AVERAGE(E90:F90),"")</f>
        <v/>
      </c>
      <c r="N90" s="14" t="str">
        <f aca="false">IF(H90&gt;0,H90,"")</f>
        <v/>
      </c>
      <c r="O90" s="15" t="str">
        <f aca="false">IF(AND(I90&gt;0,J90&gt;0),LOG10(I90),"")</f>
        <v/>
      </c>
      <c r="P90" s="15" t="str">
        <f aca="false">IF(AND(I90&gt;0,J90&gt;0),LOG10(J90),"")</f>
        <v/>
      </c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3" t="n">
        <f aca="false">IF(AND(ISNUMBER(C91),ISNUMBER(D91)),AVERAGE(C91:D91),0)</f>
        <v>0</v>
      </c>
      <c r="I91" s="13" t="n">
        <f aca="false">IF(AND(H91&gt;0,G91&lt;&gt;"dead"),H91,0)</f>
        <v>0</v>
      </c>
      <c r="J91" s="13" t="n">
        <f aca="false">IF(AND(ISNUMBER(E91),ISNUMBER(F91),G91&lt;&gt;"dead"),AVERAGE(E91:F91),0)</f>
        <v>0</v>
      </c>
      <c r="K91" s="14" t="str">
        <f aca="false">IF(AND(ISNUMBER(C91),ISNUMBER(D91)),C91-D91,"")</f>
        <v/>
      </c>
      <c r="L91" s="14" t="str">
        <f aca="false">IF(AND(ISNUMBER(E91),ISNUMBER(F91)),E91-F91,"")</f>
        <v/>
      </c>
      <c r="M91" s="14" t="str">
        <f aca="false">IF(AND(ISNUMBER(E91),ISNUMBER(F91)),AVERAGE(E91:F91),"")</f>
        <v/>
      </c>
      <c r="N91" s="14" t="str">
        <f aca="false">IF(H91&gt;0,H91,"")</f>
        <v/>
      </c>
      <c r="O91" s="15" t="str">
        <f aca="false">IF(AND(I91&gt;0,J91&gt;0),LOG10(I91),"")</f>
        <v/>
      </c>
      <c r="P91" s="15" t="str">
        <f aca="false">IF(AND(I91&gt;0,J91&gt;0),LOG10(J91),"")</f>
        <v/>
      </c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3" t="n">
        <f aca="false">IF(AND(ISNUMBER(C92),ISNUMBER(D92)),AVERAGE(C92:D92),0)</f>
        <v>0</v>
      </c>
      <c r="I92" s="13" t="n">
        <f aca="false">IF(AND(H92&gt;0,G92&lt;&gt;"dead"),H92,0)</f>
        <v>0</v>
      </c>
      <c r="J92" s="13" t="n">
        <f aca="false">IF(AND(ISNUMBER(E92),ISNUMBER(F92),G92&lt;&gt;"dead"),AVERAGE(E92:F92),0)</f>
        <v>0</v>
      </c>
      <c r="K92" s="14" t="str">
        <f aca="false">IF(AND(ISNUMBER(C92),ISNUMBER(D92)),C92-D92,"")</f>
        <v/>
      </c>
      <c r="L92" s="14" t="str">
        <f aca="false">IF(AND(ISNUMBER(E92),ISNUMBER(F92)),E92-F92,"")</f>
        <v/>
      </c>
      <c r="M92" s="14" t="str">
        <f aca="false">IF(AND(ISNUMBER(E92),ISNUMBER(F92)),AVERAGE(E92:F92),"")</f>
        <v/>
      </c>
      <c r="N92" s="14" t="str">
        <f aca="false">IF(H92&gt;0,H92,"")</f>
        <v/>
      </c>
      <c r="O92" s="15" t="str">
        <f aca="false">IF(AND(I92&gt;0,J92&gt;0),LOG10(I92),"")</f>
        <v/>
      </c>
      <c r="P92" s="15" t="str">
        <f aca="false">IF(AND(I92&gt;0,J92&gt;0),LOG10(J92),"")</f>
        <v/>
      </c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3" t="n">
        <f aca="false">IF(AND(ISNUMBER(C93),ISNUMBER(D93)),AVERAGE(C93:D93),0)</f>
        <v>0</v>
      </c>
      <c r="I93" s="13" t="n">
        <f aca="false">IF(AND(H93&gt;0,G93&lt;&gt;"dead"),H93,0)</f>
        <v>0</v>
      </c>
      <c r="J93" s="13" t="n">
        <f aca="false">IF(AND(ISNUMBER(E93),ISNUMBER(F93),G93&lt;&gt;"dead"),AVERAGE(E93:F93),0)</f>
        <v>0</v>
      </c>
      <c r="K93" s="14" t="str">
        <f aca="false">IF(AND(ISNUMBER(C93),ISNUMBER(D93)),C93-D93,"")</f>
        <v/>
      </c>
      <c r="L93" s="14" t="str">
        <f aca="false">IF(AND(ISNUMBER(E93),ISNUMBER(F93)),E93-F93,"")</f>
        <v/>
      </c>
      <c r="M93" s="14" t="str">
        <f aca="false">IF(AND(ISNUMBER(E93),ISNUMBER(F93)),AVERAGE(E93:F93),"")</f>
        <v/>
      </c>
      <c r="N93" s="14" t="str">
        <f aca="false">IF(H93&gt;0,H93,"")</f>
        <v/>
      </c>
      <c r="O93" s="15" t="str">
        <f aca="false">IF(AND(I93&gt;0,J93&gt;0),LOG10(I93),"")</f>
        <v/>
      </c>
      <c r="P93" s="15" t="str">
        <f aca="false">IF(AND(I93&gt;0,J93&gt;0),LOG10(J93),"")</f>
        <v/>
      </c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3" t="n">
        <f aca="false">IF(AND(ISNUMBER(C94),ISNUMBER(D94)),AVERAGE(C94:D94),0)</f>
        <v>0</v>
      </c>
      <c r="I94" s="13" t="n">
        <f aca="false">IF(AND(H94&gt;0,G94&lt;&gt;"dead"),H94,0)</f>
        <v>0</v>
      </c>
      <c r="J94" s="13" t="n">
        <f aca="false">IF(AND(ISNUMBER(E94),ISNUMBER(F94),G94&lt;&gt;"dead"),AVERAGE(E94:F94),0)</f>
        <v>0</v>
      </c>
      <c r="K94" s="14" t="str">
        <f aca="false">IF(AND(ISNUMBER(C94),ISNUMBER(D94)),C94-D94,"")</f>
        <v/>
      </c>
      <c r="L94" s="14" t="str">
        <f aca="false">IF(AND(ISNUMBER(E94),ISNUMBER(F94)),E94-F94,"")</f>
        <v/>
      </c>
      <c r="M94" s="14" t="str">
        <f aca="false">IF(AND(ISNUMBER(E94),ISNUMBER(F94)),AVERAGE(E94:F94),"")</f>
        <v/>
      </c>
      <c r="N94" s="14" t="str">
        <f aca="false">IF(H94&gt;0,H94,"")</f>
        <v/>
      </c>
      <c r="O94" s="15" t="str">
        <f aca="false">IF(AND(I94&gt;0,J94&gt;0),LOG10(I94),"")</f>
        <v/>
      </c>
      <c r="P94" s="15" t="str">
        <f aca="false">IF(AND(I94&gt;0,J94&gt;0),LOG10(J94),"")</f>
        <v/>
      </c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3" t="n">
        <f aca="false">IF(AND(ISNUMBER(C95),ISNUMBER(D95)),AVERAGE(C95:D95),0)</f>
        <v>0</v>
      </c>
      <c r="I95" s="13" t="n">
        <f aca="false">IF(AND(H95&gt;0,G95&lt;&gt;"dead"),H95,0)</f>
        <v>0</v>
      </c>
      <c r="J95" s="13" t="n">
        <f aca="false">IF(AND(ISNUMBER(E95),ISNUMBER(F95),G95&lt;&gt;"dead"),AVERAGE(E95:F95),0)</f>
        <v>0</v>
      </c>
      <c r="K95" s="14" t="str">
        <f aca="false">IF(AND(ISNUMBER(C95),ISNUMBER(D95)),C95-D95,"")</f>
        <v/>
      </c>
      <c r="L95" s="14" t="str">
        <f aca="false">IF(AND(ISNUMBER(E95),ISNUMBER(F95)),E95-F95,"")</f>
        <v/>
      </c>
      <c r="M95" s="14" t="str">
        <f aca="false">IF(AND(ISNUMBER(E95),ISNUMBER(F95)),AVERAGE(E95:F95),"")</f>
        <v/>
      </c>
      <c r="N95" s="14" t="str">
        <f aca="false">IF(H95&gt;0,H95,"")</f>
        <v/>
      </c>
      <c r="O95" s="15" t="str">
        <f aca="false">IF(AND(I95&gt;0,J95&gt;0),LOG10(I95),"")</f>
        <v/>
      </c>
      <c r="P95" s="15" t="str">
        <f aca="false">IF(AND(I95&gt;0,J95&gt;0),LOG10(J95),"")</f>
        <v/>
      </c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3" t="n">
        <f aca="false">IF(AND(ISNUMBER(C96),ISNUMBER(D96)),AVERAGE(C96:D96),0)</f>
        <v>0</v>
      </c>
      <c r="I96" s="13" t="n">
        <f aca="false">IF(AND(H96&gt;0,G96&lt;&gt;"dead"),H96,0)</f>
        <v>0</v>
      </c>
      <c r="J96" s="13" t="n">
        <f aca="false">IF(AND(ISNUMBER(E96),ISNUMBER(F96),G96&lt;&gt;"dead"),AVERAGE(E96:F96),0)</f>
        <v>0</v>
      </c>
      <c r="K96" s="14" t="str">
        <f aca="false">IF(AND(ISNUMBER(C96),ISNUMBER(D96)),C96-D96,"")</f>
        <v/>
      </c>
      <c r="L96" s="14" t="str">
        <f aca="false">IF(AND(ISNUMBER(E96),ISNUMBER(F96)),E96-F96,"")</f>
        <v/>
      </c>
      <c r="M96" s="14" t="str">
        <f aca="false">IF(AND(ISNUMBER(E96),ISNUMBER(F96)),AVERAGE(E96:F96),"")</f>
        <v/>
      </c>
      <c r="N96" s="14" t="str">
        <f aca="false">IF(H96&gt;0,H96,"")</f>
        <v/>
      </c>
      <c r="O96" s="15" t="str">
        <f aca="false">IF(AND(I96&gt;0,J96&gt;0),LOG10(I96),"")</f>
        <v/>
      </c>
      <c r="P96" s="15" t="str">
        <f aca="false">IF(AND(I96&gt;0,J96&gt;0),LOG10(J96),"")</f>
        <v/>
      </c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3" t="n">
        <f aca="false">IF(AND(ISNUMBER(C97),ISNUMBER(D97)),AVERAGE(C97:D97),0)</f>
        <v>0</v>
      </c>
      <c r="I97" s="13" t="n">
        <f aca="false">IF(AND(H97&gt;0,G97&lt;&gt;"dead"),H97,0)</f>
        <v>0</v>
      </c>
      <c r="J97" s="13" t="n">
        <f aca="false">IF(AND(ISNUMBER(E97),ISNUMBER(F97),G97&lt;&gt;"dead"),AVERAGE(E97:F97),0)</f>
        <v>0</v>
      </c>
      <c r="K97" s="14" t="str">
        <f aca="false">IF(AND(ISNUMBER(C97),ISNUMBER(D97)),C97-D97,"")</f>
        <v/>
      </c>
      <c r="L97" s="14" t="str">
        <f aca="false">IF(AND(ISNUMBER(E97),ISNUMBER(F97)),E97-F97,"")</f>
        <v/>
      </c>
      <c r="M97" s="14" t="str">
        <f aca="false">IF(AND(ISNUMBER(E97),ISNUMBER(F97)),AVERAGE(E97:F97),"")</f>
        <v/>
      </c>
      <c r="N97" s="14" t="str">
        <f aca="false">IF(H97&gt;0,H97,"")</f>
        <v/>
      </c>
      <c r="O97" s="15" t="str">
        <f aca="false">IF(AND(I97&gt;0,J97&gt;0),LOG10(I97),"")</f>
        <v/>
      </c>
      <c r="P97" s="15" t="str">
        <f aca="false">IF(AND(I97&gt;0,J97&gt;0),LOG10(J97),"")</f>
        <v/>
      </c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3" t="n">
        <f aca="false">IF(AND(ISNUMBER(C98),ISNUMBER(D98)),AVERAGE(C98:D98),0)</f>
        <v>0</v>
      </c>
      <c r="I98" s="13" t="n">
        <f aca="false">IF(AND(H98&gt;0,G98&lt;&gt;"dead"),H98,0)</f>
        <v>0</v>
      </c>
      <c r="J98" s="13" t="n">
        <f aca="false">IF(AND(ISNUMBER(E98),ISNUMBER(F98),G98&lt;&gt;"dead"),AVERAGE(E98:F98),0)</f>
        <v>0</v>
      </c>
      <c r="K98" s="14" t="str">
        <f aca="false">IF(AND(ISNUMBER(C98),ISNUMBER(D98)),C98-D98,"")</f>
        <v/>
      </c>
      <c r="L98" s="14" t="str">
        <f aca="false">IF(AND(ISNUMBER(E98),ISNUMBER(F98)),E98-F98,"")</f>
        <v/>
      </c>
      <c r="M98" s="14" t="str">
        <f aca="false">IF(AND(ISNUMBER(E98),ISNUMBER(F98)),AVERAGE(E98:F98),"")</f>
        <v/>
      </c>
      <c r="N98" s="14" t="str">
        <f aca="false">IF(H98&gt;0,H98,"")</f>
        <v/>
      </c>
      <c r="O98" s="15" t="str">
        <f aca="false">IF(AND(I98&gt;0,J98&gt;0),LOG10(I98),"")</f>
        <v/>
      </c>
      <c r="P98" s="15" t="str">
        <f aca="false">IF(AND(I98&gt;0,J98&gt;0),LOG10(J98),"")</f>
        <v/>
      </c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3" t="n">
        <f aca="false">IF(AND(ISNUMBER(C99),ISNUMBER(D99)),AVERAGE(C99:D99),0)</f>
        <v>0</v>
      </c>
      <c r="I99" s="13" t="n">
        <f aca="false">IF(AND(H99&gt;0,G99&lt;&gt;"dead"),H99,0)</f>
        <v>0</v>
      </c>
      <c r="J99" s="13" t="n">
        <f aca="false">IF(AND(ISNUMBER(E99),ISNUMBER(F99),G99&lt;&gt;"dead"),AVERAGE(E99:F99),0)</f>
        <v>0</v>
      </c>
      <c r="K99" s="14" t="str">
        <f aca="false">IF(AND(ISNUMBER(C99),ISNUMBER(D99)),C99-D99,"")</f>
        <v/>
      </c>
      <c r="L99" s="14" t="str">
        <f aca="false">IF(AND(ISNUMBER(E99),ISNUMBER(F99)),E99-F99,"")</f>
        <v/>
      </c>
      <c r="M99" s="14" t="str">
        <f aca="false">IF(AND(ISNUMBER(E99),ISNUMBER(F99)),AVERAGE(E99:F99),"")</f>
        <v/>
      </c>
      <c r="N99" s="14" t="str">
        <f aca="false">IF(H99&gt;0,H99,"")</f>
        <v/>
      </c>
      <c r="O99" s="15" t="str">
        <f aca="false">IF(AND(I99&gt;0,J99&gt;0),LOG10(I99),"")</f>
        <v/>
      </c>
      <c r="P99" s="15" t="str">
        <f aca="false">IF(AND(I99&gt;0,J99&gt;0),LOG10(J99),"")</f>
        <v/>
      </c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3" t="n">
        <f aca="false">IF(AND(ISNUMBER(C100),ISNUMBER(D100)),AVERAGE(C100:D100),0)</f>
        <v>0</v>
      </c>
      <c r="I100" s="13" t="n">
        <f aca="false">IF(AND(H100&gt;0,G100&lt;&gt;"dead"),H100,0)</f>
        <v>0</v>
      </c>
      <c r="J100" s="13" t="n">
        <f aca="false">IF(AND(ISNUMBER(E100),ISNUMBER(F100),G100&lt;&gt;"dead"),AVERAGE(E100:F100),0)</f>
        <v>0</v>
      </c>
      <c r="K100" s="14" t="str">
        <f aca="false">IF(AND(ISNUMBER(C100),ISNUMBER(D100)),C100-D100,"")</f>
        <v/>
      </c>
      <c r="L100" s="14" t="str">
        <f aca="false">IF(AND(ISNUMBER(E100),ISNUMBER(F100)),E100-F100,"")</f>
        <v/>
      </c>
      <c r="M100" s="14" t="str">
        <f aca="false">IF(AND(ISNUMBER(E100),ISNUMBER(F100)),AVERAGE(E100:F100),"")</f>
        <v/>
      </c>
      <c r="N100" s="14" t="str">
        <f aca="false">IF(H100&gt;0,H100,"")</f>
        <v/>
      </c>
      <c r="O100" s="15" t="str">
        <f aca="false">IF(AND(I100&gt;0,J100&gt;0),LOG10(I100),"")</f>
        <v/>
      </c>
      <c r="P100" s="15" t="str">
        <f aca="false">IF(AND(I100&gt;0,J100&gt;0),LOG10(J100),"")</f>
        <v/>
      </c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3" t="n">
        <f aca="false">IF(AND(ISNUMBER(C101),ISNUMBER(D101)),AVERAGE(C101:D101),0)</f>
        <v>0</v>
      </c>
      <c r="I101" s="13" t="n">
        <f aca="false">IF(AND(H101&gt;0,G101&lt;&gt;"dead"),H101,0)</f>
        <v>0</v>
      </c>
      <c r="J101" s="13" t="n">
        <f aca="false">IF(AND(ISNUMBER(E101),ISNUMBER(F101),G101&lt;&gt;"dead"),AVERAGE(E101:F101),0)</f>
        <v>0</v>
      </c>
      <c r="K101" s="14" t="str">
        <f aca="false">IF(AND(ISNUMBER(C101),ISNUMBER(D101)),C101-D101,"")</f>
        <v/>
      </c>
      <c r="L101" s="14" t="str">
        <f aca="false">IF(AND(ISNUMBER(E101),ISNUMBER(F101)),E101-F101,"")</f>
        <v/>
      </c>
      <c r="M101" s="14" t="str">
        <f aca="false">IF(AND(ISNUMBER(E101),ISNUMBER(F101)),AVERAGE(E101:F101),"")</f>
        <v/>
      </c>
      <c r="N101" s="14" t="str">
        <f aca="false">IF(H101&gt;0,H101,"")</f>
        <v/>
      </c>
      <c r="O101" s="15" t="str">
        <f aca="false">IF(AND(I101&gt;0,J101&gt;0),LOG10(I101),"")</f>
        <v/>
      </c>
      <c r="P101" s="15" t="str">
        <f aca="false">IF(AND(I101&gt;0,J101&gt;0),LOG10(J101),"")</f>
        <v/>
      </c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3" t="n">
        <f aca="false">IF(AND(ISNUMBER(C102),ISNUMBER(D102)),AVERAGE(C102:D102),0)</f>
        <v>0</v>
      </c>
      <c r="I102" s="13" t="n">
        <f aca="false">IF(AND(H102&gt;0,G102&lt;&gt;"dead"),H102,0)</f>
        <v>0</v>
      </c>
      <c r="J102" s="13" t="n">
        <f aca="false">IF(AND(ISNUMBER(E102),ISNUMBER(F102),G102&lt;&gt;"dead"),AVERAGE(E102:F102),0)</f>
        <v>0</v>
      </c>
      <c r="K102" s="14" t="str">
        <f aca="false">IF(AND(ISNUMBER(C102),ISNUMBER(D102)),C102-D102,"")</f>
        <v/>
      </c>
      <c r="L102" s="14" t="str">
        <f aca="false">IF(AND(ISNUMBER(E102),ISNUMBER(F102)),E102-F102,"")</f>
        <v/>
      </c>
      <c r="M102" s="14" t="str">
        <f aca="false">IF(AND(ISNUMBER(E102),ISNUMBER(F102)),AVERAGE(E102:F102),"")</f>
        <v/>
      </c>
      <c r="N102" s="14" t="str">
        <f aca="false">IF(H102&gt;0,H102,"")</f>
        <v/>
      </c>
      <c r="O102" s="15" t="str">
        <f aca="false">IF(AND(I102&gt;0,J102&gt;0),LOG10(I102),"")</f>
        <v/>
      </c>
      <c r="P102" s="15" t="str">
        <f aca="false">IF(AND(I102&gt;0,J102&gt;0),LOG10(J102),"")</f>
        <v/>
      </c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3" t="n">
        <f aca="false">IF(AND(ISNUMBER(C103),ISNUMBER(D103)),AVERAGE(C103:D103),0)</f>
        <v>0</v>
      </c>
      <c r="I103" s="13" t="n">
        <f aca="false">IF(AND(H103&gt;0,G103&lt;&gt;"dead"),H103,0)</f>
        <v>0</v>
      </c>
      <c r="J103" s="13" t="n">
        <f aca="false">IF(AND(ISNUMBER(E103),ISNUMBER(F103),G103&lt;&gt;"dead"),AVERAGE(E103:F103),0)</f>
        <v>0</v>
      </c>
      <c r="K103" s="14" t="str">
        <f aca="false">IF(AND(ISNUMBER(C103),ISNUMBER(D103)),C103-D103,"")</f>
        <v/>
      </c>
      <c r="L103" s="14" t="str">
        <f aca="false">IF(AND(ISNUMBER(E103),ISNUMBER(F103)),E103-F103,"")</f>
        <v/>
      </c>
      <c r="M103" s="14" t="str">
        <f aca="false">IF(AND(ISNUMBER(E103),ISNUMBER(F103)),AVERAGE(E103:F103),"")</f>
        <v/>
      </c>
      <c r="N103" s="14" t="str">
        <f aca="false">IF(H103&gt;0,H103,"")</f>
        <v/>
      </c>
      <c r="O103" s="15" t="str">
        <f aca="false">IF(AND(I103&gt;0,J103&gt;0),LOG10(I103),"")</f>
        <v/>
      </c>
      <c r="P103" s="15" t="str">
        <f aca="false">IF(AND(I103&gt;0,J103&gt;0),LOG10(J103),"")</f>
        <v/>
      </c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3" t="n">
        <f aca="false">IF(AND(ISNUMBER(C104),ISNUMBER(D104)),AVERAGE(C104:D104),0)</f>
        <v>0</v>
      </c>
      <c r="I104" s="13" t="n">
        <f aca="false">IF(AND(H104&gt;0,G104&lt;&gt;"dead"),H104,0)</f>
        <v>0</v>
      </c>
      <c r="J104" s="13" t="n">
        <f aca="false">IF(AND(ISNUMBER(E104),ISNUMBER(F104),G104&lt;&gt;"dead"),AVERAGE(E104:F104),0)</f>
        <v>0</v>
      </c>
      <c r="K104" s="14" t="str">
        <f aca="false">IF(AND(ISNUMBER(C104),ISNUMBER(D104)),C104-D104,"")</f>
        <v/>
      </c>
      <c r="L104" s="14" t="str">
        <f aca="false">IF(AND(ISNUMBER(E104),ISNUMBER(F104)),E104-F104,"")</f>
        <v/>
      </c>
      <c r="M104" s="14" t="str">
        <f aca="false">IF(AND(ISNUMBER(E104),ISNUMBER(F104)),AVERAGE(E104:F104),"")</f>
        <v/>
      </c>
      <c r="N104" s="14" t="str">
        <f aca="false">IF(H104&gt;0,H104,"")</f>
        <v/>
      </c>
      <c r="O104" s="15" t="str">
        <f aca="false">IF(AND(I104&gt;0,J104&gt;0),LOG10(I104),"")</f>
        <v/>
      </c>
      <c r="P104" s="15" t="str">
        <f aca="false">IF(AND(I104&gt;0,J104&gt;0),LOG10(J104),"")</f>
        <v/>
      </c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3" t="n">
        <f aca="false">IF(AND(ISNUMBER(C105),ISNUMBER(D105)),AVERAGE(C105:D105),0)</f>
        <v>0</v>
      </c>
      <c r="I105" s="13" t="n">
        <f aca="false">IF(AND(H105&gt;0,G105&lt;&gt;"dead"),H105,0)</f>
        <v>0</v>
      </c>
      <c r="J105" s="13" t="n">
        <f aca="false">IF(AND(ISNUMBER(E105),ISNUMBER(F105),G105&lt;&gt;"dead"),AVERAGE(E105:F105),0)</f>
        <v>0</v>
      </c>
      <c r="K105" s="14" t="str">
        <f aca="false">IF(AND(ISNUMBER(C105),ISNUMBER(D105)),C105-D105,"")</f>
        <v/>
      </c>
      <c r="L105" s="14" t="str">
        <f aca="false">IF(AND(ISNUMBER(E105),ISNUMBER(F105)),E105-F105,"")</f>
        <v/>
      </c>
      <c r="M105" s="14" t="str">
        <f aca="false">IF(AND(ISNUMBER(E105),ISNUMBER(F105)),AVERAGE(E105:F105),"")</f>
        <v/>
      </c>
      <c r="N105" s="14" t="str">
        <f aca="false">IF(H105&gt;0,H105,"")</f>
        <v/>
      </c>
      <c r="O105" s="15" t="str">
        <f aca="false">IF(AND(I105&gt;0,J105&gt;0),LOG10(I105),"")</f>
        <v/>
      </c>
      <c r="P105" s="15" t="str">
        <f aca="false">IF(AND(I105&gt;0,J105&gt;0),LOG10(J105),"")</f>
        <v/>
      </c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3" t="n">
        <f aca="false">IF(AND(ISNUMBER(C106),ISNUMBER(D106)),AVERAGE(C106:D106),0)</f>
        <v>0</v>
      </c>
      <c r="I106" s="13" t="n">
        <f aca="false">IF(AND(H106&gt;0,G106&lt;&gt;"dead"),H106,0)</f>
        <v>0</v>
      </c>
      <c r="J106" s="13" t="n">
        <f aca="false">IF(AND(ISNUMBER(E106),ISNUMBER(F106),G106&lt;&gt;"dead"),AVERAGE(E106:F106),0)</f>
        <v>0</v>
      </c>
      <c r="K106" s="14" t="str">
        <f aca="false">IF(AND(ISNUMBER(C106),ISNUMBER(D106)),C106-D106,"")</f>
        <v/>
      </c>
      <c r="L106" s="14" t="str">
        <f aca="false">IF(AND(ISNUMBER(E106),ISNUMBER(F106)),E106-F106,"")</f>
        <v/>
      </c>
      <c r="M106" s="14" t="str">
        <f aca="false">IF(AND(ISNUMBER(E106),ISNUMBER(F106)),AVERAGE(E106:F106),"")</f>
        <v/>
      </c>
      <c r="N106" s="14" t="str">
        <f aca="false">IF(H106&gt;0,H106,"")</f>
        <v/>
      </c>
      <c r="O106" s="15" t="str">
        <f aca="false">IF(AND(I106&gt;0,J106&gt;0),LOG10(I106),"")</f>
        <v/>
      </c>
      <c r="P106" s="15" t="str">
        <f aca="false">IF(AND(I106&gt;0,J106&gt;0),LOG10(J106),"")</f>
        <v/>
      </c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3" t="n">
        <f aca="false">IF(AND(ISNUMBER(C107),ISNUMBER(D107)),AVERAGE(C107:D107),0)</f>
        <v>0</v>
      </c>
      <c r="I107" s="13" t="n">
        <f aca="false">IF(AND(H107&gt;0,G107&lt;&gt;"dead"),H107,0)</f>
        <v>0</v>
      </c>
      <c r="J107" s="13" t="n">
        <f aca="false">IF(AND(ISNUMBER(E107),ISNUMBER(F107),G107&lt;&gt;"dead"),AVERAGE(E107:F107),0)</f>
        <v>0</v>
      </c>
      <c r="K107" s="14" t="str">
        <f aca="false">IF(AND(ISNUMBER(C107),ISNUMBER(D107)),C107-D107,"")</f>
        <v/>
      </c>
      <c r="L107" s="14" t="str">
        <f aca="false">IF(AND(ISNUMBER(E107),ISNUMBER(F107)),E107-F107,"")</f>
        <v/>
      </c>
      <c r="M107" s="14" t="str">
        <f aca="false">IF(AND(ISNUMBER(E107),ISNUMBER(F107)),AVERAGE(E107:F107),"")</f>
        <v/>
      </c>
      <c r="N107" s="14" t="str">
        <f aca="false">IF(H107&gt;0,H107,"")</f>
        <v/>
      </c>
      <c r="O107" s="15" t="str">
        <f aca="false">IF(AND(I107&gt;0,J107&gt;0),LOG10(I107),"")</f>
        <v/>
      </c>
      <c r="P107" s="15" t="str">
        <f aca="false">IF(AND(I107&gt;0,J107&gt;0),LOG10(J107),"")</f>
        <v/>
      </c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3" t="n">
        <f aca="false">IF(AND(ISNUMBER(C108),ISNUMBER(D108)),AVERAGE(C108:D108),0)</f>
        <v>0</v>
      </c>
      <c r="I108" s="13" t="n">
        <f aca="false">IF(AND(H108&gt;0,G108&lt;&gt;"dead"),H108,0)</f>
        <v>0</v>
      </c>
      <c r="J108" s="13" t="n">
        <f aca="false">IF(AND(ISNUMBER(E108),ISNUMBER(F108),G108&lt;&gt;"dead"),AVERAGE(E108:F108),0)</f>
        <v>0</v>
      </c>
      <c r="K108" s="14" t="str">
        <f aca="false">IF(AND(ISNUMBER(C108),ISNUMBER(D108)),C108-D108,"")</f>
        <v/>
      </c>
      <c r="L108" s="14" t="str">
        <f aca="false">IF(AND(ISNUMBER(E108),ISNUMBER(F108)),E108-F108,"")</f>
        <v/>
      </c>
      <c r="M108" s="14" t="str">
        <f aca="false">IF(AND(ISNUMBER(E108),ISNUMBER(F108)),AVERAGE(E108:F108),"")</f>
        <v/>
      </c>
      <c r="N108" s="14" t="str">
        <f aca="false">IF(H108&gt;0,H108,"")</f>
        <v/>
      </c>
      <c r="O108" s="15" t="str">
        <f aca="false">IF(AND(I108&gt;0,J108&gt;0),LOG10(I108),"")</f>
        <v/>
      </c>
      <c r="P108" s="15" t="str">
        <f aca="false">IF(AND(I108&gt;0,J108&gt;0),LOG10(J108),"")</f>
        <v/>
      </c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3" t="n">
        <f aca="false">IF(AND(ISNUMBER(C109),ISNUMBER(D109)),AVERAGE(C109:D109),0)</f>
        <v>0</v>
      </c>
      <c r="I109" s="13" t="n">
        <f aca="false">IF(AND(H109&gt;0,G109&lt;&gt;"dead"),H109,0)</f>
        <v>0</v>
      </c>
      <c r="J109" s="13" t="n">
        <f aca="false">IF(AND(ISNUMBER(E109),ISNUMBER(F109),G109&lt;&gt;"dead"),AVERAGE(E109:F109),0)</f>
        <v>0</v>
      </c>
      <c r="K109" s="14" t="str">
        <f aca="false">IF(AND(ISNUMBER(C109),ISNUMBER(D109)),C109-D109,"")</f>
        <v/>
      </c>
      <c r="L109" s="14" t="str">
        <f aca="false">IF(AND(ISNUMBER(E109),ISNUMBER(F109)),E109-F109,"")</f>
        <v/>
      </c>
      <c r="M109" s="14" t="str">
        <f aca="false">IF(AND(ISNUMBER(E109),ISNUMBER(F109)),AVERAGE(E109:F109),"")</f>
        <v/>
      </c>
      <c r="N109" s="14" t="str">
        <f aca="false">IF(H109&gt;0,H109,"")</f>
        <v/>
      </c>
      <c r="O109" s="15" t="str">
        <f aca="false">IF(AND(I109&gt;0,J109&gt;0),LOG10(I109),"")</f>
        <v/>
      </c>
      <c r="P109" s="15" t="str">
        <f aca="false">IF(AND(I109&gt;0,J109&gt;0),LOG10(J109),"")</f>
        <v/>
      </c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3" t="n">
        <f aca="false">IF(AND(ISNUMBER(C110),ISNUMBER(D110)),AVERAGE(C110:D110),0)</f>
        <v>0</v>
      </c>
      <c r="I110" s="13" t="n">
        <f aca="false">IF(AND(H110&gt;0,G110&lt;&gt;"dead"),H110,0)</f>
        <v>0</v>
      </c>
      <c r="J110" s="13" t="n">
        <f aca="false">IF(AND(ISNUMBER(E110),ISNUMBER(F110),G110&lt;&gt;"dead"),AVERAGE(E110:F110),0)</f>
        <v>0</v>
      </c>
      <c r="K110" s="14" t="str">
        <f aca="false">IF(AND(ISNUMBER(C110),ISNUMBER(D110)),C110-D110,"")</f>
        <v/>
      </c>
      <c r="L110" s="14" t="str">
        <f aca="false">IF(AND(ISNUMBER(E110),ISNUMBER(F110)),E110-F110,"")</f>
        <v/>
      </c>
      <c r="M110" s="14" t="str">
        <f aca="false">IF(AND(ISNUMBER(E110),ISNUMBER(F110)),AVERAGE(E110:F110),"")</f>
        <v/>
      </c>
      <c r="N110" s="14" t="str">
        <f aca="false">IF(H110&gt;0,H110,"")</f>
        <v/>
      </c>
      <c r="O110" s="15" t="str">
        <f aca="false">IF(AND(I110&gt;0,J110&gt;0),LOG10(I110),"")</f>
        <v/>
      </c>
      <c r="P110" s="15" t="str">
        <f aca="false">IF(AND(I110&gt;0,J110&gt;0),LOG10(J110),"")</f>
        <v/>
      </c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3" t="n">
        <f aca="false">IF(AND(ISNUMBER(C111),ISNUMBER(D111)),AVERAGE(C111:D111),0)</f>
        <v>0</v>
      </c>
      <c r="I111" s="13" t="n">
        <f aca="false">IF(AND(H111&gt;0,G111&lt;&gt;"dead"),H111,0)</f>
        <v>0</v>
      </c>
      <c r="J111" s="13" t="n">
        <f aca="false">IF(AND(ISNUMBER(E111),ISNUMBER(F111),G111&lt;&gt;"dead"),AVERAGE(E111:F111),0)</f>
        <v>0</v>
      </c>
      <c r="K111" s="14" t="str">
        <f aca="false">IF(AND(ISNUMBER(C111),ISNUMBER(D111)),C111-D111,"")</f>
        <v/>
      </c>
      <c r="L111" s="14" t="str">
        <f aca="false">IF(AND(ISNUMBER(E111),ISNUMBER(F111)),E111-F111,"")</f>
        <v/>
      </c>
      <c r="M111" s="14" t="str">
        <f aca="false">IF(AND(ISNUMBER(E111),ISNUMBER(F111)),AVERAGE(E111:F111),"")</f>
        <v/>
      </c>
      <c r="N111" s="14" t="str">
        <f aca="false">IF(H111&gt;0,H111,"")</f>
        <v/>
      </c>
      <c r="O111" s="15" t="str">
        <f aca="false">IF(AND(I111&gt;0,J111&gt;0),LOG10(I111),"")</f>
        <v/>
      </c>
      <c r="P111" s="15" t="str">
        <f aca="false">IF(AND(I111&gt;0,J111&gt;0),LOG10(J111),"")</f>
        <v/>
      </c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3" t="n">
        <f aca="false">IF(AND(ISNUMBER(C112),ISNUMBER(D112)),AVERAGE(C112:D112),0)</f>
        <v>0</v>
      </c>
      <c r="I112" s="13" t="n">
        <f aca="false">IF(AND(H112&gt;0,G112&lt;&gt;"dead"),H112,0)</f>
        <v>0</v>
      </c>
      <c r="J112" s="13" t="n">
        <f aca="false">IF(AND(ISNUMBER(E112),ISNUMBER(F112),G112&lt;&gt;"dead"),AVERAGE(E112:F112),0)</f>
        <v>0</v>
      </c>
      <c r="K112" s="14" t="str">
        <f aca="false">IF(AND(ISNUMBER(C112),ISNUMBER(D112)),C112-D112,"")</f>
        <v/>
      </c>
      <c r="L112" s="14" t="str">
        <f aca="false">IF(AND(ISNUMBER(E112),ISNUMBER(F112)),E112-F112,"")</f>
        <v/>
      </c>
      <c r="M112" s="14" t="str">
        <f aca="false">IF(AND(ISNUMBER(E112),ISNUMBER(F112)),AVERAGE(E112:F112),"")</f>
        <v/>
      </c>
      <c r="N112" s="14" t="str">
        <f aca="false">IF(H112&gt;0,H112,"")</f>
        <v/>
      </c>
      <c r="O112" s="15" t="str">
        <f aca="false">IF(AND(I112&gt;0,J112&gt;0),LOG10(I112),"")</f>
        <v/>
      </c>
      <c r="P112" s="15" t="str">
        <f aca="false">IF(AND(I112&gt;0,J112&gt;0),LOG10(J112),"")</f>
        <v/>
      </c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3" t="n">
        <f aca="false">IF(AND(ISNUMBER(C113),ISNUMBER(D113)),AVERAGE(C113:D113),0)</f>
        <v>0</v>
      </c>
      <c r="I113" s="13" t="n">
        <f aca="false">IF(AND(H113&gt;0,G113&lt;&gt;"dead"),H113,0)</f>
        <v>0</v>
      </c>
      <c r="J113" s="13" t="n">
        <f aca="false">IF(AND(ISNUMBER(E113),ISNUMBER(F113),G113&lt;&gt;"dead"),AVERAGE(E113:F113),0)</f>
        <v>0</v>
      </c>
      <c r="K113" s="14" t="str">
        <f aca="false">IF(AND(ISNUMBER(C113),ISNUMBER(D113)),C113-D113,"")</f>
        <v/>
      </c>
      <c r="L113" s="14" t="str">
        <f aca="false">IF(AND(ISNUMBER(E113),ISNUMBER(F113)),E113-F113,"")</f>
        <v/>
      </c>
      <c r="M113" s="14" t="str">
        <f aca="false">IF(AND(ISNUMBER(E113),ISNUMBER(F113)),AVERAGE(E113:F113),"")</f>
        <v/>
      </c>
      <c r="N113" s="14" t="str">
        <f aca="false">IF(H113&gt;0,H113,"")</f>
        <v/>
      </c>
      <c r="O113" s="15" t="str">
        <f aca="false">IF(AND(I113&gt;0,J113&gt;0),LOG10(I113),"")</f>
        <v/>
      </c>
      <c r="P113" s="15" t="str">
        <f aca="false">IF(AND(I113&gt;0,J113&gt;0),LOG10(J113),"")</f>
        <v/>
      </c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3" t="n">
        <f aca="false">IF(AND(ISNUMBER(C114),ISNUMBER(D114)),AVERAGE(C114:D114),0)</f>
        <v>0</v>
      </c>
      <c r="I114" s="13" t="n">
        <f aca="false">IF(AND(H114&gt;0,G114&lt;&gt;"dead"),H114,0)</f>
        <v>0</v>
      </c>
      <c r="J114" s="13" t="n">
        <f aca="false">IF(AND(ISNUMBER(E114),ISNUMBER(F114),G114&lt;&gt;"dead"),AVERAGE(E114:F114),0)</f>
        <v>0</v>
      </c>
      <c r="K114" s="14" t="str">
        <f aca="false">IF(AND(ISNUMBER(C114),ISNUMBER(D114)),C114-D114,"")</f>
        <v/>
      </c>
      <c r="L114" s="14" t="str">
        <f aca="false">IF(AND(ISNUMBER(E114),ISNUMBER(F114)),E114-F114,"")</f>
        <v/>
      </c>
      <c r="M114" s="14" t="str">
        <f aca="false">IF(AND(ISNUMBER(E114),ISNUMBER(F114)),AVERAGE(E114:F114),"")</f>
        <v/>
      </c>
      <c r="N114" s="14" t="str">
        <f aca="false">IF(H114&gt;0,H114,"")</f>
        <v/>
      </c>
      <c r="O114" s="15" t="str">
        <f aca="false">IF(AND(I114&gt;0,J114&gt;0),LOG10(I114),"")</f>
        <v/>
      </c>
      <c r="P114" s="15" t="str">
        <f aca="false">IF(AND(I114&gt;0,J114&gt;0),LOG10(J114),"")</f>
        <v/>
      </c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3" t="n">
        <f aca="false">IF(AND(ISNUMBER(C115),ISNUMBER(D115)),AVERAGE(C115:D115),0)</f>
        <v>0</v>
      </c>
      <c r="I115" s="13" t="n">
        <f aca="false">IF(AND(H115&gt;0,G115&lt;&gt;"dead"),H115,0)</f>
        <v>0</v>
      </c>
      <c r="J115" s="13" t="n">
        <f aca="false">IF(AND(ISNUMBER(E115),ISNUMBER(F115),G115&lt;&gt;"dead"),AVERAGE(E115:F115),0)</f>
        <v>0</v>
      </c>
      <c r="K115" s="14" t="str">
        <f aca="false">IF(AND(ISNUMBER(C115),ISNUMBER(D115)),C115-D115,"")</f>
        <v/>
      </c>
      <c r="L115" s="14" t="str">
        <f aca="false">IF(AND(ISNUMBER(E115),ISNUMBER(F115)),E115-F115,"")</f>
        <v/>
      </c>
      <c r="M115" s="14" t="str">
        <f aca="false">IF(AND(ISNUMBER(E115),ISNUMBER(F115)),AVERAGE(E115:F115),"")</f>
        <v/>
      </c>
      <c r="N115" s="14" t="str">
        <f aca="false">IF(H115&gt;0,H115,"")</f>
        <v/>
      </c>
      <c r="O115" s="15" t="str">
        <f aca="false">IF(AND(I115&gt;0,J115&gt;0),LOG10(I115),"")</f>
        <v/>
      </c>
      <c r="P115" s="15" t="str">
        <f aca="false">IF(AND(I115&gt;0,J115&gt;0),LOG10(J115),"")</f>
        <v/>
      </c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3" t="n">
        <f aca="false">IF(AND(ISNUMBER(C116),ISNUMBER(D116)),AVERAGE(C116:D116),0)</f>
        <v>0</v>
      </c>
      <c r="I116" s="13" t="n">
        <f aca="false">IF(AND(H116&gt;0,G116&lt;&gt;"dead"),H116,0)</f>
        <v>0</v>
      </c>
      <c r="J116" s="13" t="n">
        <f aca="false">IF(AND(ISNUMBER(E116),ISNUMBER(F116),G116&lt;&gt;"dead"),AVERAGE(E116:F116),0)</f>
        <v>0</v>
      </c>
      <c r="K116" s="14" t="str">
        <f aca="false">IF(AND(ISNUMBER(C116),ISNUMBER(D116)),C116-D116,"")</f>
        <v/>
      </c>
      <c r="L116" s="14" t="str">
        <f aca="false">IF(AND(ISNUMBER(E116),ISNUMBER(F116)),E116-F116,"")</f>
        <v/>
      </c>
      <c r="M116" s="14" t="str">
        <f aca="false">IF(AND(ISNUMBER(E116),ISNUMBER(F116)),AVERAGE(E116:F116),"")</f>
        <v/>
      </c>
      <c r="N116" s="14" t="str">
        <f aca="false">IF(H116&gt;0,H116,"")</f>
        <v/>
      </c>
      <c r="O116" s="15" t="str">
        <f aca="false">IF(AND(I116&gt;0,J116&gt;0),LOG10(I116),"")</f>
        <v/>
      </c>
      <c r="P116" s="15" t="str">
        <f aca="false">IF(AND(I116&gt;0,J116&gt;0),LOG10(J116),"")</f>
        <v/>
      </c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3" t="n">
        <f aca="false">IF(AND(ISNUMBER(C117),ISNUMBER(D117)),AVERAGE(C117:D117),0)</f>
        <v>0</v>
      </c>
      <c r="I117" s="13" t="n">
        <f aca="false">IF(AND(H117&gt;0,G117&lt;&gt;"dead"),H117,0)</f>
        <v>0</v>
      </c>
      <c r="J117" s="13" t="n">
        <f aca="false">IF(AND(ISNUMBER(E117),ISNUMBER(F117),G117&lt;&gt;"dead"),AVERAGE(E117:F117),0)</f>
        <v>0</v>
      </c>
      <c r="K117" s="14" t="str">
        <f aca="false">IF(AND(ISNUMBER(C117),ISNUMBER(D117)),C117-D117,"")</f>
        <v/>
      </c>
      <c r="L117" s="14" t="str">
        <f aca="false">IF(AND(ISNUMBER(E117),ISNUMBER(F117)),E117-F117,"")</f>
        <v/>
      </c>
      <c r="M117" s="14" t="str">
        <f aca="false">IF(AND(ISNUMBER(E117),ISNUMBER(F117)),AVERAGE(E117:F117),"")</f>
        <v/>
      </c>
      <c r="N117" s="14" t="str">
        <f aca="false">IF(H117&gt;0,H117,"")</f>
        <v/>
      </c>
      <c r="O117" s="15" t="str">
        <f aca="false">IF(AND(I117&gt;0,J117&gt;0),LOG10(I117),"")</f>
        <v/>
      </c>
      <c r="P117" s="15" t="str">
        <f aca="false">IF(AND(I117&gt;0,J117&gt;0),LOG10(J117),"")</f>
        <v/>
      </c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3" t="n">
        <f aca="false">IF(AND(ISNUMBER(C118),ISNUMBER(D118)),AVERAGE(C118:D118),0)</f>
        <v>0</v>
      </c>
      <c r="I118" s="13" t="n">
        <f aca="false">IF(AND(H118&gt;0,G118&lt;&gt;"dead"),H118,0)</f>
        <v>0</v>
      </c>
      <c r="J118" s="13" t="n">
        <f aca="false">IF(AND(ISNUMBER(E118),ISNUMBER(F118),G118&lt;&gt;"dead"),AVERAGE(E118:F118),0)</f>
        <v>0</v>
      </c>
      <c r="K118" s="14" t="str">
        <f aca="false">IF(AND(ISNUMBER(C118),ISNUMBER(D118)),C118-D118,"")</f>
        <v/>
      </c>
      <c r="L118" s="14" t="str">
        <f aca="false">IF(AND(ISNUMBER(E118),ISNUMBER(F118)),E118-F118,"")</f>
        <v/>
      </c>
      <c r="M118" s="14" t="str">
        <f aca="false">IF(AND(ISNUMBER(E118),ISNUMBER(F118)),AVERAGE(E118:F118),"")</f>
        <v/>
      </c>
      <c r="N118" s="14" t="str">
        <f aca="false">IF(H118&gt;0,H118,"")</f>
        <v/>
      </c>
      <c r="O118" s="15" t="str">
        <f aca="false">IF(AND(I118&gt;0,J118&gt;0),LOG10(I118),"")</f>
        <v/>
      </c>
      <c r="P118" s="15" t="str">
        <f aca="false">IF(AND(I118&gt;0,J118&gt;0),LOG10(J118),"")</f>
        <v/>
      </c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3" t="n">
        <f aca="false">IF(AND(ISNUMBER(C119),ISNUMBER(D119)),AVERAGE(C119:D119),0)</f>
        <v>0</v>
      </c>
      <c r="I119" s="13" t="n">
        <f aca="false">IF(AND(H119&gt;0,G119&lt;&gt;"dead"),H119,0)</f>
        <v>0</v>
      </c>
      <c r="J119" s="13" t="n">
        <f aca="false">IF(AND(ISNUMBER(E119),ISNUMBER(F119),G119&lt;&gt;"dead"),AVERAGE(E119:F119),0)</f>
        <v>0</v>
      </c>
      <c r="K119" s="14" t="str">
        <f aca="false">IF(AND(ISNUMBER(C119),ISNUMBER(D119)),C119-D119,"")</f>
        <v/>
      </c>
      <c r="L119" s="14" t="str">
        <f aca="false">IF(AND(ISNUMBER(E119),ISNUMBER(F119)),E119-F119,"")</f>
        <v/>
      </c>
      <c r="M119" s="14" t="str">
        <f aca="false">IF(AND(ISNUMBER(E119),ISNUMBER(F119)),AVERAGE(E119:F119),"")</f>
        <v/>
      </c>
      <c r="N119" s="14" t="str">
        <f aca="false">IF(H119&gt;0,H119,"")</f>
        <v/>
      </c>
      <c r="O119" s="15" t="str">
        <f aca="false">IF(AND(I119&gt;0,J119&gt;0),LOG10(I119),"")</f>
        <v/>
      </c>
      <c r="P119" s="15" t="str">
        <f aca="false">IF(AND(I119&gt;0,J119&gt;0),LOG10(J119),"")</f>
        <v/>
      </c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3" t="n">
        <f aca="false">IF(AND(ISNUMBER(C120),ISNUMBER(D120)),AVERAGE(C120:D120),0)</f>
        <v>0</v>
      </c>
      <c r="I120" s="13" t="n">
        <f aca="false">IF(AND(H120&gt;0,G120&lt;&gt;"dead"),H120,0)</f>
        <v>0</v>
      </c>
      <c r="J120" s="13" t="n">
        <f aca="false">IF(AND(ISNUMBER(E120),ISNUMBER(F120),G120&lt;&gt;"dead"),AVERAGE(E120:F120),0)</f>
        <v>0</v>
      </c>
      <c r="K120" s="14" t="str">
        <f aca="false">IF(AND(ISNUMBER(C120),ISNUMBER(D120)),C120-D120,"")</f>
        <v/>
      </c>
      <c r="L120" s="14" t="str">
        <f aca="false">IF(AND(ISNUMBER(E120),ISNUMBER(F120)),E120-F120,"")</f>
        <v/>
      </c>
      <c r="M120" s="14" t="str">
        <f aca="false">IF(AND(ISNUMBER(E120),ISNUMBER(F120)),AVERAGE(E120:F120),"")</f>
        <v/>
      </c>
      <c r="N120" s="14" t="str">
        <f aca="false">IF(H120&gt;0,H120,"")</f>
        <v/>
      </c>
      <c r="O120" s="15" t="str">
        <f aca="false">IF(AND(I120&gt;0,J120&gt;0),LOG10(I120),"")</f>
        <v/>
      </c>
      <c r="P120" s="15" t="str">
        <f aca="false">IF(AND(I120&gt;0,J120&gt;0),LOG10(J120),"")</f>
        <v/>
      </c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3" t="n">
        <f aca="false">IF(AND(ISNUMBER(C121),ISNUMBER(D121)),AVERAGE(C121:D121),0)</f>
        <v>0</v>
      </c>
      <c r="I121" s="13" t="n">
        <f aca="false">IF(AND(H121&gt;0,G121&lt;&gt;"dead"),H121,0)</f>
        <v>0</v>
      </c>
      <c r="J121" s="13" t="n">
        <f aca="false">IF(AND(ISNUMBER(E121),ISNUMBER(F121),G121&lt;&gt;"dead"),AVERAGE(E121:F121),0)</f>
        <v>0</v>
      </c>
      <c r="K121" s="14" t="str">
        <f aca="false">IF(AND(ISNUMBER(C121),ISNUMBER(D121)),C121-D121,"")</f>
        <v/>
      </c>
      <c r="L121" s="14" t="str">
        <f aca="false">IF(AND(ISNUMBER(E121),ISNUMBER(F121)),E121-F121,"")</f>
        <v/>
      </c>
      <c r="M121" s="14" t="str">
        <f aca="false">IF(AND(ISNUMBER(E121),ISNUMBER(F121)),AVERAGE(E121:F121),"")</f>
        <v/>
      </c>
      <c r="N121" s="14" t="str">
        <f aca="false">IF(H121&gt;0,H121,"")</f>
        <v/>
      </c>
      <c r="O121" s="15" t="str">
        <f aca="false">IF(AND(I121&gt;0,J121&gt;0),LOG10(I121),"")</f>
        <v/>
      </c>
      <c r="P121" s="15" t="str">
        <f aca="false">IF(AND(I121&gt;0,J121&gt;0),LOG10(J121),"")</f>
        <v/>
      </c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3" t="n">
        <f aca="false">IF(AND(ISNUMBER(C122),ISNUMBER(D122)),AVERAGE(C122:D122),0)</f>
        <v>0</v>
      </c>
      <c r="I122" s="13" t="n">
        <f aca="false">IF(AND(H122&gt;0,G122&lt;&gt;"dead"),H122,0)</f>
        <v>0</v>
      </c>
      <c r="J122" s="13" t="n">
        <f aca="false">IF(AND(ISNUMBER(E122),ISNUMBER(F122),G122&lt;&gt;"dead"),AVERAGE(E122:F122),0)</f>
        <v>0</v>
      </c>
      <c r="K122" s="14" t="str">
        <f aca="false">IF(AND(ISNUMBER(C122),ISNUMBER(D122)),C122-D122,"")</f>
        <v/>
      </c>
      <c r="L122" s="14" t="str">
        <f aca="false">IF(AND(ISNUMBER(E122),ISNUMBER(F122)),E122-F122,"")</f>
        <v/>
      </c>
      <c r="M122" s="14" t="str">
        <f aca="false">IF(AND(ISNUMBER(E122),ISNUMBER(F122)),AVERAGE(E122:F122),"")</f>
        <v/>
      </c>
      <c r="N122" s="14" t="str">
        <f aca="false">IF(H122&gt;0,H122,"")</f>
        <v/>
      </c>
      <c r="O122" s="15" t="str">
        <f aca="false">IF(AND(I122&gt;0,J122&gt;0),LOG10(I122),"")</f>
        <v/>
      </c>
      <c r="P122" s="15" t="str">
        <f aca="false">IF(AND(I122&gt;0,J122&gt;0),LOG10(J122),"")</f>
        <v/>
      </c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3" t="n">
        <f aca="false">IF(AND(ISNUMBER(C123),ISNUMBER(D123)),AVERAGE(C123:D123),0)</f>
        <v>0</v>
      </c>
      <c r="I123" s="13" t="n">
        <f aca="false">IF(AND(H123&gt;0,G123&lt;&gt;"dead"),H123,0)</f>
        <v>0</v>
      </c>
      <c r="J123" s="13" t="n">
        <f aca="false">IF(AND(ISNUMBER(E123),ISNUMBER(F123),G123&lt;&gt;"dead"),AVERAGE(E123:F123),0)</f>
        <v>0</v>
      </c>
      <c r="K123" s="14" t="str">
        <f aca="false">IF(AND(ISNUMBER(C123),ISNUMBER(D123)),C123-D123,"")</f>
        <v/>
      </c>
      <c r="L123" s="14" t="str">
        <f aca="false">IF(AND(ISNUMBER(E123),ISNUMBER(F123)),E123-F123,"")</f>
        <v/>
      </c>
      <c r="M123" s="14" t="str">
        <f aca="false">IF(AND(ISNUMBER(E123),ISNUMBER(F123)),AVERAGE(E123:F123),"")</f>
        <v/>
      </c>
      <c r="N123" s="14" t="str">
        <f aca="false">IF(H123&gt;0,H123,"")</f>
        <v/>
      </c>
      <c r="O123" s="15" t="str">
        <f aca="false">IF(AND(I123&gt;0,J123&gt;0),LOG10(I123),"")</f>
        <v/>
      </c>
      <c r="P123" s="15" t="str">
        <f aca="false">IF(AND(I123&gt;0,J123&gt;0),LOG10(J123),"")</f>
        <v/>
      </c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3" t="n">
        <f aca="false">IF(AND(ISNUMBER(C124),ISNUMBER(D124)),AVERAGE(C124:D124),0)</f>
        <v>0</v>
      </c>
      <c r="I124" s="13" t="n">
        <f aca="false">IF(AND(H124&gt;0,G124&lt;&gt;"dead"),H124,0)</f>
        <v>0</v>
      </c>
      <c r="J124" s="13" t="n">
        <f aca="false">IF(AND(ISNUMBER(E124),ISNUMBER(F124),G124&lt;&gt;"dead"),AVERAGE(E124:F124),0)</f>
        <v>0</v>
      </c>
      <c r="K124" s="14" t="str">
        <f aca="false">IF(AND(ISNUMBER(C124),ISNUMBER(D124)),C124-D124,"")</f>
        <v/>
      </c>
      <c r="L124" s="14" t="str">
        <f aca="false">IF(AND(ISNUMBER(E124),ISNUMBER(F124)),E124-F124,"")</f>
        <v/>
      </c>
      <c r="M124" s="14" t="str">
        <f aca="false">IF(AND(ISNUMBER(E124),ISNUMBER(F124)),AVERAGE(E124:F124),"")</f>
        <v/>
      </c>
      <c r="N124" s="14" t="str">
        <f aca="false">IF(H124&gt;0,H124,"")</f>
        <v/>
      </c>
      <c r="O124" s="15" t="str">
        <f aca="false">IF(AND(I124&gt;0,J124&gt;0),LOG10(I124),"")</f>
        <v/>
      </c>
      <c r="P124" s="15" t="str">
        <f aca="false">IF(AND(I124&gt;0,J124&gt;0),LOG10(J124),"")</f>
        <v/>
      </c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3" t="n">
        <f aca="false">IF(AND(ISNUMBER(C125),ISNUMBER(D125)),AVERAGE(C125:D125),0)</f>
        <v>0</v>
      </c>
      <c r="I125" s="13" t="n">
        <f aca="false">IF(AND(H125&gt;0,G125&lt;&gt;"dead"),H125,0)</f>
        <v>0</v>
      </c>
      <c r="J125" s="13" t="n">
        <f aca="false">IF(AND(ISNUMBER(E125),ISNUMBER(F125),G125&lt;&gt;"dead"),AVERAGE(E125:F125),0)</f>
        <v>0</v>
      </c>
      <c r="K125" s="14" t="str">
        <f aca="false">IF(AND(ISNUMBER(C125),ISNUMBER(D125)),C125-D125,"")</f>
        <v/>
      </c>
      <c r="L125" s="14" t="str">
        <f aca="false">IF(AND(ISNUMBER(E125),ISNUMBER(F125)),E125-F125,"")</f>
        <v/>
      </c>
      <c r="M125" s="14" t="str">
        <f aca="false">IF(AND(ISNUMBER(E125),ISNUMBER(F125)),AVERAGE(E125:F125),"")</f>
        <v/>
      </c>
      <c r="N125" s="14" t="str">
        <f aca="false">IF(H125&gt;0,H125,"")</f>
        <v/>
      </c>
      <c r="O125" s="15" t="str">
        <f aca="false">IF(AND(I125&gt;0,J125&gt;0),LOG10(I125),"")</f>
        <v/>
      </c>
      <c r="P125" s="15" t="str">
        <f aca="false">IF(AND(I125&gt;0,J125&gt;0),LOG10(J125),"")</f>
        <v/>
      </c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3" t="n">
        <f aca="false">IF(AND(ISNUMBER(C126),ISNUMBER(D126)),AVERAGE(C126:D126),0)</f>
        <v>0</v>
      </c>
      <c r="I126" s="13" t="n">
        <f aca="false">IF(AND(H126&gt;0,G126&lt;&gt;"dead"),H126,0)</f>
        <v>0</v>
      </c>
      <c r="J126" s="13" t="n">
        <f aca="false">IF(AND(ISNUMBER(E126),ISNUMBER(F126),G126&lt;&gt;"dead"),AVERAGE(E126:F126),0)</f>
        <v>0</v>
      </c>
      <c r="K126" s="14" t="str">
        <f aca="false">IF(AND(ISNUMBER(C126),ISNUMBER(D126)),C126-D126,"")</f>
        <v/>
      </c>
      <c r="L126" s="14" t="str">
        <f aca="false">IF(AND(ISNUMBER(E126),ISNUMBER(F126)),E126-F126,"")</f>
        <v/>
      </c>
      <c r="M126" s="14" t="str">
        <f aca="false">IF(AND(ISNUMBER(E126),ISNUMBER(F126)),AVERAGE(E126:F126),"")</f>
        <v/>
      </c>
      <c r="N126" s="14" t="str">
        <f aca="false">IF(H126&gt;0,H126,"")</f>
        <v/>
      </c>
      <c r="O126" s="15" t="str">
        <f aca="false">IF(AND(I126&gt;0,J126&gt;0),LOG10(I126),"")</f>
        <v/>
      </c>
      <c r="P126" s="15" t="str">
        <f aca="false">IF(AND(I126&gt;0,J126&gt;0),LOG10(J126),"")</f>
        <v/>
      </c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3" t="n">
        <f aca="false">IF(AND(ISNUMBER(C127),ISNUMBER(D127)),AVERAGE(C127:D127),0)</f>
        <v>0</v>
      </c>
      <c r="I127" s="13" t="n">
        <f aca="false">IF(AND(H127&gt;0,G127&lt;&gt;"dead"),H127,0)</f>
        <v>0</v>
      </c>
      <c r="J127" s="13" t="n">
        <f aca="false">IF(AND(ISNUMBER(E127),ISNUMBER(F127),G127&lt;&gt;"dead"),AVERAGE(E127:F127),0)</f>
        <v>0</v>
      </c>
      <c r="K127" s="14" t="str">
        <f aca="false">IF(AND(ISNUMBER(C127),ISNUMBER(D127)),C127-D127,"")</f>
        <v/>
      </c>
      <c r="L127" s="14" t="str">
        <f aca="false">IF(AND(ISNUMBER(E127),ISNUMBER(F127)),E127-F127,"")</f>
        <v/>
      </c>
      <c r="M127" s="14" t="str">
        <f aca="false">IF(AND(ISNUMBER(E127),ISNUMBER(F127)),AVERAGE(E127:F127),"")</f>
        <v/>
      </c>
      <c r="N127" s="14" t="str">
        <f aca="false">IF(H127&gt;0,H127,"")</f>
        <v/>
      </c>
      <c r="O127" s="15" t="str">
        <f aca="false">IF(AND(I127&gt;0,J127&gt;0),LOG10(I127),"")</f>
        <v/>
      </c>
      <c r="P127" s="15" t="str">
        <f aca="false">IF(AND(I127&gt;0,J127&gt;0),LOG10(J127),"")</f>
        <v/>
      </c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3" t="n">
        <f aca="false">IF(AND(ISNUMBER(C128),ISNUMBER(D128)),AVERAGE(C128:D128),0)</f>
        <v>0</v>
      </c>
      <c r="I128" s="13" t="n">
        <f aca="false">IF(AND(H128&gt;0,G128&lt;&gt;"dead"),H128,0)</f>
        <v>0</v>
      </c>
      <c r="J128" s="13" t="n">
        <f aca="false">IF(AND(ISNUMBER(E128),ISNUMBER(F128),G128&lt;&gt;"dead"),AVERAGE(E128:F128),0)</f>
        <v>0</v>
      </c>
      <c r="K128" s="14" t="str">
        <f aca="false">IF(AND(ISNUMBER(C128),ISNUMBER(D128)),C128-D128,"")</f>
        <v/>
      </c>
      <c r="L128" s="14" t="str">
        <f aca="false">IF(AND(ISNUMBER(E128),ISNUMBER(F128)),E128-F128,"")</f>
        <v/>
      </c>
      <c r="M128" s="14" t="str">
        <f aca="false">IF(AND(ISNUMBER(E128),ISNUMBER(F128)),AVERAGE(E128:F128),"")</f>
        <v/>
      </c>
      <c r="N128" s="14" t="str">
        <f aca="false">IF(H128&gt;0,H128,"")</f>
        <v/>
      </c>
      <c r="O128" s="15" t="str">
        <f aca="false">IF(AND(I128&gt;0,J128&gt;0),LOG10(I128),"")</f>
        <v/>
      </c>
      <c r="P128" s="15" t="str">
        <f aca="false">IF(AND(I128&gt;0,J128&gt;0),LOG10(J128),"")</f>
        <v/>
      </c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3" t="n">
        <f aca="false">IF(AND(ISNUMBER(C129),ISNUMBER(D129)),AVERAGE(C129:D129),0)</f>
        <v>0</v>
      </c>
      <c r="I129" s="13" t="n">
        <f aca="false">IF(AND(H129&gt;0,G129&lt;&gt;"dead"),H129,0)</f>
        <v>0</v>
      </c>
      <c r="J129" s="13" t="n">
        <f aca="false">IF(AND(ISNUMBER(E129),ISNUMBER(F129),G129&lt;&gt;"dead"),AVERAGE(E129:F129),0)</f>
        <v>0</v>
      </c>
      <c r="K129" s="14" t="str">
        <f aca="false">IF(AND(ISNUMBER(C129),ISNUMBER(D129)),C129-D129,"")</f>
        <v/>
      </c>
      <c r="L129" s="14" t="str">
        <f aca="false">IF(AND(ISNUMBER(E129),ISNUMBER(F129)),E129-F129,"")</f>
        <v/>
      </c>
      <c r="M129" s="14" t="str">
        <f aca="false">IF(AND(ISNUMBER(E129),ISNUMBER(F129)),AVERAGE(E129:F129),"")</f>
        <v/>
      </c>
      <c r="N129" s="14" t="str">
        <f aca="false">IF(H129&gt;0,H129,"")</f>
        <v/>
      </c>
      <c r="O129" s="15" t="str">
        <f aca="false">IF(AND(I129&gt;0,J129&gt;0),LOG10(I129),"")</f>
        <v/>
      </c>
      <c r="P129" s="15" t="str">
        <f aca="false">IF(AND(I129&gt;0,J129&gt;0),LOG10(J129),"")</f>
        <v/>
      </c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3" t="n">
        <f aca="false">IF(AND(ISNUMBER(C130),ISNUMBER(D130)),AVERAGE(C130:D130),0)</f>
        <v>0</v>
      </c>
      <c r="I130" s="13" t="n">
        <f aca="false">IF(AND(H130&gt;0,G130&lt;&gt;"dead"),H130,0)</f>
        <v>0</v>
      </c>
      <c r="J130" s="13" t="n">
        <f aca="false">IF(AND(ISNUMBER(E130),ISNUMBER(F130),G130&lt;&gt;"dead"),AVERAGE(E130:F130),0)</f>
        <v>0</v>
      </c>
      <c r="K130" s="14" t="str">
        <f aca="false">IF(AND(ISNUMBER(C130),ISNUMBER(D130)),C130-D130,"")</f>
        <v/>
      </c>
      <c r="L130" s="14" t="str">
        <f aca="false">IF(AND(ISNUMBER(E130),ISNUMBER(F130)),E130-F130,"")</f>
        <v/>
      </c>
      <c r="M130" s="14" t="str">
        <f aca="false">IF(AND(ISNUMBER(E130),ISNUMBER(F130)),AVERAGE(E130:F130),"")</f>
        <v/>
      </c>
      <c r="N130" s="14" t="str">
        <f aca="false">IF(H130&gt;0,H130,"")</f>
        <v/>
      </c>
      <c r="O130" s="15" t="str">
        <f aca="false">IF(AND(I130&gt;0,J130&gt;0),LOG10(I130),"")</f>
        <v/>
      </c>
      <c r="P130" s="15" t="str">
        <f aca="false">IF(AND(I130&gt;0,J130&gt;0),LOG10(J130),"")</f>
        <v/>
      </c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3" t="n">
        <f aca="false">IF(AND(ISNUMBER(C131),ISNUMBER(D131)),AVERAGE(C131:D131),0)</f>
        <v>0</v>
      </c>
      <c r="I131" s="13" t="n">
        <f aca="false">IF(AND(H131&gt;0,G131&lt;&gt;"dead"),H131,0)</f>
        <v>0</v>
      </c>
      <c r="J131" s="13" t="n">
        <f aca="false">IF(AND(ISNUMBER(E131),ISNUMBER(F131),G131&lt;&gt;"dead"),AVERAGE(E131:F131),0)</f>
        <v>0</v>
      </c>
      <c r="K131" s="14" t="str">
        <f aca="false">IF(AND(ISNUMBER(C131),ISNUMBER(D131)),C131-D131,"")</f>
        <v/>
      </c>
      <c r="L131" s="14" t="str">
        <f aca="false">IF(AND(ISNUMBER(E131),ISNUMBER(F131)),E131-F131,"")</f>
        <v/>
      </c>
      <c r="M131" s="14" t="str">
        <f aca="false">IF(AND(ISNUMBER(E131),ISNUMBER(F131)),AVERAGE(E131:F131),"")</f>
        <v/>
      </c>
      <c r="N131" s="14" t="str">
        <f aca="false">IF(H131&gt;0,H131,"")</f>
        <v/>
      </c>
      <c r="O131" s="15" t="str">
        <f aca="false">IF(AND(I131&gt;0,J131&gt;0),LOG10(I131),"")</f>
        <v/>
      </c>
      <c r="P131" s="15" t="str">
        <f aca="false">IF(AND(I131&gt;0,J131&gt;0),LOG10(J131),"")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C12:F13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119</v>
      </c>
    </row>
    <row r="2" customFormat="false" ht="15" hidden="false" customHeight="false" outlineLevel="0" collapsed="false">
      <c r="B2" s="8" t="s">
        <v>120</v>
      </c>
    </row>
    <row r="4" customFormat="false" ht="15" hidden="false" customHeight="false" outlineLevel="0" collapsed="false">
      <c r="B4" s="9" t="s">
        <v>121</v>
      </c>
    </row>
    <row r="5" customFormat="false" ht="15" hidden="false" customHeight="false" outlineLevel="0" collapsed="false">
      <c r="B5" s="16" t="s">
        <v>122</v>
      </c>
      <c r="C5" s="11" t="s">
        <v>23</v>
      </c>
      <c r="D5" s="8"/>
    </row>
    <row r="7" customFormat="false" ht="15" hidden="false" customHeight="false" outlineLevel="0" collapsed="false">
      <c r="B7" s="9" t="s">
        <v>123</v>
      </c>
    </row>
    <row r="8" customFormat="false" ht="15" hidden="false" customHeight="false" outlineLevel="0" collapsed="false">
      <c r="B8" s="16" t="s">
        <v>124</v>
      </c>
      <c r="C8" s="17" t="n">
        <f aca="false">IFERROR(COUNT('Enter data'!$K$12:$K$131),"")</f>
        <v>75</v>
      </c>
    </row>
    <row r="9" customFormat="false" ht="15" hidden="false" customHeight="false" outlineLevel="0" collapsed="false">
      <c r="B9" s="16" t="s">
        <v>125</v>
      </c>
      <c r="C9" s="18" t="n">
        <f aca="false">IFERROR(2*VAR('Enter data'!$N$12:$N$131),"")</f>
        <v>14.0848054054054</v>
      </c>
    </row>
    <row r="10" customFormat="false" ht="15" hidden="false" customHeight="false" outlineLevel="0" collapsed="false">
      <c r="B10" s="16" t="s">
        <v>126</v>
      </c>
      <c r="C10" s="18" t="n">
        <f aca="false">IFERROR(SUMSQ('Enter data'!$K$12:$K$131)/(2*$C$8),"")</f>
        <v>0.0662666666666667</v>
      </c>
    </row>
    <row r="11" customFormat="false" ht="15" hidden="false" customHeight="false" outlineLevel="0" collapsed="false">
      <c r="B11" s="16" t="s">
        <v>127</v>
      </c>
      <c r="C11" s="19" t="n">
        <f aca="false">IFERROR(($C$9-$C$10)/($C$9+$C$10),"")</f>
        <v>0.990634396273418</v>
      </c>
    </row>
    <row r="12" customFormat="false" ht="15" hidden="false" customHeight="false" outlineLevel="0" collapsed="false">
      <c r="B12" s="16" t="s">
        <v>128</v>
      </c>
      <c r="C12" s="17" t="n">
        <f aca="false">IFERROR(COUNT('Enter data'!$L$12:$L$131),"")</f>
        <v>75</v>
      </c>
    </row>
    <row r="13" customFormat="false" ht="15" hidden="false" customHeight="false" outlineLevel="0" collapsed="false">
      <c r="B13" s="16" t="s">
        <v>125</v>
      </c>
      <c r="C13" s="18" t="n">
        <f aca="false">IFERROR(2*VAR('Enter data'!$M$12:$M$131),"")</f>
        <v>10.393418018018</v>
      </c>
    </row>
    <row r="14" customFormat="false" ht="15" hidden="false" customHeight="false" outlineLevel="0" collapsed="false">
      <c r="B14" s="16" t="s">
        <v>126</v>
      </c>
      <c r="C14" s="18" t="n">
        <f aca="false">IFERROR(SUMSQ('Enter data'!$L$12:$L$131)/(2*$C$12),"")</f>
        <v>0.1116</v>
      </c>
    </row>
    <row r="15" customFormat="false" ht="15" hidden="false" customHeight="false" outlineLevel="0" collapsed="false">
      <c r="B15" s="16" t="s">
        <v>127</v>
      </c>
      <c r="C15" s="19" t="n">
        <f aca="false">IFERROR(($C$13-$C$14)/($C$13+$C$14),"")</f>
        <v>0.978753011216433</v>
      </c>
    </row>
    <row r="17" customFormat="false" ht="15" hidden="false" customHeight="false" outlineLevel="0" collapsed="false">
      <c r="B17" s="9" t="s">
        <v>129</v>
      </c>
    </row>
    <row r="18" customFormat="false" ht="30" hidden="false" customHeight="true" outlineLevel="0" collapsed="false">
      <c r="B18" s="10" t="s">
        <v>130</v>
      </c>
      <c r="C18" s="10" t="s">
        <v>131</v>
      </c>
      <c r="D18" s="10" t="s">
        <v>132</v>
      </c>
      <c r="E18" s="10" t="s">
        <v>133</v>
      </c>
      <c r="F18" s="10" t="s">
        <v>134</v>
      </c>
    </row>
    <row r="19" customFormat="false" ht="15" hidden="false" customHeight="false" outlineLevel="0" collapsed="false">
      <c r="B19" s="20" t="str">
        <f aca="false">IFERROR('Enter data'!$A$6,"")</f>
        <v>Site_A</v>
      </c>
      <c r="C19" s="21" t="n">
        <f aca="false">IFERROR(COUNTIFS('Enter data'!$B$12:$B$131,'Enter data'!$A$6,'Enter data'!$I$12:$I$131,"&lt;&gt;0"),"")</f>
        <v>30</v>
      </c>
      <c r="D19" s="22" t="n">
        <f aca="false">IFERROR(AVERAGEIFS('Enter data'!$I$12:$I$131,'Enter data'!$B$12:$B$131,'Enter data'!$A$6,'Enter data'!$I$12:$I$131,"&lt;&gt;0"),"")</f>
        <v>22.25</v>
      </c>
      <c r="E19" s="22" t="n">
        <f aca="false">IFERROR(SQRT(MAX(0,(SUMPRODUCT(('Enter data'!$B$12:$B$131='Enter data'!$A$6)*('Enter data'!$I$12:$I$131&lt;&gt;0)*'Enter data'!$I$12:$I$131^2)-C19*D19^2)/(C19-1))),"")</f>
        <v>2.28982005015001</v>
      </c>
      <c r="F19" s="22" t="n">
        <f aca="false">IFERROR(E19/SQRT(C19),"")</f>
        <v>0.418062031364923</v>
      </c>
    </row>
    <row r="20" customFormat="false" ht="15" hidden="false" customHeight="false" outlineLevel="0" collapsed="false">
      <c r="B20" s="20" t="str">
        <f aca="false">IFERROR('Enter data'!$B$6,"")</f>
        <v>Site_B</v>
      </c>
      <c r="C20" s="21" t="n">
        <f aca="false">IFERROR(COUNTIFS('Enter data'!$B$12:$B$131,'Enter data'!$B$6,'Enter data'!$I$12:$I$131,"&lt;&gt;0"),"")</f>
        <v>30</v>
      </c>
      <c r="D20" s="22" t="n">
        <f aca="false">IFERROR(AVERAGEIFS('Enter data'!$I$12:$I$131,'Enter data'!$B$12:$B$131,'Enter data'!$B$6,'Enter data'!$I$12:$I$131,"&lt;&gt;0"),"")</f>
        <v>25.2983333333333</v>
      </c>
      <c r="E20" s="22" t="n">
        <f aca="false">IFERROR(SQRT(MAX(0,(SUMPRODUCT(('Enter data'!$B$12:$B$131='Enter data'!$B$6)*('Enter data'!$I$12:$I$131&lt;&gt;0)*'Enter data'!$I$12:$I$131^2)-C20*D20^2)/(C20-1))),"")</f>
        <v>1.39001881240881</v>
      </c>
      <c r="F20" s="22" t="n">
        <f aca="false">IFERROR(E20/SQRT(C20),"")</f>
        <v>0.253781552970949</v>
      </c>
    </row>
    <row r="22" customFormat="false" ht="15" hidden="false" customHeight="false" outlineLevel="0" collapsed="false">
      <c r="B22" s="16" t="s">
        <v>135</v>
      </c>
      <c r="C22" s="23" t="n">
        <f aca="false">IFERROR($D$19-$D$20,"")</f>
        <v>-3.04833333333334</v>
      </c>
    </row>
    <row r="23" customFormat="false" ht="15" hidden="false" customHeight="false" outlineLevel="0" collapsed="false">
      <c r="B23" s="16" t="s">
        <v>136</v>
      </c>
      <c r="C23" s="23" t="n">
        <f aca="false">IFERROR(SQRT($F$19^2+$F$20^2),"")</f>
        <v>0.489061283171457</v>
      </c>
    </row>
    <row r="24" customFormat="false" ht="15" hidden="false" customHeight="false" outlineLevel="0" collapsed="false">
      <c r="B24" s="16" t="s">
        <v>137</v>
      </c>
      <c r="C24" s="24" t="n">
        <f aca="false">IFERROR((($E$19^2/$C$19+$E$20^2/$C$20)^2/(($E$19^2/$C$19)^2/($C$19-1)+($E$20^2/$C$20)^2/($C$20-1))),"")</f>
        <v>47.8177400338991</v>
      </c>
    </row>
    <row r="25" customFormat="false" ht="15" hidden="false" customHeight="false" outlineLevel="0" collapsed="false">
      <c r="B25" s="16" t="s">
        <v>138</v>
      </c>
      <c r="C25" s="18" t="n">
        <f aca="false">IFERROR(TDIST(ABS($C$22/$C$23),$C$24,2),"")</f>
        <v>1.1937842117151E-007</v>
      </c>
    </row>
    <row r="26" customFormat="false" ht="15" hidden="false" customHeight="false" outlineLevel="0" collapsed="false">
      <c r="B26" s="16" t="s">
        <v>139</v>
      </c>
      <c r="C26" s="23" t="n">
        <f aca="false">IFERROR($C$22-TINV(0.05,$C$24)*$C$23,"")</f>
        <v>-4.03219773038602</v>
      </c>
    </row>
    <row r="27" customFormat="false" ht="15" hidden="false" customHeight="false" outlineLevel="0" collapsed="false">
      <c r="B27" s="16" t="s">
        <v>140</v>
      </c>
      <c r="C27" s="23" t="n">
        <f aca="false">IFERROR($C$22+TINV(0.05,$C$24)*$C$23,"")</f>
        <v>-2.06446893628065</v>
      </c>
    </row>
    <row r="29" customFormat="false" ht="15" hidden="false" customHeight="false" outlineLevel="0" collapsed="false">
      <c r="B29" s="9" t="s">
        <v>141</v>
      </c>
    </row>
    <row r="30" customFormat="false" ht="15" hidden="false" customHeight="false" outlineLevel="0" collapsed="false">
      <c r="B30" s="16" t="s">
        <v>142</v>
      </c>
      <c r="C30" s="17" t="n">
        <f aca="false">IFERROR(SUMPRODUCT(--ISNUMBER('Enter data'!$O$12:$O$131),--ISNUMBER('Enter data'!$P$12:$P$131)),"")</f>
        <v>60</v>
      </c>
    </row>
    <row r="31" customFormat="false" ht="15" hidden="false" customHeight="false" outlineLevel="0" collapsed="false">
      <c r="B31" s="16" t="s">
        <v>143</v>
      </c>
      <c r="C31" s="18" t="n">
        <f aca="false">IFERROR(SLOPE('Enter data'!$P$12:$P$131,'Enter data'!$O$12:$O$131),"")</f>
        <v>0.989832344153361</v>
      </c>
    </row>
    <row r="32" customFormat="false" ht="15" hidden="false" customHeight="false" outlineLevel="0" collapsed="false">
      <c r="B32" s="16" t="s">
        <v>144</v>
      </c>
      <c r="C32" s="18" t="n">
        <f aca="false">IFERROR(INTERCEPT('Enter data'!$P$12:$P$131,'Enter data'!$O$12:$O$131),"")</f>
        <v>-0.0957029940239322</v>
      </c>
    </row>
    <row r="33" customFormat="false" ht="15" hidden="false" customHeight="false" outlineLevel="0" collapsed="false">
      <c r="B33" s="16" t="s">
        <v>145</v>
      </c>
      <c r="C33" s="18" t="n">
        <f aca="false">IFERROR(RSQ('Enter data'!$P$12:$P$131,'Enter data'!$O$12:$O$131),"")</f>
        <v>0.868901783743073</v>
      </c>
    </row>
    <row r="34" customFormat="false" ht="15" hidden="false" customHeight="false" outlineLevel="0" collapsed="false">
      <c r="B34" s="16" t="s">
        <v>146</v>
      </c>
      <c r="C34" s="18" t="n">
        <f aca="false">IFERROR(STEYX('Enter data'!$P$12:$P$131,'Enter data'!$O$12:$O$131),"")</f>
        <v>0.0179452191211229</v>
      </c>
    </row>
    <row r="35" customFormat="false" ht="15" hidden="false" customHeight="false" outlineLevel="0" collapsed="false">
      <c r="B35" s="16" t="s">
        <v>147</v>
      </c>
      <c r="C35" s="18" t="n">
        <f aca="false">IFERROR($C$34/SQRT(DEVSQ('Enter data'!$O$12:$O$131)),"")</f>
        <v>0.050484805921436</v>
      </c>
    </row>
    <row r="36" customFormat="false" ht="15" hidden="false" customHeight="false" outlineLevel="0" collapsed="false">
      <c r="B36" s="16" t="s">
        <v>148</v>
      </c>
      <c r="C36" s="18" t="n">
        <f aca="false">IFERROR($C$31-TINV(0.05,$C$30-2)*$C$35,"")</f>
        <v>0.888776025456743</v>
      </c>
    </row>
    <row r="37" customFormat="false" ht="15" hidden="false" customHeight="false" outlineLevel="0" collapsed="false">
      <c r="B37" s="16" t="s">
        <v>149</v>
      </c>
      <c r="C37" s="18" t="n">
        <f aca="false">IFERROR($C$31+TINV(0.05,$C$30-2)*$C$35,"")</f>
        <v>1.09088866284998</v>
      </c>
    </row>
    <row r="39" customFormat="false" ht="15" hidden="false" customHeight="false" outlineLevel="0" collapsed="false">
      <c r="B39" s="9" t="s">
        <v>150</v>
      </c>
    </row>
    <row r="40" customFormat="false" ht="15" hidden="false" customHeight="false" outlineLevel="0" collapsed="false">
      <c r="B40" s="16" t="s">
        <v>151</v>
      </c>
      <c r="C40" s="17" t="n">
        <f aca="false">IFERROR(COUNTIFS('Enter data'!$B$12:$B$131,Results!$C$5,'Enter data'!$H$12:$H$131,"&gt;0"),"")</f>
        <v>45</v>
      </c>
    </row>
    <row r="41" customFormat="false" ht="15" hidden="false" customHeight="false" outlineLevel="0" collapsed="false">
      <c r="B41" s="16" t="s">
        <v>152</v>
      </c>
      <c r="C41" s="17" t="n">
        <f aca="false">IFERROR(COUNTIFS('Enter data'!$B$12:$B$131,Results!$C$5,'Enter data'!$I$12:$I$131,"&gt;0"),"")</f>
        <v>30</v>
      </c>
    </row>
    <row r="42" customFormat="false" ht="15" hidden="false" customHeight="false" outlineLevel="0" collapsed="false">
      <c r="B42" s="16" t="s">
        <v>153</v>
      </c>
      <c r="C42" s="23" t="n">
        <f aca="false">IFERROR(AVERAGEIFS('Enter data'!$I$12:$I$131,'Enter data'!$B$12:$B$131,Results!$C$5,'Enter data'!$I$12:$I$131,"&gt;0")-AVERAGEIFS('Enter data'!$H$12:$H$131,'Enter data'!$B$12:$B$131,Results!$C$5,'Enter data'!$H$12:$H$131,"&gt;0"),"")</f>
        <v>-0.428333333333331</v>
      </c>
    </row>
    <row r="43" customFormat="false" ht="15" hidden="false" customHeight="false" outlineLevel="0" collapsed="false">
      <c r="B43" s="16" t="s">
        <v>154</v>
      </c>
      <c r="C43" s="23" t="n">
        <f aca="false">IFERROR(SQRT((SUMPRODUCT(('Enter data'!$B$12:$B$131=Results!$C$5)*('Enter data'!$H$12:$H$131&gt;0)*'Enter data'!$H$12:$H$131^2)-$C$40*AVERAGEIFS('Enter data'!$H$12:$H$131,'Enter data'!$B$12:$B$131,Results!$C$5,'Enter data'!$H$12:$H$131,"&gt;0")^2)/($C$40-1)),"")</f>
        <v>1.85566087223052</v>
      </c>
    </row>
    <row r="44" customFormat="false" ht="15" hidden="false" customHeight="false" outlineLevel="0" collapsed="false">
      <c r="B44" s="16" t="s">
        <v>155</v>
      </c>
      <c r="C44" s="23" t="n">
        <f aca="false">IFERROR($C$42/$C$43,"")</f>
        <v>-0.230825222293161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2026-10-01T00:30:14Z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2026-10-01T00:30:15Z</dcterms:modified>
  <cp:revision>0</cp:revision>
  <dc:subject/>
  <dc:title>EVO-02 Morphometrics and selection in a wild population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