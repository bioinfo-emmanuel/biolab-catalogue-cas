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<sst xmlns="http://schemas.openxmlformats.org/spreadsheetml/2006/main" count="77" uniqueCount="52">
  <si>
    <t xml:space="preserve">BOT-02  Transpiration rate under four treatments</t>
  </si>
  <si>
    <t xml:space="preserve">Excel version of the card. It does the same calculations as the R script bot02_transpiration.R.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</si>
  <si>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</si>
  <si>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</si>
  <si>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</si>
  <si>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</si>
  <si>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</si>
  <si>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</si>
  <si>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</si>
  <si>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</si>
  <si>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Rate = mass loss (blank-corrected) / hours / leaf area, in mg of water per cm2 per hour (1 g of water is about 1 mL).</t>
  </si>
  <si>
    <t xml:space="preserve">Leaf area from paper tracings = mass of cut-outs / mass of the reference square x reference area.</t>
  </si>
  <si>
    <t xml:space="preserve">Differences from the R script on the card</t>
  </si>
  <si>
    <t xml:space="preserve">The R script also prints Holm-adjusted pairwise tests. Here pairwise p values use a Bonferroni adjustment.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</si>
  <si>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</si>
  <si>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</si>
  <si>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</si>
  <si>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</si>
  <si>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Shoots</t>
  </si>
  <si>
    <t xml:space="preserve">Treatment (type a name)</t>
  </si>
  <si>
    <t xml:space="preserve">Mass lost, blank-corrected (g)</t>
  </si>
  <si>
    <t xml:space="preserve">Hours</t>
  </si>
  <si>
    <t xml:space="preserve">Cut-out mass (g)</t>
  </si>
  <si>
    <t xml:space="preserve">Reference square mass (g)</t>
  </si>
  <si>
    <t xml:space="preserve">Reference square area (cm2)</t>
  </si>
  <si>
    <t xml:space="preserve">Leaf area (cm2)</t>
  </si>
  <si>
    <t xml:space="preserve">Rate (mg per cm2 per hour)</t>
  </si>
  <si>
    <t xml:space="preserve">control</t>
  </si>
  <si>
    <t xml:space="preserve">fan</t>
  </si>
  <si>
    <t xml:space="preserve">lamp</t>
  </si>
  <si>
    <t xml:space="preserve">humid bag</t>
  </si>
  <si>
    <t xml:space="preserve">2. Treatment names</t>
  </si>
  <si>
    <t xml:space="preserve">Treatment 1</t>
  </si>
  <si>
    <t xml:space="preserve">Treatment 2</t>
  </si>
  <si>
    <t xml:space="preserve">Treatment 3</t>
  </si>
  <si>
    <t xml:space="preserve">Treatment 4</t>
  </si>
  <si>
    <t xml:space="preserve">Results</t>
  </si>
  <si>
    <t xml:space="preserve">Everything on this sheet is calculated. Change only the yellow settings.</t>
  </si>
  <si>
    <t xml:space="preserve">Treatment names (type up to 4 names exactly as entered in the table)</t>
  </si>
  <si>
    <t xml:space="preserve">Rate by treatment (mg per cm2 per hour)</t>
  </si>
  <si>
    <t xml:space="preserve">Treatment</t>
  </si>
  <si>
    <t xml:space="preserve">n</t>
  </si>
  <si>
    <t xml:space="preserve">Mean</t>
  </si>
  <si>
    <t xml:space="preserve">SD</t>
  </si>
  <si>
    <t xml:space="preserve">SE</t>
  </si>
  <si>
    <t xml:space="preserve">One-way analysis of variance</t>
  </si>
  <si>
    <t xml:space="preserve">Total shoots</t>
  </si>
  <si>
    <t xml:space="preserve">Grand mean</t>
  </si>
  <si>
    <t xml:space="preserve">Sum of squares between</t>
  </si>
  <si>
    <t xml:space="preserve">Sum of squares within</t>
  </si>
  <si>
    <t xml:space="preserve">F ratio</t>
  </si>
  <si>
    <t xml:space="preserve">p value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</si>
</sst>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0.00"/>
    <numFmt numFmtId="167" formatCode="0"/>
    <numFmt numFmtId="168" formatCode="0.000"/>
    <numFmt numFmtId="169" formatCode="0.0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15" hidden="false" customHeight="false" outlineLevel="0" collapsed="false">
      <c r="B14" s="2" t="s">
        <v>10</v>
      </c>
    </row>
    <row r="15" customFormat="false" ht="1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2"/>
    </row>
    <row r="17" customFormat="false" ht="15" hidden="false" customHeight="false" outlineLevel="0" collapsed="false">
      <c r="B17" s="3" t="s">
        <v>12</v>
      </c>
    </row>
    <row r="18" customFormat="false" ht="15" hidden="false" customHeight="false" outlineLevel="0" collapsed="false">
      <c r="B18" s="2" t="s">
        <v>13</v>
      </c>
    </row>
    <row r="19" customFormat="false" ht="15" hidden="false" customHeight="false" outlineLevel="0" collapsed="false">
      <c r="B19" s="2"/>
    </row>
    <row r="20" customFormat="false" ht="15" hidden="false" customHeight="false" outlineLevel="0" collapsed="false">
      <c r="B20" s="6" t="s">
        <v>14</v>
      </c>
    </row>
    <row r="21" customFormat="false" ht="15" hidden="false" customHeight="false" outlineLevel="0" collapsed="false">
      <c r="B21" s="2"/>
    </row>
    <row r="22" customFormat="false" ht="22.35" hidden="false" customHeight="false" outlineLevel="0" collapsed="false">
      <c r="B22" s="6" t="s">
        <v>15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16</v>
      </c>
    </row>
    <row r="2" customFormat="false" ht="15" hidden="false" customHeight="false" outlineLevel="0" collapsed="false">
      <c r="A2" s="8" t="s">
        <v>17</v>
      </c>
    </row>
    <row r="4" customFormat="false" ht="15" hidden="false" customHeight="false" outlineLevel="0" collapsed="false">
      <c r="A4" s="9" t="s">
        <v>18</v>
      </c>
    </row>
    <row r="5" customFormat="false" ht="31.5" hidden="false" customHeight="true" outlineLevel="0" collapsed="false">
      <c r="A5" s="10" t="s">
        <v>19</v>
      </c>
      <c r="B5" s="10" t="s">
        <v>20</v>
      </c>
      <c r="C5" s="10" t="s">
        <v>21</v>
      </c>
      <c r="D5" s="10" t="s">
        <v>22</v>
      </c>
      <c r="E5" s="10" t="s">
        <v>23</v>
      </c>
      <c r="F5" s="10" t="s">
        <v>24</v>
      </c>
      <c r="G5" s="10" t="s">
        <v>25</v>
      </c>
      <c r="H5" s="10" t="s">
        <v>26</v>
      </c>
    </row>
    <row r="6" customFormat="false" ht="15" hidden="false" customHeight="false" outlineLevel="0" collapsed="false">
      <c r="A6" s="11" t="s">
        <v>27</v>
      </c>
      <c r="B6" s="11" t="n">
        <v>0.95</v>
      </c>
      <c r="C6" s="11" t="n">
        <v>2</v>
      </c>
      <c r="D6" s="11" t="n">
        <v>3</v>
      </c>
      <c r="E6" s="11" t="n">
        <v>0.8</v>
      </c>
      <c r="F6" s="11" t="n">
        <v>100</v>
      </c>
    </row>
    <row r="7" customFormat="false" ht="15" hidden="false" customHeight="false" outlineLevel="0" collapsed="false">
      <c r="A7" s="12" t="s">
        <v>27</v>
      </c>
      <c r="B7" s="12" t="n">
        <v>0.9</v>
      </c>
      <c r="C7" s="12" t="n">
        <v>2</v>
      </c>
      <c r="D7" s="12" t="n">
        <v>3.13</v>
      </c>
      <c r="E7" s="12" t="n">
        <v>0.8</v>
      </c>
      <c r="F7" s="12" t="n">
        <v>100</v>
      </c>
      <c r="G7" s="13" t="n">
        <f aca="false">IF(AND(ISNUMBER(D7),ISNUMBER(E7),ISNUMBER(F7)),D7/E7*F7,"")</f>
        <v>391.25</v>
      </c>
      <c r="H7" s="14" t="n">
        <f aca="false">IF(AND(ISNUMBER(B7),ISNUMBER(C7),ISNUMBER(G7)),B7*1000/C7/G7,"")</f>
        <v>1.15015974440895</v>
      </c>
    </row>
    <row r="8" customFormat="false" ht="15" hidden="false" customHeight="false" outlineLevel="0" collapsed="false">
      <c r="A8" s="12" t="s">
        <v>27</v>
      </c>
      <c r="B8" s="12" t="n">
        <v>0.6</v>
      </c>
      <c r="C8" s="12" t="n">
        <v>2</v>
      </c>
      <c r="D8" s="12" t="n">
        <v>2.84</v>
      </c>
      <c r="E8" s="12" t="n">
        <v>0.8</v>
      </c>
      <c r="F8" s="12" t="n">
        <v>100</v>
      </c>
      <c r="G8" s="13" t="n">
        <f aca="false">IF(AND(ISNUMBER(D8),ISNUMBER(E8),ISNUMBER(F8)),D8/E8*F8,"")</f>
        <v>355</v>
      </c>
      <c r="H8" s="14" t="n">
        <f aca="false">IF(AND(ISNUMBER(B8),ISNUMBER(C8),ISNUMBER(G8)),B8*1000/C8/G8,"")</f>
        <v>0.845070422535211</v>
      </c>
    </row>
    <row r="9" customFormat="false" ht="15" hidden="false" customHeight="false" outlineLevel="0" collapsed="false">
      <c r="A9" s="12" t="s">
        <v>27</v>
      </c>
      <c r="B9" s="12" t="n">
        <v>1.3</v>
      </c>
      <c r="C9" s="12" t="n">
        <v>2</v>
      </c>
      <c r="D9" s="12" t="n">
        <v>3.9</v>
      </c>
      <c r="E9" s="12" t="n">
        <v>0.8</v>
      </c>
      <c r="F9" s="12" t="n">
        <v>100</v>
      </c>
      <c r="G9" s="13" t="n">
        <f aca="false">IF(AND(ISNUMBER(D9),ISNUMBER(E9),ISNUMBER(F9)),D9/E9*F9,"")</f>
        <v>487.5</v>
      </c>
      <c r="H9" s="14" t="n">
        <f aca="false">IF(AND(ISNUMBER(B9),ISNUMBER(C9),ISNUMBER(G9)),B9*1000/C9/G9,"")</f>
        <v>1.33333333333333</v>
      </c>
    </row>
    <row r="10" customFormat="false" ht="15" hidden="false" customHeight="false" outlineLevel="0" collapsed="false">
      <c r="A10" s="12" t="s">
        <v>27</v>
      </c>
      <c r="B10" s="12" t="n">
        <v>0.9</v>
      </c>
      <c r="C10" s="12" t="n">
        <v>2</v>
      </c>
      <c r="D10" s="12" t="n">
        <v>2.88</v>
      </c>
      <c r="E10" s="12" t="n">
        <v>0.8</v>
      </c>
      <c r="F10" s="12" t="n">
        <v>100</v>
      </c>
      <c r="G10" s="13" t="n">
        <f aca="false">IF(AND(ISNUMBER(D10),ISNUMBER(E10),ISNUMBER(F10)),D10/E10*F10,"")</f>
        <v>360</v>
      </c>
      <c r="H10" s="14" t="n">
        <f aca="false">IF(AND(ISNUMBER(B10),ISNUMBER(C10),ISNUMBER(G10)),B10*1000/C10/G10,"")</f>
        <v>1.25</v>
      </c>
    </row>
    <row r="11" customFormat="false" ht="15" hidden="false" customHeight="false" outlineLevel="0" collapsed="false">
      <c r="A11" s="12" t="s">
        <v>27</v>
      </c>
      <c r="B11" s="12" t="n">
        <v>0.9</v>
      </c>
      <c r="C11" s="12" t="n">
        <v>2</v>
      </c>
      <c r="D11" s="12" t="n">
        <v>3.17</v>
      </c>
      <c r="E11" s="12" t="n">
        <v>0.8</v>
      </c>
      <c r="F11" s="12" t="n">
        <v>100</v>
      </c>
      <c r="G11" s="13" t="n">
        <f aca="false">IF(AND(ISNUMBER(D11),ISNUMBER(E11),ISNUMBER(F11)),D11/E11*F11,"")</f>
        <v>396.25</v>
      </c>
      <c r="H11" s="14" t="n">
        <f aca="false">IF(AND(ISNUMBER(B11),ISNUMBER(C11),ISNUMBER(G11)),B11*1000/C11/G11,"")</f>
        <v>1.13564668769716</v>
      </c>
    </row>
    <row r="12" customFormat="false" ht="15" hidden="false" customHeight="false" outlineLevel="0" collapsed="false">
      <c r="A12" s="12" t="s">
        <v>27</v>
      </c>
      <c r="B12" s="12" t="n">
        <v>1</v>
      </c>
      <c r="C12" s="12" t="n">
        <v>2</v>
      </c>
      <c r="D12" s="12" t="n">
        <v>3.51</v>
      </c>
      <c r="E12" s="12" t="n">
        <v>0.8</v>
      </c>
      <c r="F12" s="12" t="n">
        <v>100</v>
      </c>
      <c r="G12" s="13" t="n">
        <f aca="false">IF(AND(ISNUMBER(D12),ISNUMBER(E12),ISNUMBER(F12)),D12/E12*F12,"")</f>
        <v>438.75</v>
      </c>
      <c r="H12" s="14" t="n">
        <f aca="false">IF(AND(ISNUMBER(B12),ISNUMBER(C12),ISNUMBER(G12)),B12*1000/C12/G12,"")</f>
        <v>1.13960113960114</v>
      </c>
    </row>
    <row r="13" customFormat="false" ht="15" hidden="false" customHeight="false" outlineLevel="0" collapsed="false">
      <c r="A13" s="12" t="s">
        <v>28</v>
      </c>
      <c r="B13" s="12" t="n">
        <v>1.5</v>
      </c>
      <c r="C13" s="12" t="n">
        <v>2</v>
      </c>
      <c r="D13" s="12" t="n">
        <v>2.88</v>
      </c>
      <c r="E13" s="12" t="n">
        <v>0.8</v>
      </c>
      <c r="F13" s="12" t="n">
        <v>100</v>
      </c>
      <c r="G13" s="13" t="n">
        <f aca="false">IF(AND(ISNUMBER(D13),ISNUMBER(E13),ISNUMBER(F13)),D13/E13*F13,"")</f>
        <v>360</v>
      </c>
      <c r="H13" s="14" t="n">
        <f aca="false">IF(AND(ISNUMBER(B13),ISNUMBER(C13),ISNUMBER(G13)),B13*1000/C13/G13,"")</f>
        <v>2.08333333333333</v>
      </c>
    </row>
    <row r="14" customFormat="false" ht="15" hidden="false" customHeight="false" outlineLevel="0" collapsed="false">
      <c r="A14" s="12" t="s">
        <v>28</v>
      </c>
      <c r="B14" s="12" t="n">
        <v>1.9</v>
      </c>
      <c r="C14" s="12" t="n">
        <v>2</v>
      </c>
      <c r="D14" s="12" t="n">
        <v>3.26</v>
      </c>
      <c r="E14" s="12" t="n">
        <v>0.8</v>
      </c>
      <c r="F14" s="12" t="n">
        <v>100</v>
      </c>
      <c r="G14" s="13" t="n">
        <f aca="false">IF(AND(ISNUMBER(D14),ISNUMBER(E14),ISNUMBER(F14)),D14/E14*F14,"")</f>
        <v>407.5</v>
      </c>
      <c r="H14" s="14" t="n">
        <f aca="false">IF(AND(ISNUMBER(B14),ISNUMBER(C14),ISNUMBER(G14)),B14*1000/C14/G14,"")</f>
        <v>2.33128834355828</v>
      </c>
    </row>
    <row r="15" customFormat="false" ht="15" hidden="false" customHeight="false" outlineLevel="0" collapsed="false">
      <c r="A15" s="12" t="s">
        <v>28</v>
      </c>
      <c r="B15" s="12" t="n">
        <v>1.8</v>
      </c>
      <c r="C15" s="12" t="n">
        <v>2</v>
      </c>
      <c r="D15" s="12" t="n">
        <v>3.3</v>
      </c>
      <c r="E15" s="12" t="n">
        <v>0.8</v>
      </c>
      <c r="F15" s="12" t="n">
        <v>100</v>
      </c>
      <c r="G15" s="13" t="n">
        <f aca="false">IF(AND(ISNUMBER(D15),ISNUMBER(E15),ISNUMBER(F15)),D15/E15*F15,"")</f>
        <v>412.5</v>
      </c>
      <c r="H15" s="14" t="n">
        <f aca="false">IF(AND(ISNUMBER(B15),ISNUMBER(C15),ISNUMBER(G15)),B15*1000/C15/G15,"")</f>
        <v>2.18181818181818</v>
      </c>
    </row>
    <row r="16" customFormat="false" ht="15" hidden="false" customHeight="false" outlineLevel="0" collapsed="false">
      <c r="A16" s="12" t="s">
        <v>28</v>
      </c>
      <c r="B16" s="12" t="n">
        <v>1.6</v>
      </c>
      <c r="C16" s="12" t="n">
        <v>2</v>
      </c>
      <c r="D16" s="12" t="n">
        <v>3.1</v>
      </c>
      <c r="E16" s="12" t="n">
        <v>0.8</v>
      </c>
      <c r="F16" s="12" t="n">
        <v>100</v>
      </c>
      <c r="G16" s="13" t="n">
        <f aca="false">IF(AND(ISNUMBER(D16),ISNUMBER(E16),ISNUMBER(F16)),D16/E16*F16,"")</f>
        <v>387.5</v>
      </c>
      <c r="H16" s="14" t="n">
        <f aca="false">IF(AND(ISNUMBER(B16),ISNUMBER(C16),ISNUMBER(G16)),B16*1000/C16/G16,"")</f>
        <v>2.06451612903226</v>
      </c>
    </row>
    <row r="17" customFormat="false" ht="15" hidden="false" customHeight="false" outlineLevel="0" collapsed="false">
      <c r="A17" s="12" t="s">
        <v>28</v>
      </c>
      <c r="B17" s="12" t="n">
        <v>2</v>
      </c>
      <c r="C17" s="12" t="n">
        <v>2</v>
      </c>
      <c r="D17" s="12" t="n">
        <v>3.44</v>
      </c>
      <c r="E17" s="12" t="n">
        <v>0.8</v>
      </c>
      <c r="F17" s="12" t="n">
        <v>100</v>
      </c>
      <c r="G17" s="13" t="n">
        <f aca="false">IF(AND(ISNUMBER(D17),ISNUMBER(E17),ISNUMBER(F17)),D17/E17*F17,"")</f>
        <v>430</v>
      </c>
      <c r="H17" s="14" t="n">
        <f aca="false">IF(AND(ISNUMBER(B17),ISNUMBER(C17),ISNUMBER(G17)),B17*1000/C17/G17,"")</f>
        <v>2.32558139534884</v>
      </c>
    </row>
    <row r="18" customFormat="false" ht="15" hidden="false" customHeight="false" outlineLevel="0" collapsed="false">
      <c r="A18" s="12" t="s">
        <v>28</v>
      </c>
      <c r="B18" s="12" t="n">
        <v>1.9</v>
      </c>
      <c r="C18" s="12" t="n">
        <v>2</v>
      </c>
      <c r="D18" s="12" t="n">
        <v>3.2</v>
      </c>
      <c r="E18" s="12" t="n">
        <v>0.8</v>
      </c>
      <c r="F18" s="12" t="n">
        <v>100</v>
      </c>
      <c r="G18" s="13" t="n">
        <f aca="false">IF(AND(ISNUMBER(D18),ISNUMBER(E18),ISNUMBER(F18)),D18/E18*F18,"")</f>
        <v>400</v>
      </c>
      <c r="H18" s="14" t="n">
        <f aca="false">IF(AND(ISNUMBER(B18),ISNUMBER(C18),ISNUMBER(G18)),B18*1000/C18/G18,"")</f>
        <v>2.375</v>
      </c>
    </row>
    <row r="19" customFormat="false" ht="15" hidden="false" customHeight="false" outlineLevel="0" collapsed="false">
      <c r="A19" s="12" t="s">
        <v>29</v>
      </c>
      <c r="B19" s="12" t="n">
        <v>1.1</v>
      </c>
      <c r="C19" s="12" t="n">
        <v>2</v>
      </c>
      <c r="D19" s="12" t="n">
        <v>2.55</v>
      </c>
      <c r="E19" s="12" t="n">
        <v>0.8</v>
      </c>
      <c r="F19" s="12" t="n">
        <v>100</v>
      </c>
      <c r="G19" s="13" t="n">
        <f aca="false">IF(AND(ISNUMBER(D19),ISNUMBER(E19),ISNUMBER(F19)),D19/E19*F19,"")</f>
        <v>318.75</v>
      </c>
      <c r="H19" s="14" t="n">
        <f aca="false">IF(AND(ISNUMBER(B19),ISNUMBER(C19),ISNUMBER(G19)),B19*1000/C19/G19,"")</f>
        <v>1.72549019607843</v>
      </c>
    </row>
    <row r="20" customFormat="false" ht="15" hidden="false" customHeight="false" outlineLevel="0" collapsed="false">
      <c r="A20" s="12" t="s">
        <v>29</v>
      </c>
      <c r="B20" s="12" t="n">
        <v>1.3</v>
      </c>
      <c r="C20" s="12" t="n">
        <v>2</v>
      </c>
      <c r="D20" s="12" t="n">
        <v>4.03</v>
      </c>
      <c r="E20" s="12" t="n">
        <v>0.8</v>
      </c>
      <c r="F20" s="12" t="n">
        <v>100</v>
      </c>
      <c r="G20" s="13" t="n">
        <f aca="false">IF(AND(ISNUMBER(D20),ISNUMBER(E20),ISNUMBER(F20)),D20/E20*F20,"")</f>
        <v>503.75</v>
      </c>
      <c r="H20" s="14" t="n">
        <f aca="false">IF(AND(ISNUMBER(B20),ISNUMBER(C20),ISNUMBER(G20)),B20*1000/C20/G20,"")</f>
        <v>1.29032258064516</v>
      </c>
    </row>
    <row r="21" customFormat="false" ht="15" hidden="false" customHeight="false" outlineLevel="0" collapsed="false">
      <c r="A21" s="12" t="s">
        <v>29</v>
      </c>
      <c r="B21" s="12" t="n">
        <v>0.8</v>
      </c>
      <c r="C21" s="12" t="n">
        <v>2</v>
      </c>
      <c r="D21" s="12" t="n">
        <v>2.21</v>
      </c>
      <c r="E21" s="12" t="n">
        <v>0.8</v>
      </c>
      <c r="F21" s="12" t="n">
        <v>100</v>
      </c>
      <c r="G21" s="13" t="n">
        <f aca="false">IF(AND(ISNUMBER(D21),ISNUMBER(E21),ISNUMBER(F21)),D21/E21*F21,"")</f>
        <v>276.25</v>
      </c>
      <c r="H21" s="14" t="n">
        <f aca="false">IF(AND(ISNUMBER(B21),ISNUMBER(C21),ISNUMBER(G21)),B21*1000/C21/G21,"")</f>
        <v>1.44796380090498</v>
      </c>
    </row>
    <row r="22" customFormat="false" ht="15" hidden="false" customHeight="false" outlineLevel="0" collapsed="false">
      <c r="A22" s="12" t="s">
        <v>29</v>
      </c>
      <c r="B22" s="12" t="n">
        <v>1.4</v>
      </c>
      <c r="C22" s="12" t="n">
        <v>2</v>
      </c>
      <c r="D22" s="12" t="n">
        <v>3.44</v>
      </c>
      <c r="E22" s="12" t="n">
        <v>0.8</v>
      </c>
      <c r="F22" s="12" t="n">
        <v>100</v>
      </c>
      <c r="G22" s="13" t="n">
        <f aca="false">IF(AND(ISNUMBER(D22),ISNUMBER(E22),ISNUMBER(F22)),D22/E22*F22,"")</f>
        <v>430</v>
      </c>
      <c r="H22" s="14" t="n">
        <f aca="false">IF(AND(ISNUMBER(B22),ISNUMBER(C22),ISNUMBER(G22)),B22*1000/C22/G22,"")</f>
        <v>1.62790697674419</v>
      </c>
    </row>
    <row r="23" customFormat="false" ht="15" hidden="false" customHeight="false" outlineLevel="0" collapsed="false">
      <c r="A23" s="12" t="s">
        <v>29</v>
      </c>
      <c r="B23" s="12" t="n">
        <v>1.5</v>
      </c>
      <c r="C23" s="12" t="n">
        <v>2</v>
      </c>
      <c r="D23" s="12" t="n">
        <v>3.56</v>
      </c>
      <c r="E23" s="12" t="n">
        <v>0.8</v>
      </c>
      <c r="F23" s="12" t="n">
        <v>100</v>
      </c>
      <c r="G23" s="13" t="n">
        <f aca="false">IF(AND(ISNUMBER(D23),ISNUMBER(E23),ISNUMBER(F23)),D23/E23*F23,"")</f>
        <v>445</v>
      </c>
      <c r="H23" s="14" t="n">
        <f aca="false">IF(AND(ISNUMBER(B23),ISNUMBER(C23),ISNUMBER(G23)),B23*1000/C23/G23,"")</f>
        <v>1.68539325842697</v>
      </c>
    </row>
    <row r="24" customFormat="false" ht="15" hidden="false" customHeight="false" outlineLevel="0" collapsed="false">
      <c r="A24" s="12" t="s">
        <v>29</v>
      </c>
      <c r="B24" s="12" t="n">
        <v>1.3</v>
      </c>
      <c r="C24" s="12" t="n">
        <v>2</v>
      </c>
      <c r="D24" s="12" t="n">
        <v>3.14</v>
      </c>
      <c r="E24" s="12" t="n">
        <v>0.8</v>
      </c>
      <c r="F24" s="12" t="n">
        <v>100</v>
      </c>
      <c r="G24" s="13" t="n">
        <f aca="false">IF(AND(ISNUMBER(D24),ISNUMBER(E24),ISNUMBER(F24)),D24/E24*F24,"")</f>
        <v>392.5</v>
      </c>
      <c r="H24" s="14" t="n">
        <f aca="false">IF(AND(ISNUMBER(B24),ISNUMBER(C24),ISNUMBER(G24)),B24*1000/C24/G24,"")</f>
        <v>1.65605095541401</v>
      </c>
    </row>
    <row r="25" customFormat="false" ht="15" hidden="false" customHeight="false" outlineLevel="0" collapsed="false">
      <c r="A25" s="12" t="s">
        <v>30</v>
      </c>
      <c r="B25" s="12" t="n">
        <v>0.4</v>
      </c>
      <c r="C25" s="12" t="n">
        <v>2</v>
      </c>
      <c r="D25" s="12" t="n">
        <v>2.96</v>
      </c>
      <c r="E25" s="12" t="n">
        <v>0.8</v>
      </c>
      <c r="F25" s="12" t="n">
        <v>100</v>
      </c>
      <c r="G25" s="13" t="n">
        <f aca="false">IF(AND(ISNUMBER(D25),ISNUMBER(E25),ISNUMBER(F25)),D25/E25*F25,"")</f>
        <v>370</v>
      </c>
      <c r="H25" s="14" t="n">
        <f aca="false">IF(AND(ISNUMBER(B25),ISNUMBER(C25),ISNUMBER(G25)),B25*1000/C25/G25,"")</f>
        <v>0.540540540540541</v>
      </c>
    </row>
    <row r="26" customFormat="false" ht="15" hidden="false" customHeight="false" outlineLevel="0" collapsed="false">
      <c r="A26" s="12" t="s">
        <v>30</v>
      </c>
      <c r="B26" s="12" t="n">
        <v>0.3</v>
      </c>
      <c r="C26" s="12" t="n">
        <v>2</v>
      </c>
      <c r="D26" s="12" t="n">
        <v>2.5</v>
      </c>
      <c r="E26" s="12" t="n">
        <v>0.8</v>
      </c>
      <c r="F26" s="12" t="n">
        <v>100</v>
      </c>
      <c r="G26" s="13" t="n">
        <f aca="false">IF(AND(ISNUMBER(D26),ISNUMBER(E26),ISNUMBER(F26)),D26/E26*F26,"")</f>
        <v>312.5</v>
      </c>
      <c r="H26" s="14" t="n">
        <f aca="false">IF(AND(ISNUMBER(B26),ISNUMBER(C26),ISNUMBER(G26)),B26*1000/C26/G26,"")</f>
        <v>0.48</v>
      </c>
    </row>
    <row r="27" customFormat="false" ht="15" hidden="false" customHeight="false" outlineLevel="0" collapsed="false">
      <c r="A27" s="12" t="s">
        <v>30</v>
      </c>
      <c r="B27" s="12" t="n">
        <v>0.4</v>
      </c>
      <c r="C27" s="12" t="n">
        <v>2</v>
      </c>
      <c r="D27" s="12" t="n">
        <v>3.16</v>
      </c>
      <c r="E27" s="12" t="n">
        <v>0.8</v>
      </c>
      <c r="F27" s="12" t="n">
        <v>100</v>
      </c>
      <c r="G27" s="13" t="n">
        <f aca="false">IF(AND(ISNUMBER(D27),ISNUMBER(E27),ISNUMBER(F27)),D27/E27*F27,"")</f>
        <v>395</v>
      </c>
      <c r="H27" s="14" t="n">
        <f aca="false">IF(AND(ISNUMBER(B27),ISNUMBER(C27),ISNUMBER(G27)),B27*1000/C27/G27,"")</f>
        <v>0.506329113924051</v>
      </c>
    </row>
    <row r="28" customFormat="false" ht="15" hidden="false" customHeight="false" outlineLevel="0" collapsed="false">
      <c r="A28" s="12" t="s">
        <v>30</v>
      </c>
      <c r="B28" s="12" t="n">
        <v>0.3</v>
      </c>
      <c r="C28" s="12" t="n">
        <v>2</v>
      </c>
      <c r="D28" s="12" t="n">
        <v>2.67</v>
      </c>
      <c r="E28" s="12" t="n">
        <v>0.8</v>
      </c>
      <c r="F28" s="12" t="n">
        <v>100</v>
      </c>
      <c r="G28" s="13" t="n">
        <f aca="false">IF(AND(ISNUMBER(D28),ISNUMBER(E28),ISNUMBER(F28)),D28/E28*F28,"")</f>
        <v>333.75</v>
      </c>
      <c r="H28" s="14" t="n">
        <f aca="false">IF(AND(ISNUMBER(B28),ISNUMBER(C28),ISNUMBER(G28)),B28*1000/C28/G28,"")</f>
        <v>0.449438202247191</v>
      </c>
    </row>
    <row r="29" customFormat="false" ht="15" hidden="false" customHeight="false" outlineLevel="0" collapsed="false">
      <c r="A29" s="12" t="s">
        <v>30</v>
      </c>
      <c r="B29" s="12" t="n">
        <v>0.3</v>
      </c>
      <c r="C29" s="12" t="n">
        <v>2</v>
      </c>
      <c r="D29" s="12" t="n">
        <v>2.77</v>
      </c>
      <c r="E29" s="12" t="n">
        <v>0.8</v>
      </c>
      <c r="F29" s="12" t="n">
        <v>100</v>
      </c>
      <c r="G29" s="13" t="n">
        <f aca="false">IF(AND(ISNUMBER(D29),ISNUMBER(E29),ISNUMBER(F29)),D29/E29*F29,"")</f>
        <v>346.25</v>
      </c>
      <c r="H29" s="14" t="n">
        <f aca="false">IF(AND(ISNUMBER(B29),ISNUMBER(C29),ISNUMBER(G29)),B29*1000/C29/G29,"")</f>
        <v>0.433212996389892</v>
      </c>
    </row>
    <row r="30" customFormat="false" ht="15" hidden="false" customHeight="false" outlineLevel="0" collapsed="false">
      <c r="A30" s="12" t="s">
        <v>30</v>
      </c>
      <c r="B30" s="12" t="n">
        <v>0.4</v>
      </c>
      <c r="C30" s="12" t="n">
        <v>2</v>
      </c>
      <c r="D30" s="12" t="n">
        <v>2.93</v>
      </c>
      <c r="E30" s="12" t="n">
        <v>0.8</v>
      </c>
      <c r="F30" s="12" t="n">
        <v>100</v>
      </c>
      <c r="G30" s="13" t="n">
        <f aca="false">IF(AND(ISNUMBER(D30),ISNUMBER(E30),ISNUMBER(F30)),D30/E30*F30,"")</f>
        <v>366.25</v>
      </c>
      <c r="H30" s="14" t="n">
        <f aca="false">IF(AND(ISNUMBER(B30),ISNUMBER(C30),ISNUMBER(G30)),B30*1000/C30/G30,"")</f>
        <v>0.546075085324232</v>
      </c>
    </row>
    <row r="31" customFormat="false" ht="15" hidden="false" customHeight="false" outlineLevel="0" collapsed="false">
      <c r="A31" s="12"/>
      <c r="B31" s="12"/>
      <c r="C31" s="12"/>
      <c r="D31" s="12"/>
      <c r="E31" s="12"/>
      <c r="F31" s="12"/>
      <c r="G31" s="13" t="str">
        <f aca="false">IF(AND(ISNUMBER(D31),ISNUMBER(E31),ISNUMBER(F31)),D31/E31*F31,"")</f>
        <v/>
      </c>
      <c r="H31" s="14" t="str">
        <f aca="false">IF(AND(ISNUMBER(B31),ISNUMBER(C31),ISNUMBER(G31)),B31*1000/C31/G31,"")</f>
        <v/>
      </c>
    </row>
    <row r="32" customFormat="false" ht="15" hidden="false" customHeight="false" outlineLevel="0" collapsed="false">
      <c r="A32" s="12"/>
      <c r="B32" s="12"/>
      <c r="C32" s="12"/>
      <c r="D32" s="12"/>
      <c r="E32" s="12"/>
      <c r="F32" s="12"/>
      <c r="G32" s="13" t="str">
        <f aca="false">IF(AND(ISNUMBER(D32),ISNUMBER(E32),ISNUMBER(F32)),D32/E32*F32,"")</f>
        <v/>
      </c>
      <c r="H32" s="14" t="str">
        <f aca="false">IF(AND(ISNUMBER(B32),ISNUMBER(C32),ISNUMBER(G32)),B32*1000/C32/G32,"")</f>
        <v/>
      </c>
    </row>
    <row r="33" customFormat="false" ht="15" hidden="false" customHeight="false" outlineLevel="0" collapsed="false">
      <c r="A33" s="12"/>
      <c r="B33" s="12"/>
      <c r="C33" s="12"/>
      <c r="D33" s="12"/>
      <c r="E33" s="12"/>
      <c r="F33" s="12"/>
      <c r="G33" s="13" t="str">
        <f aca="false">IF(AND(ISNUMBER(D33),ISNUMBER(E33),ISNUMBER(F33)),D33/E33*F33,"")</f>
        <v/>
      </c>
      <c r="H33" s="14" t="str">
        <f aca="false">IF(AND(ISNUMBER(B33),ISNUMBER(C33),ISNUMBER(G33)),B33*1000/C33/G33,"")</f>
        <v/>
      </c>
    </row>
    <row r="34" customFormat="false" ht="15" hidden="false" customHeight="false" outlineLevel="0" collapsed="false">
      <c r="A34" s="12"/>
      <c r="B34" s="12"/>
      <c r="C34" s="12"/>
      <c r="D34" s="12"/>
      <c r="E34" s="12"/>
      <c r="F34" s="12"/>
      <c r="G34" s="13" t="str">
        <f aca="false">IF(AND(ISNUMBER(D34),ISNUMBER(E34),ISNUMBER(F34)),D34/E34*F34,"")</f>
        <v/>
      </c>
      <c r="H34" s="14" t="str">
        <f aca="false">IF(AND(ISNUMBER(B34),ISNUMBER(C34),ISNUMBER(G34)),B34*1000/C34/G34,"")</f>
        <v/>
      </c>
    </row>
    <row r="35" customFormat="false" ht="15" hidden="false" customHeight="false" outlineLevel="0" collapsed="false">
      <c r="A35" s="12"/>
      <c r="B35" s="12"/>
      <c r="C35" s="12"/>
      <c r="D35" s="12"/>
      <c r="E35" s="12"/>
      <c r="F35" s="12"/>
      <c r="G35" s="13" t="str">
        <f aca="false">IF(AND(ISNUMBER(D35),ISNUMBER(E35),ISNUMBER(F35)),D35/E35*F35,"")</f>
        <v/>
      </c>
      <c r="H35" s="14" t="str">
        <f aca="false">IF(AND(ISNUMBER(B35),ISNUMBER(C35),ISNUMBER(G35)),B35*1000/C35/G35,"")</f>
        <v/>
      </c>
    </row>
    <row r="36" customFormat="false" ht="15" hidden="false" customHeight="false" outlineLevel="0" collapsed="false">
      <c r="A36" s="12"/>
      <c r="B36" s="12"/>
      <c r="C36" s="12"/>
      <c r="D36" s="12"/>
      <c r="E36" s="12"/>
      <c r="F36" s="12"/>
      <c r="G36" s="13" t="str">
        <f aca="false">IF(AND(ISNUMBER(D36),ISNUMBER(E36),ISNUMBER(F36)),D36/E36*F36,"")</f>
        <v/>
      </c>
      <c r="H36" s="14" t="str">
        <f aca="false">IF(AND(ISNUMBER(B36),ISNUMBER(C36),ISNUMBER(G36)),B36*1000/C36/G36,"")</f>
        <v/>
      </c>
    </row>
    <row r="37" customFormat="false" ht="15" hidden="false" customHeight="false" outlineLevel="0" collapsed="false">
      <c r="A37" s="12"/>
      <c r="B37" s="12"/>
      <c r="C37" s="12"/>
      <c r="D37" s="12"/>
      <c r="E37" s="12"/>
      <c r="F37" s="12"/>
      <c r="G37" s="13" t="str">
        <f aca="false">IF(AND(ISNUMBER(D37),ISNUMBER(E37),ISNUMBER(F37)),D37/E37*F37,"")</f>
        <v/>
      </c>
      <c r="H37" s="14" t="str">
        <f aca="false">IF(AND(ISNUMBER(B37),ISNUMBER(C37),ISNUMBER(G37)),B37*1000/C37/G37,"")</f>
        <v/>
      </c>
    </row>
    <row r="38" customFormat="false" ht="15" hidden="false" customHeight="false" outlineLevel="0" collapsed="false">
      <c r="A38" s="12"/>
      <c r="B38" s="12"/>
      <c r="C38" s="12"/>
      <c r="D38" s="12"/>
      <c r="E38" s="12"/>
      <c r="F38" s="12"/>
      <c r="G38" s="13" t="str">
        <f aca="false">IF(AND(ISNUMBER(D38),ISNUMBER(E38),ISNUMBER(F38)),D38/E38*F38,"")</f>
        <v/>
      </c>
      <c r="H38" s="14" t="str">
        <f aca="false">IF(AND(ISNUMBER(B38),ISNUMBER(C38),ISNUMBER(G38)),B38*1000/C38/G38,"")</f>
        <v/>
      </c>
    </row>
    <row r="39" customFormat="false" ht="15" hidden="false" customHeight="false" outlineLevel="0" collapsed="false">
      <c r="A39" s="12"/>
      <c r="B39" s="12"/>
      <c r="C39" s="12"/>
      <c r="D39" s="12"/>
      <c r="E39" s="12"/>
      <c r="F39" s="12"/>
      <c r="G39" s="13" t="str">
        <f aca="false">IF(AND(ISNUMBER(D39),ISNUMBER(E39),ISNUMBER(F39)),D39/E39*F39,"")</f>
        <v/>
      </c>
      <c r="H39" s="14" t="str">
        <f aca="false">IF(AND(ISNUMBER(B39),ISNUMBER(C39),ISNUMBER(G39)),B39*1000/C39/G39,"")</f>
        <v/>
      </c>
    </row>
    <row r="40" customFormat="false" ht="15" hidden="false" customHeight="false" outlineLevel="0" collapsed="false">
      <c r="A40" s="12"/>
      <c r="B40" s="12"/>
      <c r="C40" s="12"/>
      <c r="D40" s="12"/>
      <c r="E40" s="12"/>
      <c r="F40" s="12"/>
      <c r="G40" s="13" t="str">
        <f aca="false">IF(AND(ISNUMBER(D40),ISNUMBER(E40),ISNUMBER(F40)),D40/E40*F40,"")</f>
        <v/>
      </c>
      <c r="H40" s="14" t="str">
        <f aca="false">IF(AND(ISNUMBER(B40),ISNUMBER(C40),ISNUMBER(G40)),B40*1000/C40/G40,"")</f>
        <v/>
      </c>
    </row>
    <row r="41" customFormat="false" ht="15" hidden="false" customHeight="false" outlineLevel="0" collapsed="false">
      <c r="A41" s="12"/>
      <c r="B41" s="12"/>
      <c r="C41" s="12"/>
      <c r="D41" s="12"/>
      <c r="E41" s="12"/>
      <c r="F41" s="12"/>
      <c r="G41" s="13" t="str">
        <f aca="false">IF(AND(ISNUMBER(D41),ISNUMBER(E41),ISNUMBER(F41)),D41/E41*F41,"")</f>
        <v/>
      </c>
      <c r="H41" s="14" t="str">
        <f aca="false">IF(AND(ISNUMBER(B41),ISNUMBER(C41),ISNUMBER(G41)),B41*1000/C41/G41,"")</f>
        <v/>
      </c>
    </row>
    <row r="42" customFormat="false" ht="15" hidden="false" customHeight="false" outlineLevel="0" collapsed="false">
      <c r="A42" s="12"/>
      <c r="B42" s="12"/>
      <c r="C42" s="12"/>
      <c r="D42" s="12"/>
      <c r="E42" s="12"/>
      <c r="F42" s="12"/>
      <c r="G42" s="13" t="str">
        <f aca="false">IF(AND(ISNUMBER(D42),ISNUMBER(E42),ISNUMBER(F42)),D42/E42*F42,"")</f>
        <v/>
      </c>
      <c r="H42" s="14" t="str">
        <f aca="false">IF(AND(ISNUMBER(B42),ISNUMBER(C42),ISNUMBER(G42)),B42*1000/C42/G42,"")</f>
        <v/>
      </c>
    </row>
    <row r="43" customFormat="false" ht="15" hidden="false" customHeight="false" outlineLevel="0" collapsed="false">
      <c r="A43" s="12"/>
      <c r="B43" s="12"/>
      <c r="C43" s="12"/>
      <c r="D43" s="12"/>
      <c r="E43" s="12"/>
      <c r="F43" s="12"/>
      <c r="G43" s="13" t="str">
        <f aca="false">IF(AND(ISNUMBER(D43),ISNUMBER(E43),ISNUMBER(F43)),D43/E43*F43,"")</f>
        <v/>
      </c>
      <c r="H43" s="14" t="str">
        <f aca="false">IF(AND(ISNUMBER(B43),ISNUMBER(C43),ISNUMBER(G43)),B43*1000/C43/G43,"")</f>
        <v/>
      </c>
    </row>
    <row r="44" customFormat="false" ht="15" hidden="false" customHeight="false" outlineLevel="0" collapsed="false">
      <c r="A44" s="12"/>
      <c r="B44" s="12"/>
      <c r="C44" s="12"/>
      <c r="D44" s="12"/>
      <c r="E44" s="12"/>
      <c r="F44" s="12"/>
      <c r="G44" s="13" t="str">
        <f aca="false">IF(AND(ISNUMBER(D44),ISNUMBER(E44),ISNUMBER(F44)),D44/E44*F44,"")</f>
        <v/>
      </c>
      <c r="H44" s="14" t="str">
        <f aca="false">IF(AND(ISNUMBER(B44),ISNUMBER(C44),ISNUMBER(G44)),B44*1000/C44/G44,"")</f>
        <v/>
      </c>
    </row>
    <row r="45" customFormat="false" ht="15" hidden="false" customHeight="false" outlineLevel="0" collapsed="false">
      <c r="A45" s="12"/>
      <c r="B45" s="12"/>
      <c r="C45" s="12"/>
      <c r="D45" s="12"/>
      <c r="E45" s="12"/>
      <c r="F45" s="12"/>
      <c r="G45" s="13" t="str">
        <f aca="false">IF(AND(ISNUMBER(D45),ISNUMBER(E45),ISNUMBER(F45)),D45/E45*F45,"")</f>
        <v/>
      </c>
      <c r="H45" s="14" t="str">
        <f aca="false">IF(AND(ISNUMBER(B45),ISNUMBER(C45),ISNUMBER(G45)),B45*1000/C45/G45,"")</f>
        <v/>
      </c>
    </row>
    <row r="46" customFormat="false" ht="15" hidden="false" customHeight="false" outlineLevel="0" collapsed="false">
      <c r="A46" s="12"/>
      <c r="B46" s="12"/>
      <c r="C46" s="12"/>
      <c r="D46" s="12"/>
      <c r="E46" s="12"/>
      <c r="F46" s="12"/>
      <c r="G46" s="13" t="str">
        <f aca="false">IF(AND(ISNUMBER(D46),ISNUMBER(E46),ISNUMBER(F46)),D46/E46*F46,"")</f>
        <v/>
      </c>
      <c r="H46" s="14" t="str">
        <f aca="false">IF(AND(ISNUMBER(B46),ISNUMBER(C46),ISNUMBER(G46)),B46*1000/C46/G46,"")</f>
        <v/>
      </c>
    </row>
    <row r="49" customFormat="false" ht="15" hidden="false" customHeight="false" outlineLevel="0" collapsed="false">
      <c r="A49" s="9" t="s">
        <v>31</v>
      </c>
    </row>
    <row r="50" customFormat="false" ht="31.5" hidden="false" customHeight="true" outlineLevel="0" collapsed="false">
      <c r="A50" s="10" t="s">
        <v>32</v>
      </c>
      <c r="B50" s="10" t="s">
        <v>33</v>
      </c>
      <c r="C50" s="10" t="s">
        <v>34</v>
      </c>
      <c r="D50" s="10" t="s">
        <v>35</v>
      </c>
    </row>
    <row r="51" customFormat="false" ht="15" hidden="false" customHeight="false" outlineLevel="0" collapsed="false">
      <c r="A51" s="12" t="s">
        <v>27</v>
      </c>
      <c r="B51" s="12" t="s">
        <v>28</v>
      </c>
      <c r="C51" s="12" t="s">
        <v>29</v>
      </c>
      <c r="D51" s="12" t="s">
        <v>30</v>
      </c>
    </row>
  </sheetData>
  <sheetProtection sheet="true" formatColumns="false"/>
  <dataValidations count="1">
    <dataValidation allowBlank="true" error="Enter a number." errorStyle="stop" errorTitle="Number needed" operator="between" showDropDown="false" showErrorMessage="true" showInputMessage="false" sqref="B7:F46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36</v>
      </c>
    </row>
    <row r="2" customFormat="false" ht="15" hidden="false" customHeight="false" outlineLevel="0" collapsed="false">
      <c r="B2" s="8" t="s">
        <v>37</v>
      </c>
    </row>
    <row r="4" customFormat="false" ht="15" hidden="false" customHeight="false" outlineLevel="0" collapsed="false">
      <c r="B4" s="9" t="s">
        <v>38</v>
      </c>
    </row>
    <row r="6" customFormat="false" ht="15" hidden="false" customHeight="false" outlineLevel="0" collapsed="false">
      <c r="B6" s="9" t="s">
        <v>39</v>
      </c>
    </row>
    <row r="7" customFormat="false" ht="30" hidden="false" customHeight="true" outlineLevel="0" collapsed="false">
      <c r="B7" s="10" t="s">
        <v>40</v>
      </c>
      <c r="C7" s="10" t="s">
        <v>41</v>
      </c>
      <c r="D7" s="10" t="s">
        <v>42</v>
      </c>
      <c r="E7" s="10" t="s">
        <v>43</v>
      </c>
      <c r="F7" s="10" t="s">
        <v>44</v>
      </c>
    </row>
    <row r="8" customFormat="false" ht="15" hidden="false" customHeight="false" outlineLevel="0" collapsed="false">
      <c r="B8" s="15" t="str">
        <f aca="false">IFERROR('Enter data'!$A$51,"")</f>
        <v>control</v>
      </c>
      <c r="C8" s="16" t="n">
        <f aca="false">IFERROR(COUNTIFS('Enter data'!$A$7:$A$46,'Enter data'!$A$51,'Enter data'!$H$7:$H$46,"&lt;&gt;"),"")</f>
        <v>6</v>
      </c>
      <c r="D8" s="17" t="n">
        <f aca="false">IFERROR(AVERAGEIF('Enter data'!$A$7:$A$46,'Enter data'!$A$51,'Enter data'!$H$7:$H$46),"")</f>
        <v>1.1423018879293</v>
      </c>
      <c r="E8" s="17" t="n">
        <f aca="false">IFERROR(SQRT(SUMPRODUCT(('Enter data'!$A$7:$A$46='Enter data'!$A$51)*ISNUMBER('Enter data'!$H$7:$H$46),(IF(ISNUMBER('Enter data'!$H$7:$H$46),'Enter data'!$H$7:$H$46,0)-D8)^2)/(C8-1)),"")</f>
        <v>0.165258447370887</v>
      </c>
      <c r="F8" s="17" t="n">
        <f aca="false">IFERROR(E8/SQRT(C8),"")</f>
        <v>0.0674664786238769</v>
      </c>
    </row>
    <row r="9" customFormat="false" ht="15" hidden="false" customHeight="false" outlineLevel="0" collapsed="false">
      <c r="B9" s="15" t="str">
        <f aca="false">IFERROR('Enter data'!$B$51,"")</f>
        <v>fan</v>
      </c>
      <c r="C9" s="16" t="n">
        <f aca="false">IFERROR(COUNTIFS('Enter data'!$A$7:$A$46,'Enter data'!$B$51,'Enter data'!$H$7:$H$46,"&lt;&gt;"),"")</f>
        <v>6</v>
      </c>
      <c r="D9" s="17" t="n">
        <f aca="false">IFERROR(AVERAGEIF('Enter data'!$A$7:$A$46,'Enter data'!$B$51,'Enter data'!$H$7:$H$46),"")</f>
        <v>2.22692289718182</v>
      </c>
      <c r="E9" s="17" t="n">
        <f aca="false">IFERROR(SQRT(SUMPRODUCT(('Enter data'!$A$7:$A$46='Enter data'!$B$51)*ISNUMBER('Enter data'!$H$7:$H$46),(IF(ISNUMBER('Enter data'!$H$7:$H$46),'Enter data'!$H$7:$H$46,0)-D9)^2)/(C9-1)),"")</f>
        <v>0.135337231072587</v>
      </c>
      <c r="F9" s="17" t="n">
        <f aca="false">IFERROR(E9/SQRT(C9),"")</f>
        <v>0.0552511932214966</v>
      </c>
    </row>
    <row r="10" customFormat="false" ht="15" hidden="false" customHeight="false" outlineLevel="0" collapsed="false">
      <c r="B10" s="15" t="str">
        <f aca="false">IFERROR('Enter data'!$C$51,"")</f>
        <v>lamp</v>
      </c>
      <c r="C10" s="16" t="n">
        <f aca="false">IFERROR(COUNTIFS('Enter data'!$A$7:$A$46,'Enter data'!$C$51,'Enter data'!$H$7:$H$46,"&lt;&gt;"),"")</f>
        <v>6</v>
      </c>
      <c r="D10" s="17" t="n">
        <f aca="false">IFERROR(AVERAGEIF('Enter data'!$A$7:$A$46,'Enter data'!$C$51,'Enter data'!$H$7:$H$46),"")</f>
        <v>1.57218796136896</v>
      </c>
      <c r="E10" s="17" t="n">
        <f aca="false">IFERROR(SQRT(SUMPRODUCT(('Enter data'!$A$7:$A$46='Enter data'!$C$51)*ISNUMBER('Enter data'!$H$7:$H$46),(IF(ISNUMBER('Enter data'!$H$7:$H$46),'Enter data'!$H$7:$H$46,0)-D10)^2)/(C10-1)),"")</f>
        <v>0.168127546694198</v>
      </c>
      <c r="F10" s="17" t="n">
        <f aca="false">IFERROR(E10/SQRT(C10),"")</f>
        <v>0.0686377835177894</v>
      </c>
    </row>
    <row r="11" customFormat="false" ht="15" hidden="false" customHeight="false" outlineLevel="0" collapsed="false">
      <c r="B11" s="15" t="str">
        <f aca="false">IFERROR('Enter data'!$D$51,"")</f>
        <v>humid bag</v>
      </c>
      <c r="C11" s="16" t="n">
        <f aca="false">IFERROR(COUNTIFS('Enter data'!$A$7:$A$46,'Enter data'!$D$51,'Enter data'!$H$7:$H$46,"&lt;&gt;"),"")</f>
        <v>6</v>
      </c>
      <c r="D11" s="17" t="n">
        <f aca="false">IFERROR(AVERAGEIF('Enter data'!$A$7:$A$46,'Enter data'!$D$51,'Enter data'!$H$7:$H$46),"")</f>
        <v>0.492599323070984</v>
      </c>
      <c r="E11" s="17" t="n">
        <f aca="false">IFERROR(SQRT(SUMPRODUCT(('Enter data'!$A$7:$A$46='Enter data'!$D$51)*ISNUMBER('Enter data'!$H$7:$H$46),(IF(ISNUMBER('Enter data'!$H$7:$H$46),'Enter data'!$H$7:$H$46,0)-D11)^2)/(C11-1)),"")</f>
        <v>0.0466795152656595</v>
      </c>
      <c r="F11" s="17" t="n">
        <f aca="false">IFERROR(E11/SQRT(C11),"")</f>
        <v>0.0190568323068873</v>
      </c>
    </row>
    <row r="14" customFormat="false" ht="15" hidden="false" customHeight="false" outlineLevel="0" collapsed="false">
      <c r="B14" s="9" t="s">
        <v>45</v>
      </c>
    </row>
    <row r="15" customFormat="false" ht="15" hidden="false" customHeight="false" outlineLevel="0" collapsed="false">
      <c r="B15" s="18" t="s">
        <v>46</v>
      </c>
      <c r="C15" s="19" t="n">
        <f aca="false">IFERROR(SUM($C$8:$C$11),"")</f>
        <v>24</v>
      </c>
    </row>
    <row r="16" customFormat="false" ht="15" hidden="false" customHeight="false" outlineLevel="0" collapsed="false">
      <c r="B16" s="18" t="s">
        <v>47</v>
      </c>
      <c r="C16" s="20" t="n">
        <f aca="false">IFERROR(SUMPRODUCT($C$8:$C$11,$D$8:$D$11)/$C$15,"")</f>
        <v>1.35850301738776</v>
      </c>
    </row>
    <row r="17" customFormat="false" ht="15" hidden="false" customHeight="false" outlineLevel="0" collapsed="false">
      <c r="B17" s="18" t="s">
        <v>48</v>
      </c>
      <c r="C17" s="20" t="n">
        <f aca="false">IFERROR(SUMPRODUCT($C$8:$C$11,($D$8:$D$11-$C$16)^2),"")</f>
        <v>9.57807887469794</v>
      </c>
    </row>
    <row r="18" customFormat="false" ht="15" hidden="false" customHeight="false" outlineLevel="0" collapsed="false">
      <c r="B18" s="18" t="s">
        <v>49</v>
      </c>
      <c r="C18" s="20" t="n">
        <f aca="false">IFERROR(SUMPRODUCT($C$8:$C$11-1,$E$8:$E$11^2),"")</f>
        <v>0.380361848223388</v>
      </c>
    </row>
    <row r="19" customFormat="false" ht="15" hidden="false" customHeight="false" outlineLevel="0" collapsed="false">
      <c r="B19" s="18" t="s">
        <v>50</v>
      </c>
      <c r="C19" s="21" t="n">
        <f aca="false">IFERROR(($C$17/3)/($C$18/($C$15-4)),"")</f>
        <v>167.876613974047</v>
      </c>
    </row>
    <row r="20" customFormat="false" ht="15" hidden="false" customHeight="false" outlineLevel="0" collapsed="false">
      <c r="B20" s="18" t="s">
        <v>51</v>
      </c>
      <c r="C20" s="22" t="n">
        <f aca="false">IFERROR(FDIST($C$19,3,$C$15-4),"")</f>
        <v>2.40214638626434E-014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2026-10-01T00:29:23Z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2026-10-01T00:29:23Z</dcterms:modified>
  <cp:revision>0</cp:revision>
  <dc:subject/>
  <dc:title>BOT-02 Transpiration rate under four treatments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