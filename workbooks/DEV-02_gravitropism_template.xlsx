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Enter data" sheetId="2" state="visible" r:id="rId4"/>
    <sheet name="Result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<sst xmlns="http://schemas.openxmlformats.org/spreadsheetml/2006/main" count="52" uniqueCount="46">
  <si>
    <t xml:space="preserve">DEV-02  Root gravitropism: kinetics of bending</t>
  </si>
  <si>
    <t xml:space="preserve">Excel version of the card. It does the same calculations as the R script dev02_gravitropism.R.</t>
  </si>
  <si>
    <t xml:space="preserve">How to use this workbook</t>
  </si>
  <si>
    <t xml:space="preserve">1.  Go to the 'Enter data' sheet. Type only in the yellow cells with blue text. Grey cells are calculated for you.</t>
  </si>
  <si>
    <t xml:space="preserve">2.  Fill the blocks that apply. Leave rows you did not use empty. The grey italic row above each table is an example of the format and is not used.</t>
  </si>
  <si>
    <t xml:space="preserve">3.  Open the 'Results' sheet. Everything there is calculated. Yellow cells on that sheet are settings you may change.</t>
  </si>
  <si>
    <t xml:space="preserve">What the colours mean</t>
  </si>
  <si>
    <t xml:space="preserve">Yellow cell, blue text:  you type here.</t>
  </si>
  <si>
    <t xml:space="preserve">Grey cell:  a formula. Sheets are protected without a password so formulas are not overwritten by accident (Review &gt; Unprotect Sheet).</t>
  </si>
  <si>
    <t xml:space="preserve">Assumptions and sources</t>
  </si>
  <si>
    <t xml:space="preserve">Enter the angle of the root tip from its original direction (0 = no bending) at each time. Type the hours in the yellow header cells of each block. The seedling is the unit of replication.</t>
  </si>
  <si>
    <t xml:space="preserve">Differences from the R script on the card</t>
  </si>
  <si>
    <t xml:space="preserve">The R script finds the lag and steepest rate for each seedling and tests them. Here the mean curves and the time to reach 45 degrees are shown, and the final angles are compared with a Welch t test.</t>
  </si>
  <si>
    <t xml:space="preserve">Practice data in the filled example were invented for the card. They are not real measurements.</t>
  </si>
  <si>
    <t xml:space="preserve">Compiled by Emmanuel G. Lozano, Department of Biology, College of Arts and Sciences, Pampanga State University. Original material is licensed CC BY-NC 4.0: credit required, non-commercial use only.</t>
  </si>
  <si>
    <t xml:space="preserve">Enter your data</t>
  </si>
  <si>
    <t xml:space="preserve">Type only in yellow cells. Leave unused rows empty.</t>
  </si>
  <si>
    <t xml:space="preserve">1. Treatment names</t>
  </si>
  <si>
    <t xml:space="preserve">Treatment 1</t>
  </si>
  <si>
    <t xml:space="preserve">Treatment 2</t>
  </si>
  <si>
    <t xml:space="preserve">2. Angles (degrees) for treatment 1: type the hours in the yellow header cells</t>
  </si>
  <si>
    <t xml:space="preserve">Seedling</t>
  </si>
  <si>
    <t xml:space="preserve">s1</t>
  </si>
  <si>
    <t xml:space="preserve">3. Angles (degrees) for treatment 2: type the hours in the yellow header cells</t>
  </si>
  <si>
    <t xml:space="preserve">Results</t>
  </si>
  <si>
    <t xml:space="preserve">Everything on this sheet is calculated. Change only the yellow settings.</t>
  </si>
  <si>
    <t xml:space="preserve">Mean angle by time (degrees)</t>
  </si>
  <si>
    <t xml:space="preserve">Hours</t>
  </si>
  <si>
    <t xml:space="preserve">Mean, treatment 1</t>
  </si>
  <si>
    <t xml:space="preserve">SD</t>
  </si>
  <si>
    <t xml:space="preserve">Mean, treatment 2</t>
  </si>
  <si>
    <t xml:space="preserve">Time to reach 45 degrees on the mean curve (hours, linear interpolation)</t>
  </si>
  <si>
    <t xml:space="preserve">Final angle (last time)</t>
  </si>
  <si>
    <t xml:space="preserve">Group</t>
  </si>
  <si>
    <t xml:space="preserve">n</t>
  </si>
  <si>
    <t xml:space="preserve">Mean</t>
  </si>
  <si>
    <t xml:space="preserve">SE</t>
  </si>
  <si>
    <t xml:space="preserve">Min</t>
  </si>
  <si>
    <t xml:space="preserve">Max</t>
  </si>
  <si>
    <t xml:space="preserve">Comparison of the two groups (Welch t test)</t>
  </si>
  <si>
    <t xml:space="preserve">Difference in means (group 1 minus group 2)</t>
  </si>
  <si>
    <t xml:space="preserve">Standard error of the difference</t>
  </si>
  <si>
    <t xml:space="preserve">Degrees of freedom (Welch)</t>
  </si>
  <si>
    <t xml:space="preserve">p value (two-sided)</t>
  </si>
  <si>
    <t xml:space="preserve">95% interval for the difference, lower</t>
  </si>
  <si>
    <t xml:space="preserve">95% interval for the difference, upper</t>
  </si>
</sst>
</file>

<file path=xl/styles.xml><?xml version="1.0" encoding="utf-8"?>
<styleSheet xmlns="http://schemas.openxmlformats.org/spreadsheetml/2006/main">
  <numFmts count="6">
    <numFmt numFmtId="164" formatCode="General"/>
    <numFmt numFmtId="165" formatCode="0"/>
    <numFmt numFmtId="166" formatCode="0.0"/>
    <numFmt numFmtId="167" formatCode="General"/>
    <numFmt numFmtId="168" formatCode="0.000"/>
    <numFmt numFmtId="169" formatCode="0.0000"/>
  </numFmts>
  <fonts count="12">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sz val="10"/>
      <color rgb="FF0000FF"/>
      <name val="Arial"/>
      <family val="0"/>
      <charset val="1"/>
    </font>
    <font>
      <i val="true"/>
      <sz val="9"/>
      <color rgb="FF595959"/>
      <name val="Arial"/>
      <family val="0"/>
      <charset val="1"/>
    </font>
    <font>
      <b val="true"/>
      <sz val="10"/>
      <color rgb="FFFFFFFF"/>
      <name val="Arial"/>
      <family val="0"/>
      <charset val="1"/>
    </font>
    <font>
      <b val="true"/>
      <sz val="10"/>
      <color rgb="FF0000FF"/>
      <name val="Arial"/>
      <family val="0"/>
      <charset val="1"/>
    </font>
    <font>
      <i val="true"/>
      <sz val="10"/>
      <color rgb="FF7F7F7F"/>
      <name val="Arial"/>
      <family val="0"/>
      <charset val="1"/>
    </font>
  </fonts>
  <fills count="6">
    <fill>
      <patternFill patternType="none"/>
    </fill>
    <fill>
      <patternFill patternType="gray125"/>
    </fill>
    <fill>
      <patternFill patternType="solid">
        <fgColor rgb="FFFFF2CC"/>
        <bgColor rgb="FFEDEDED"/>
      </patternFill>
    </fill>
    <fill>
      <patternFill patternType="solid">
        <fgColor rgb="FFEDEDED"/>
        <bgColor rgb="FFE2EFDA"/>
      </patternFill>
    </fill>
    <fill>
      <patternFill patternType="solid">
        <fgColor rgb="FF1F4E78"/>
        <bgColor rgb="FF003366"/>
      </patternFill>
    </fill>
    <fill>
      <patternFill patternType="solid">
        <fgColor rgb="FFE2EFDA"/>
        <bgColor rgb="FFEDEDED"/>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false" applyProtection="true">
      <alignment horizontal="general" vertical="bottom" textRotation="0" wrapText="false" indent="0" shrinkToFit="false"/>
      <protection locked="false" hidden="false"/>
    </xf>
    <xf numFmtId="164" fontId="10" fillId="2" borderId="1" xfId="0" applyFont="true" applyBorder="true" applyAlignment="true" applyProtection="true">
      <alignment horizontal="center" vertical="center" textRotation="0" wrapText="true" indent="0" shrinkToFit="false"/>
      <protection locked="fals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5"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6" fontId="6" fillId="5" borderId="1" xfId="0" applyFont="true" applyBorder="true" applyAlignment="true" applyProtection="false">
      <alignment horizontal="right" vertical="center" textRotation="0" wrapText="false" indent="0" shrinkToFit="false"/>
      <protection locked="true" hidden="false"/>
    </xf>
    <xf numFmtId="167" fontId="5"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69" fontId="6" fillId="5" borderId="1" xfId="0" applyFont="true" applyBorder="true" applyAlignment="true" applyProtection="false">
      <alignment horizontal="right"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2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8"/>
  </cols>
  <sheetData>
    <row r="1" customFormat="false" ht="17.35" hidden="false" customHeight="false" outlineLevel="0" collapsed="false">
      <c r="B1" s="1" t="s">
        <v>0</v>
      </c>
    </row>
    <row r="2" customFormat="false" ht="15" hidden="false" customHeight="false" outlineLevel="0" collapsed="false">
      <c r="B2" s="2" t="s">
        <v>1</v>
      </c>
    </row>
    <row r="3" customFormat="false" ht="15" hidden="false" customHeight="false" outlineLevel="0" collapsed="false">
      <c r="B3" s="2"/>
    </row>
    <row r="4" customFormat="false" ht="15" hidden="false" customHeight="false" outlineLevel="0" collapsed="false">
      <c r="B4" s="3" t="s">
        <v>2</v>
      </c>
    </row>
    <row r="5" customFormat="false" ht="15" hidden="false" customHeight="false" outlineLevel="0" collapsed="false">
      <c r="B5" s="2" t="s">
        <v>3</v>
      </c>
    </row>
    <row r="6" customFormat="false" ht="23.85" hidden="false" customHeight="false" outlineLevel="0" collapsed="false">
      <c r="B6" s="2" t="s">
        <v>4</v>
      </c>
    </row>
    <row r="7" customFormat="false" ht="15" hidden="false" customHeight="false" outlineLevel="0" collapsed="false">
      <c r="B7" s="2" t="s">
        <v>5</v>
      </c>
    </row>
    <row r="8" customFormat="false" ht="15" hidden="false" customHeight="false" outlineLevel="0" collapsed="false">
      <c r="B8" s="2"/>
    </row>
    <row r="9" customFormat="false" ht="15" hidden="false" customHeight="false" outlineLevel="0" collapsed="false">
      <c r="B9" s="3" t="s">
        <v>6</v>
      </c>
    </row>
    <row r="10" customFormat="false" ht="15" hidden="false" customHeight="false" outlineLevel="0" collapsed="false">
      <c r="B10" s="4" t="s">
        <v>7</v>
      </c>
    </row>
    <row r="11" customFormat="false" ht="23.85" hidden="false" customHeight="false" outlineLevel="0" collapsed="false">
      <c r="B11" s="5" t="s">
        <v>8</v>
      </c>
    </row>
    <row r="12" customFormat="false" ht="15" hidden="false" customHeight="false" outlineLevel="0" collapsed="false">
      <c r="B12" s="2"/>
    </row>
    <row r="13" customFormat="false" ht="15" hidden="false" customHeight="false" outlineLevel="0" collapsed="false">
      <c r="B13" s="3" t="s">
        <v>9</v>
      </c>
    </row>
    <row r="14" customFormat="false" ht="23.85" hidden="false" customHeight="false" outlineLevel="0" collapsed="false">
      <c r="B14" s="2" t="s">
        <v>10</v>
      </c>
    </row>
    <row r="15" customFormat="false" ht="15" hidden="false" customHeight="false" outlineLevel="0" collapsed="false">
      <c r="B15" s="2"/>
    </row>
    <row r="16" customFormat="false" ht="15" hidden="false" customHeight="false" outlineLevel="0" collapsed="false">
      <c r="B16" s="3" t="s">
        <v>11</v>
      </c>
    </row>
    <row r="17" customFormat="false" ht="23.85" hidden="false" customHeight="false" outlineLevel="0" collapsed="false">
      <c r="B17" s="2" t="s">
        <v>12</v>
      </c>
    </row>
    <row r="18" customFormat="false" ht="15" hidden="false" customHeight="false" outlineLevel="0" collapsed="false">
      <c r="B18" s="2"/>
    </row>
    <row r="19" customFormat="false" ht="15" hidden="false" customHeight="false" outlineLevel="0" collapsed="false">
      <c r="B19" s="6" t="s">
        <v>13</v>
      </c>
    </row>
    <row r="20" customFormat="false" ht="15" hidden="false" customHeight="false" outlineLevel="0" collapsed="false">
      <c r="B20" s="2"/>
    </row>
    <row r="21" customFormat="false" ht="22.35" hidden="false" customHeight="false" outlineLevel="0" collapsed="false">
      <c r="B21" s="6" t="s">
        <v>14</v>
      </c>
    </row>
  </sheetData>
  <sheetProtection sheet="true" formatColumns="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12" min="2" style="0" width="21"/>
  </cols>
  <sheetData>
    <row r="1" customFormat="false" ht="17.35" hidden="false" customHeight="false" outlineLevel="0" collapsed="false">
      <c r="A1" s="7" t="s">
        <v>15</v>
      </c>
    </row>
    <row r="2" customFormat="false" ht="15" hidden="false" customHeight="false" outlineLevel="0" collapsed="false">
      <c r="A2" s="8" t="s">
        <v>16</v>
      </c>
    </row>
    <row r="4" customFormat="false" ht="15" hidden="false" customHeight="false" outlineLevel="0" collapsed="false">
      <c r="A4" s="9" t="s">
        <v>17</v>
      </c>
    </row>
    <row r="5" customFormat="false" ht="31.5" hidden="false" customHeight="true" outlineLevel="0" collapsed="false">
      <c r="A5" s="10" t="s">
        <v>18</v>
      </c>
      <c r="B5" s="10" t="s">
        <v>19</v>
      </c>
    </row>
    <row r="6" customFormat="false" ht="15" hidden="false" customHeight="false" outlineLevel="0" collapsed="false">
      <c r="A6" s="11"/>
      <c r="B6" s="11"/>
    </row>
    <row r="9" customFormat="false" ht="15" hidden="false" customHeight="false" outlineLevel="0" collapsed="false">
      <c r="A9" s="9" t="s">
        <v>20</v>
      </c>
    </row>
    <row r="10" customFormat="false" ht="31.5" hidden="false" customHeight="true" outlineLevel="0" collapsed="false">
      <c r="A10" s="10" t="s">
        <v>21</v>
      </c>
      <c r="B10" s="12" t="n">
        <v>1</v>
      </c>
      <c r="C10" s="12" t="n">
        <v>2</v>
      </c>
      <c r="D10" s="12" t="n">
        <v>3</v>
      </c>
      <c r="E10" s="12" t="n">
        <v>4</v>
      </c>
      <c r="F10" s="12" t="n">
        <v>6</v>
      </c>
      <c r="G10" s="12" t="n">
        <v>8</v>
      </c>
      <c r="H10" s="12" t="n">
        <v>12</v>
      </c>
      <c r="I10" s="12" t="n">
        <v>24</v>
      </c>
    </row>
    <row r="11" customFormat="false" ht="15" hidden="false" customHeight="false" outlineLevel="0" collapsed="false">
      <c r="A11" s="13" t="s">
        <v>22</v>
      </c>
      <c r="B11" s="13" t="n">
        <v>5</v>
      </c>
      <c r="C11" s="13" t="n">
        <v>20</v>
      </c>
      <c r="D11" s="13" t="n">
        <v>45</v>
      </c>
      <c r="E11" s="13" t="n">
        <v>70</v>
      </c>
      <c r="F11" s="13" t="n">
        <v>80</v>
      </c>
      <c r="G11" s="13" t="n">
        <v>84</v>
      </c>
      <c r="H11" s="13" t="n">
        <v>86</v>
      </c>
      <c r="I11" s="13" t="n">
        <v>86</v>
      </c>
    </row>
    <row r="12" customFormat="false" ht="15" hidden="false" customHeight="false" outlineLevel="0" collapsed="false">
      <c r="A12" s="11"/>
      <c r="B12" s="11"/>
      <c r="C12" s="11"/>
      <c r="D12" s="11"/>
      <c r="E12" s="11"/>
      <c r="F12" s="11"/>
      <c r="G12" s="11"/>
      <c r="H12" s="11"/>
      <c r="I12" s="11"/>
    </row>
    <row r="13" customFormat="false" ht="15" hidden="false" customHeight="false" outlineLevel="0" collapsed="false">
      <c r="A13" s="11"/>
      <c r="B13" s="11"/>
      <c r="C13" s="11"/>
      <c r="D13" s="11"/>
      <c r="E13" s="11"/>
      <c r="F13" s="11"/>
      <c r="G13" s="11"/>
      <c r="H13" s="11"/>
      <c r="I13" s="11"/>
    </row>
    <row r="14" customFormat="false" ht="15" hidden="false" customHeight="false" outlineLevel="0" collapsed="false">
      <c r="A14" s="11"/>
      <c r="B14" s="11"/>
      <c r="C14" s="11"/>
      <c r="D14" s="11"/>
      <c r="E14" s="11"/>
      <c r="F14" s="11"/>
      <c r="G14" s="11"/>
      <c r="H14" s="11"/>
      <c r="I14" s="11"/>
    </row>
    <row r="15" customFormat="false" ht="15" hidden="false" customHeight="false" outlineLevel="0" collapsed="false">
      <c r="A15" s="11"/>
      <c r="B15" s="11"/>
      <c r="C15" s="11"/>
      <c r="D15" s="11"/>
      <c r="E15" s="11"/>
      <c r="F15" s="11"/>
      <c r="G15" s="11"/>
      <c r="H15" s="11"/>
      <c r="I15" s="11"/>
    </row>
    <row r="16" customFormat="false" ht="15" hidden="false" customHeight="false" outlineLevel="0" collapsed="false">
      <c r="A16" s="11"/>
      <c r="B16" s="11"/>
      <c r="C16" s="11"/>
      <c r="D16" s="11"/>
      <c r="E16" s="11"/>
      <c r="F16" s="11"/>
      <c r="G16" s="11"/>
      <c r="H16" s="11"/>
      <c r="I16" s="11"/>
    </row>
    <row r="17" customFormat="false" ht="15" hidden="false" customHeight="false" outlineLevel="0" collapsed="false">
      <c r="A17" s="11"/>
      <c r="B17" s="11"/>
      <c r="C17" s="11"/>
      <c r="D17" s="11"/>
      <c r="E17" s="11"/>
      <c r="F17" s="11"/>
      <c r="G17" s="11"/>
      <c r="H17" s="11"/>
      <c r="I17" s="11"/>
    </row>
    <row r="18" customFormat="false" ht="15" hidden="false" customHeight="false" outlineLevel="0" collapsed="false">
      <c r="A18" s="11"/>
      <c r="B18" s="11"/>
      <c r="C18" s="11"/>
      <c r="D18" s="11"/>
      <c r="E18" s="11"/>
      <c r="F18" s="11"/>
      <c r="G18" s="11"/>
      <c r="H18" s="11"/>
      <c r="I18" s="11"/>
    </row>
    <row r="19" customFormat="false" ht="15" hidden="false" customHeight="false" outlineLevel="0" collapsed="false">
      <c r="A19" s="11"/>
      <c r="B19" s="11"/>
      <c r="C19" s="11"/>
      <c r="D19" s="11"/>
      <c r="E19" s="11"/>
      <c r="F19" s="11"/>
      <c r="G19" s="11"/>
      <c r="H19" s="11"/>
      <c r="I19" s="11"/>
    </row>
    <row r="20" customFormat="false" ht="15" hidden="false" customHeight="false" outlineLevel="0" collapsed="false">
      <c r="A20" s="11"/>
      <c r="B20" s="11"/>
      <c r="C20" s="11"/>
      <c r="D20" s="11"/>
      <c r="E20" s="11"/>
      <c r="F20" s="11"/>
      <c r="G20" s="11"/>
      <c r="H20" s="11"/>
      <c r="I20" s="11"/>
    </row>
    <row r="21" customFormat="false" ht="15" hidden="false" customHeight="false" outlineLevel="0" collapsed="false">
      <c r="A21" s="11"/>
      <c r="B21" s="11"/>
      <c r="C21" s="11"/>
      <c r="D21" s="11"/>
      <c r="E21" s="11"/>
      <c r="F21" s="11"/>
      <c r="G21" s="11"/>
      <c r="H21" s="11"/>
      <c r="I21" s="11"/>
    </row>
    <row r="22" customFormat="false" ht="15" hidden="false" customHeight="false" outlineLevel="0" collapsed="false">
      <c r="A22" s="11"/>
      <c r="B22" s="11"/>
      <c r="C22" s="11"/>
      <c r="D22" s="11"/>
      <c r="E22" s="11"/>
      <c r="F22" s="11"/>
      <c r="G22" s="11"/>
      <c r="H22" s="11"/>
      <c r="I22" s="11"/>
    </row>
    <row r="23" customFormat="false" ht="15" hidden="false" customHeight="false" outlineLevel="0" collapsed="false">
      <c r="A23" s="11"/>
      <c r="B23" s="11"/>
      <c r="C23" s="11"/>
      <c r="D23" s="11"/>
      <c r="E23" s="11"/>
      <c r="F23" s="11"/>
      <c r="G23" s="11"/>
      <c r="H23" s="11"/>
      <c r="I23" s="11"/>
    </row>
    <row r="26" customFormat="false" ht="15" hidden="false" customHeight="false" outlineLevel="0" collapsed="false">
      <c r="A26" s="9" t="s">
        <v>23</v>
      </c>
    </row>
    <row r="27" customFormat="false" ht="31.5" hidden="false" customHeight="true" outlineLevel="0" collapsed="false">
      <c r="A27" s="10" t="s">
        <v>21</v>
      </c>
      <c r="B27" s="12" t="n">
        <v>1</v>
      </c>
      <c r="C27" s="12" t="n">
        <v>2</v>
      </c>
      <c r="D27" s="12" t="n">
        <v>3</v>
      </c>
      <c r="E27" s="12" t="n">
        <v>4</v>
      </c>
      <c r="F27" s="12" t="n">
        <v>6</v>
      </c>
      <c r="G27" s="12" t="n">
        <v>8</v>
      </c>
      <c r="H27" s="12" t="n">
        <v>12</v>
      </c>
      <c r="I27" s="12" t="n">
        <v>24</v>
      </c>
    </row>
    <row r="28" customFormat="false" ht="15" hidden="false" customHeight="false" outlineLevel="0" collapsed="false">
      <c r="A28" s="13" t="s">
        <v>22</v>
      </c>
      <c r="B28" s="13" t="n">
        <v>5</v>
      </c>
      <c r="C28" s="13" t="n">
        <v>20</v>
      </c>
      <c r="D28" s="13" t="n">
        <v>45</v>
      </c>
      <c r="E28" s="13" t="n">
        <v>70</v>
      </c>
      <c r="F28" s="13" t="n">
        <v>80</v>
      </c>
      <c r="G28" s="13" t="n">
        <v>84</v>
      </c>
      <c r="H28" s="13" t="n">
        <v>86</v>
      </c>
      <c r="I28" s="13" t="n">
        <v>86</v>
      </c>
    </row>
    <row r="29" customFormat="false" ht="15" hidden="false" customHeight="false" outlineLevel="0" collapsed="false">
      <c r="A29" s="11"/>
      <c r="B29" s="11"/>
      <c r="C29" s="11"/>
      <c r="D29" s="11"/>
      <c r="E29" s="11"/>
      <c r="F29" s="11"/>
      <c r="G29" s="11"/>
      <c r="H29" s="11"/>
      <c r="I29" s="11"/>
    </row>
    <row r="30" customFormat="false" ht="15" hidden="false" customHeight="false" outlineLevel="0" collapsed="false">
      <c r="A30" s="11"/>
      <c r="B30" s="11"/>
      <c r="C30" s="11"/>
      <c r="D30" s="11"/>
      <c r="E30" s="11"/>
      <c r="F30" s="11"/>
      <c r="G30" s="11"/>
      <c r="H30" s="11"/>
      <c r="I30" s="11"/>
    </row>
    <row r="31" customFormat="false" ht="15" hidden="false" customHeight="false" outlineLevel="0" collapsed="false">
      <c r="A31" s="11"/>
      <c r="B31" s="11"/>
      <c r="C31" s="11"/>
      <c r="D31" s="11"/>
      <c r="E31" s="11"/>
      <c r="F31" s="11"/>
      <c r="G31" s="11"/>
      <c r="H31" s="11"/>
      <c r="I31" s="11"/>
    </row>
    <row r="32" customFormat="false" ht="15" hidden="false" customHeight="false" outlineLevel="0" collapsed="false">
      <c r="A32" s="11"/>
      <c r="B32" s="11"/>
      <c r="C32" s="11"/>
      <c r="D32" s="11"/>
      <c r="E32" s="11"/>
      <c r="F32" s="11"/>
      <c r="G32" s="11"/>
      <c r="H32" s="11"/>
      <c r="I32" s="11"/>
    </row>
    <row r="33" customFormat="false" ht="15" hidden="false" customHeight="false" outlineLevel="0" collapsed="false">
      <c r="A33" s="11"/>
      <c r="B33" s="11"/>
      <c r="C33" s="11"/>
      <c r="D33" s="11"/>
      <c r="E33" s="11"/>
      <c r="F33" s="11"/>
      <c r="G33" s="11"/>
      <c r="H33" s="11"/>
      <c r="I33" s="11"/>
    </row>
    <row r="34" customFormat="false" ht="15" hidden="false" customHeight="false" outlineLevel="0" collapsed="false">
      <c r="A34" s="11"/>
      <c r="B34" s="11"/>
      <c r="C34" s="11"/>
      <c r="D34" s="11"/>
      <c r="E34" s="11"/>
      <c r="F34" s="11"/>
      <c r="G34" s="11"/>
      <c r="H34" s="11"/>
      <c r="I34" s="11"/>
    </row>
    <row r="35" customFormat="false" ht="15" hidden="false" customHeight="false" outlineLevel="0" collapsed="false">
      <c r="A35" s="11"/>
      <c r="B35" s="11"/>
      <c r="C35" s="11"/>
      <c r="D35" s="11"/>
      <c r="E35" s="11"/>
      <c r="F35" s="11"/>
      <c r="G35" s="11"/>
      <c r="H35" s="11"/>
      <c r="I35" s="11"/>
    </row>
    <row r="36" customFormat="false" ht="15" hidden="false" customHeight="false" outlineLevel="0" collapsed="false">
      <c r="A36" s="11"/>
      <c r="B36" s="11"/>
      <c r="C36" s="11"/>
      <c r="D36" s="11"/>
      <c r="E36" s="11"/>
      <c r="F36" s="11"/>
      <c r="G36" s="11"/>
      <c r="H36" s="11"/>
      <c r="I36" s="11"/>
    </row>
    <row r="37" customFormat="false" ht="15" hidden="false" customHeight="false" outlineLevel="0" collapsed="false">
      <c r="A37" s="11"/>
      <c r="B37" s="11"/>
      <c r="C37" s="11"/>
      <c r="D37" s="11"/>
      <c r="E37" s="11"/>
      <c r="F37" s="11"/>
      <c r="G37" s="11"/>
      <c r="H37" s="11"/>
      <c r="I37" s="11"/>
    </row>
    <row r="38" customFormat="false" ht="15" hidden="false" customHeight="false" outlineLevel="0" collapsed="false">
      <c r="A38" s="11"/>
      <c r="B38" s="11"/>
      <c r="C38" s="11"/>
      <c r="D38" s="11"/>
      <c r="E38" s="11"/>
      <c r="F38" s="11"/>
      <c r="G38" s="11"/>
      <c r="H38" s="11"/>
      <c r="I38" s="11"/>
    </row>
    <row r="39" customFormat="false" ht="15" hidden="false" customHeight="false" outlineLevel="0" collapsed="false">
      <c r="A39" s="11"/>
      <c r="B39" s="11"/>
      <c r="C39" s="11"/>
      <c r="D39" s="11"/>
      <c r="E39" s="11"/>
      <c r="F39" s="11"/>
      <c r="G39" s="11"/>
      <c r="H39" s="11"/>
      <c r="I39" s="11"/>
    </row>
    <row r="40" customFormat="false" ht="15" hidden="false" customHeight="false" outlineLevel="0" collapsed="false">
      <c r="A40" s="11"/>
      <c r="B40" s="11"/>
      <c r="C40" s="11"/>
      <c r="D40" s="11"/>
      <c r="E40" s="11"/>
      <c r="F40" s="11"/>
      <c r="G40" s="11"/>
      <c r="H40" s="11"/>
      <c r="I40" s="11"/>
    </row>
  </sheetData>
  <sheetProtection sheet="true" formatColumns="false"/>
  <dataValidations count="1">
    <dataValidation allowBlank="true" error="Enter a number." errorStyle="stop" errorTitle="Number needed" operator="between" showDropDown="false" showErrorMessage="true" showInputMessage="false" sqref="B12:I23 B29:I40" type="decimal">
      <formula1>-1000000000</formula1>
      <formula2>1000000000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4"/>
    <col collapsed="false" customWidth="true" hidden="false" outlineLevel="0" max="14" min="3" style="0" width="15"/>
  </cols>
  <sheetData>
    <row r="1" customFormat="false" ht="17.35" hidden="false" customHeight="false" outlineLevel="0" collapsed="false">
      <c r="B1" s="7" t="s">
        <v>24</v>
      </c>
    </row>
    <row r="2" customFormat="false" ht="15" hidden="false" customHeight="false" outlineLevel="0" collapsed="false">
      <c r="B2" s="8" t="s">
        <v>25</v>
      </c>
    </row>
    <row r="4" customFormat="false" ht="15" hidden="false" customHeight="false" outlineLevel="0" collapsed="false">
      <c r="B4" s="9" t="s">
        <v>26</v>
      </c>
    </row>
    <row r="5" customFormat="false" ht="30" hidden="false" customHeight="true" outlineLevel="0" collapsed="false">
      <c r="B5" s="10" t="s">
        <v>27</v>
      </c>
      <c r="C5" s="10" t="s">
        <v>28</v>
      </c>
      <c r="D5" s="10" t="s">
        <v>29</v>
      </c>
      <c r="E5" s="10" t="s">
        <v>30</v>
      </c>
      <c r="F5" s="10" t="s">
        <v>29</v>
      </c>
    </row>
    <row r="6" customFormat="false" ht="15" hidden="false" customHeight="false" outlineLevel="0" collapsed="false">
      <c r="B6" s="14" t="n">
        <f aca="false">IFERROR('Enter data'!$B$10,"")</f>
        <v>1</v>
      </c>
      <c r="C6" s="15" t="str">
        <f aca="false">IFERROR(AVERAGE('Enter data'!$B$12:$B$23),"")</f>
        <v/>
      </c>
      <c r="D6" s="15" t="str">
        <f aca="false">IFERROR(STDEV('Enter data'!$B$12:$B$23),"")</f>
        <v/>
      </c>
      <c r="E6" s="15" t="str">
        <f aca="false">IFERROR(AVERAGE('Enter data'!$B$29:$B$40),"")</f>
        <v/>
      </c>
      <c r="F6" s="15" t="str">
        <f aca="false">IFERROR(STDEV('Enter data'!$B$29:$B$40),"")</f>
        <v/>
      </c>
    </row>
    <row r="7" customFormat="false" ht="15" hidden="false" customHeight="false" outlineLevel="0" collapsed="false">
      <c r="B7" s="14" t="n">
        <f aca="false">IFERROR('Enter data'!$C$10,"")</f>
        <v>2</v>
      </c>
      <c r="C7" s="15" t="str">
        <f aca="false">IFERROR(AVERAGE('Enter data'!$C$12:$C$23),"")</f>
        <v/>
      </c>
      <c r="D7" s="15" t="str">
        <f aca="false">IFERROR(STDEV('Enter data'!$C$12:$C$23),"")</f>
        <v/>
      </c>
      <c r="E7" s="15" t="str">
        <f aca="false">IFERROR(AVERAGE('Enter data'!$C$29:$C$40),"")</f>
        <v/>
      </c>
      <c r="F7" s="15" t="str">
        <f aca="false">IFERROR(STDEV('Enter data'!$C$29:$C$40),"")</f>
        <v/>
      </c>
    </row>
    <row r="8" customFormat="false" ht="15" hidden="false" customHeight="false" outlineLevel="0" collapsed="false">
      <c r="B8" s="14" t="n">
        <f aca="false">IFERROR('Enter data'!$D$10,"")</f>
        <v>3</v>
      </c>
      <c r="C8" s="15" t="str">
        <f aca="false">IFERROR(AVERAGE('Enter data'!$D$12:$D$23),"")</f>
        <v/>
      </c>
      <c r="D8" s="15" t="str">
        <f aca="false">IFERROR(STDEV('Enter data'!$D$12:$D$23),"")</f>
        <v/>
      </c>
      <c r="E8" s="15" t="str">
        <f aca="false">IFERROR(AVERAGE('Enter data'!$D$29:$D$40),"")</f>
        <v/>
      </c>
      <c r="F8" s="15" t="str">
        <f aca="false">IFERROR(STDEV('Enter data'!$D$29:$D$40),"")</f>
        <v/>
      </c>
    </row>
    <row r="9" customFormat="false" ht="15" hidden="false" customHeight="false" outlineLevel="0" collapsed="false">
      <c r="B9" s="14" t="n">
        <f aca="false">IFERROR('Enter data'!$E$10,"")</f>
        <v>4</v>
      </c>
      <c r="C9" s="15" t="str">
        <f aca="false">IFERROR(AVERAGE('Enter data'!$E$12:$E$23),"")</f>
        <v/>
      </c>
      <c r="D9" s="15" t="str">
        <f aca="false">IFERROR(STDEV('Enter data'!$E$12:$E$23),"")</f>
        <v/>
      </c>
      <c r="E9" s="15" t="str">
        <f aca="false">IFERROR(AVERAGE('Enter data'!$E$29:$E$40),"")</f>
        <v/>
      </c>
      <c r="F9" s="15" t="str">
        <f aca="false">IFERROR(STDEV('Enter data'!$E$29:$E$40),"")</f>
        <v/>
      </c>
    </row>
    <row r="10" customFormat="false" ht="15" hidden="false" customHeight="false" outlineLevel="0" collapsed="false">
      <c r="B10" s="14" t="n">
        <f aca="false">IFERROR('Enter data'!$F$10,"")</f>
        <v>6</v>
      </c>
      <c r="C10" s="15" t="str">
        <f aca="false">IFERROR(AVERAGE('Enter data'!$F$12:$F$23),"")</f>
        <v/>
      </c>
      <c r="D10" s="15" t="str">
        <f aca="false">IFERROR(STDEV('Enter data'!$F$12:$F$23),"")</f>
        <v/>
      </c>
      <c r="E10" s="15" t="str">
        <f aca="false">IFERROR(AVERAGE('Enter data'!$F$29:$F$40),"")</f>
        <v/>
      </c>
      <c r="F10" s="15" t="str">
        <f aca="false">IFERROR(STDEV('Enter data'!$F$29:$F$40),"")</f>
        <v/>
      </c>
    </row>
    <row r="11" customFormat="false" ht="15" hidden="false" customHeight="false" outlineLevel="0" collapsed="false">
      <c r="B11" s="14" t="n">
        <f aca="false">IFERROR('Enter data'!$G$10,"")</f>
        <v>8</v>
      </c>
      <c r="C11" s="15" t="str">
        <f aca="false">IFERROR(AVERAGE('Enter data'!$G$12:$G$23),"")</f>
        <v/>
      </c>
      <c r="D11" s="15" t="str">
        <f aca="false">IFERROR(STDEV('Enter data'!$G$12:$G$23),"")</f>
        <v/>
      </c>
      <c r="E11" s="15" t="str">
        <f aca="false">IFERROR(AVERAGE('Enter data'!$G$29:$G$40),"")</f>
        <v/>
      </c>
      <c r="F11" s="15" t="str">
        <f aca="false">IFERROR(STDEV('Enter data'!$G$29:$G$40),"")</f>
        <v/>
      </c>
    </row>
    <row r="12" customFormat="false" ht="15" hidden="false" customHeight="false" outlineLevel="0" collapsed="false">
      <c r="B12" s="14" t="n">
        <f aca="false">IFERROR('Enter data'!$H$10,"")</f>
        <v>12</v>
      </c>
      <c r="C12" s="15" t="str">
        <f aca="false">IFERROR(AVERAGE('Enter data'!$H$12:$H$23),"")</f>
        <v/>
      </c>
      <c r="D12" s="15" t="str">
        <f aca="false">IFERROR(STDEV('Enter data'!$H$12:$H$23),"")</f>
        <v/>
      </c>
      <c r="E12" s="15" t="str">
        <f aca="false">IFERROR(AVERAGE('Enter data'!$H$29:$H$40),"")</f>
        <v/>
      </c>
      <c r="F12" s="15" t="str">
        <f aca="false">IFERROR(STDEV('Enter data'!$H$29:$H$40),"")</f>
        <v/>
      </c>
    </row>
    <row r="13" customFormat="false" ht="15" hidden="false" customHeight="false" outlineLevel="0" collapsed="false">
      <c r="B13" s="14" t="n">
        <f aca="false">IFERROR('Enter data'!$I$10,"")</f>
        <v>24</v>
      </c>
      <c r="C13" s="15" t="str">
        <f aca="false">IFERROR(AVERAGE('Enter data'!$I$12:$I$23),"")</f>
        <v/>
      </c>
      <c r="D13" s="15" t="str">
        <f aca="false">IFERROR(STDEV('Enter data'!$I$12:$I$23),"")</f>
        <v/>
      </c>
      <c r="E13" s="15" t="str">
        <f aca="false">IFERROR(AVERAGE('Enter data'!$I$29:$I$40),"")</f>
        <v/>
      </c>
      <c r="F13" s="15" t="str">
        <f aca="false">IFERROR(STDEV('Enter data'!$I$29:$I$40),"")</f>
        <v/>
      </c>
    </row>
    <row r="16" customFormat="false" ht="15" hidden="false" customHeight="false" outlineLevel="0" collapsed="false">
      <c r="B16" s="9" t="s">
        <v>31</v>
      </c>
    </row>
    <row r="17" customFormat="false" ht="15" hidden="false" customHeight="false" outlineLevel="0" collapsed="false">
      <c r="B17" s="16" t="s">
        <v>18</v>
      </c>
      <c r="C17" s="17" t="str">
        <f aca="false">IFERROR(INDEX($B$6:$B$13,MATCH(45,$C$6:$C$13,1))+(45-INDEX($C$6:$C$13,MATCH(45,$C$6:$C$13,1)))*(INDEX($B$6:$B$13,MATCH(45,$C$6:$C$13,1)+1)-INDEX($B$6:$B$13,MATCH(45,$C$6:$C$13,1)))/(INDEX($C$6:$C$13,MATCH(45,$C$6:$C$13,1)+1)-INDEX($C$6:$C$13,MATCH(45,$C$6:$C$13,1))),"")</f>
        <v/>
      </c>
    </row>
    <row r="18" customFormat="false" ht="15" hidden="false" customHeight="false" outlineLevel="0" collapsed="false">
      <c r="B18" s="16" t="s">
        <v>19</v>
      </c>
      <c r="C18" s="17" t="str">
        <f aca="false">IFERROR(INDEX($B$6:$B$13,MATCH(45,$E$6:$E$13,1))+(45-INDEX($E$6:$E$13,MATCH(45,$E$6:$E$13,1)))*(INDEX($B$6:$B$13,MATCH(45,$E$6:$E$13,1)+1)-INDEX($B$6:$B$13,MATCH(45,$E$6:$E$13,1)))/(INDEX($E$6:$E$13,MATCH(45,$E$6:$E$13,1)+1)-INDEX($E$6:$E$13,MATCH(45,$E$6:$E$13,1))),"")</f>
        <v/>
      </c>
    </row>
    <row r="20" customFormat="false" ht="15" hidden="false" customHeight="false" outlineLevel="0" collapsed="false">
      <c r="B20" s="9" t="s">
        <v>32</v>
      </c>
    </row>
    <row r="21" customFormat="false" ht="30" hidden="false" customHeight="true" outlineLevel="0" collapsed="false">
      <c r="B21" s="10" t="s">
        <v>33</v>
      </c>
      <c r="C21" s="10" t="s">
        <v>34</v>
      </c>
      <c r="D21" s="10" t="s">
        <v>35</v>
      </c>
      <c r="E21" s="10" t="s">
        <v>29</v>
      </c>
      <c r="F21" s="10" t="s">
        <v>36</v>
      </c>
      <c r="G21" s="10" t="s">
        <v>37</v>
      </c>
      <c r="H21" s="10" t="s">
        <v>38</v>
      </c>
    </row>
    <row r="22" customFormat="false" ht="15" hidden="false" customHeight="false" outlineLevel="0" collapsed="false">
      <c r="B22" s="18" t="n">
        <f aca="false">IFERROR('Enter data'!$A$6,"")</f>
        <v>0</v>
      </c>
      <c r="C22" s="19" t="n">
        <f aca="false">IFERROR(COUNT('Enter data'!$I$12:$I$23),"")</f>
        <v>0</v>
      </c>
      <c r="D22" s="20" t="str">
        <f aca="false">IFERROR(AVERAGE('Enter data'!$I$12:$I$23),"")</f>
        <v/>
      </c>
      <c r="E22" s="20" t="str">
        <f aca="false">IFERROR(STDEV('Enter data'!$I$12:$I$23),"")</f>
        <v/>
      </c>
      <c r="F22" s="20" t="str">
        <f aca="false">IFERROR(STDEV('Enter data'!$I$12:$I$23)/SQRT(COUNT('Enter data'!$I$12:$I$23)),"")</f>
        <v/>
      </c>
      <c r="G22" s="20" t="n">
        <f aca="false">IFERROR(MIN('Enter data'!$I$12:$I$23),"")</f>
        <v>0</v>
      </c>
      <c r="H22" s="20" t="n">
        <f aca="false">IFERROR(MAX('Enter data'!$I$12:$I$23),"")</f>
        <v>0</v>
      </c>
    </row>
    <row r="23" customFormat="false" ht="15" hidden="false" customHeight="false" outlineLevel="0" collapsed="false">
      <c r="B23" s="18" t="n">
        <f aca="false">IFERROR('Enter data'!$B$6,"")</f>
        <v>0</v>
      </c>
      <c r="C23" s="19" t="n">
        <f aca="false">IFERROR(COUNT('Enter data'!$I$29:$I$40),"")</f>
        <v>0</v>
      </c>
      <c r="D23" s="20" t="str">
        <f aca="false">IFERROR(AVERAGE('Enter data'!$I$29:$I$40),"")</f>
        <v/>
      </c>
      <c r="E23" s="20" t="str">
        <f aca="false">IFERROR(STDEV('Enter data'!$I$29:$I$40),"")</f>
        <v/>
      </c>
      <c r="F23" s="20" t="str">
        <f aca="false">IFERROR(STDEV('Enter data'!$I$29:$I$40)/SQRT(COUNT('Enter data'!$I$29:$I$40)),"")</f>
        <v/>
      </c>
      <c r="G23" s="20" t="n">
        <f aca="false">IFERROR(MIN('Enter data'!$I$29:$I$40),"")</f>
        <v>0</v>
      </c>
      <c r="H23" s="20" t="n">
        <f aca="false">IFERROR(MAX('Enter data'!$I$29:$I$40),"")</f>
        <v>0</v>
      </c>
    </row>
    <row r="26" customFormat="false" ht="15" hidden="false" customHeight="false" outlineLevel="0" collapsed="false">
      <c r="B26" s="9" t="s">
        <v>39</v>
      </c>
    </row>
    <row r="27" customFormat="false" ht="15" hidden="false" customHeight="false" outlineLevel="0" collapsed="false">
      <c r="B27" s="16" t="s">
        <v>40</v>
      </c>
      <c r="C27" s="17" t="str">
        <f aca="false">IFERROR($D$22-$D$23,"")</f>
        <v/>
      </c>
    </row>
    <row r="28" customFormat="false" ht="15" hidden="false" customHeight="false" outlineLevel="0" collapsed="false">
      <c r="B28" s="16" t="s">
        <v>41</v>
      </c>
      <c r="C28" s="17" t="str">
        <f aca="false">IFERROR(SQRT($F$22^2+$F$23^2),"")</f>
        <v/>
      </c>
    </row>
    <row r="29" customFormat="false" ht="15" hidden="false" customHeight="false" outlineLevel="0" collapsed="false">
      <c r="B29" s="16" t="s">
        <v>42</v>
      </c>
      <c r="C29" s="17" t="str">
        <f aca="false">IFERROR((($E$22^2/$C$22+$E$23^2/$C$23)^2/(($E$22^2/$C$22)^2/($C$22-1)+($E$23^2/$C$23)^2/($C$23-1))),"")</f>
        <v/>
      </c>
    </row>
    <row r="30" customFormat="false" ht="15" hidden="false" customHeight="false" outlineLevel="0" collapsed="false">
      <c r="B30" s="16" t="s">
        <v>43</v>
      </c>
      <c r="C30" s="21" t="str">
        <f aca="false">IFERROR(TTEST('Enter data'!$I$12:$I$23,'Enter data'!$I$29:$I$40,2,3),"")</f>
        <v/>
      </c>
    </row>
    <row r="31" customFormat="false" ht="15" hidden="false" customHeight="false" outlineLevel="0" collapsed="false">
      <c r="B31" s="16" t="s">
        <v>44</v>
      </c>
      <c r="C31" s="17" t="str">
        <f aca="false">IFERROR($C$27-TINV(0.05,$C$29)*$C$28,"")</f>
        <v/>
      </c>
    </row>
    <row r="32" customFormat="false" ht="15" hidden="false" customHeight="false" outlineLevel="0" collapsed="false">
      <c r="B32" s="16" t="s">
        <v>45</v>
      </c>
      <c r="C32" s="17" t="str">
        <f aca="false">IFERROR($C$27+TINV(0.05,$C$29)*$C$28,"")</f>
        <v/>
      </c>
    </row>
  </sheetData>
  <sheetProtection sheet="true" formatColumns="false"/>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2026-10-01T00:31:09Z</dcterms:created>
  <dc:creator>Emmanuel G. Lozano</dc:creator>
  <dc:description>Compiled by Emmanuel G. Lozano, Department of Biology, College of Arts and Sciences, Pampanga State University. Original material is licensed CC BY-NC 4.0: credit required, non-commercial use only.</dc:description>
  <dc:language>en-US</dc:language>
  <cp:lastModifiedBy/>
  <dcterms:modified xsi:type="dcterms:W3CDTF">2026-10-01T00:31:09Z</dcterms:modified>
  <cp:revision>0</cp:revision>
  <dc:subject/>
  <dc:title>DEV-02 Root gravitropism: kinetics of bending</dc:title>
</cp:coreProperties>
</file>

<file path=docProps/custom.xml><?xml version="1.0" encoding="utf-8"?>
<Properties xmlns="http://schemas.openxmlformats.org/officeDocument/2006/custom-properties" xmlns:vt="http://schemas.openxmlformats.org/officeDocument/2006/docPropsVTypes"/>
</file>