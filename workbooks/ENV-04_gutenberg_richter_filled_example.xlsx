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<sst xmlns="http://schemas.openxmlformats.org/spreadsheetml/2006/main" count="40" uniqueCount="38">
  <si>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ENV-04  Earthquake magnitudes: the Gutenberg-Richter b-value</t>
  </si>
  <si>
    <t xml:space="preserve">Excel version of the card. It does the same calculations as the R script env04_gutenberg_richter.R.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</si>
  <si>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</si>
  <si>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</si>
  <si>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</si>
  <si>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</si>
  <si>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</si>
  <si>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</si>
  <si>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</si>
  <si>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</si>
  <si>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 one magnitude per row from a catalog you have checked the terms of (for example USGS ANSS ComCat). Mc = magnitude of completeness by maximum curvature (the most frequent magnitude bin).</t>
  </si>
  <si>
    <t xml:space="preserve">b = log10(e) / (mean magnitude of events at or above Mc - (Mc - bin width / 2)) (Aki 1965 with Utsu's bin correction); standard error = b / sqrt(n).</t>
  </si>
  <si>
    <t xml:space="preserve">Differences from the R script on the card</t>
  </si>
  <si>
    <t xml:space="preserve">The R script bootstraps the b-value and draws the frequency-magnitude plot. Here the standard error and the cutoff sensitivity table are given instead.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</si>
  <si>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</si>
  <si>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</si>
  <si>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</si>
  <si>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</si>
  <si>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Magnitudes</t>
  </si>
  <si>
    <t xml:space="preserve">Magnitude</t>
  </si>
  <si>
    <t xml:space="preserve">Binned magnitude</t>
  </si>
  <si>
    <t xml:space="preserve">Results</t>
  </si>
  <si>
    <t xml:space="preserve">Everything on this sheet is calculated. Change only the yellow settings.</t>
  </si>
  <si>
    <t xml:space="preserve">Settings</t>
  </si>
  <si>
    <t xml:space="preserve">Magnitude bin width</t>
  </si>
  <si>
    <t xml:space="preserve">Completeness magnitude and b-value</t>
  </si>
  <si>
    <t xml:space="preserve">Events</t>
  </si>
  <si>
    <t xml:space="preserve">Mc by maximum curvature</t>
  </si>
  <si>
    <t xml:space="preserve">Events at or above Mc</t>
  </si>
  <si>
    <t xml:space="preserve">Mean magnitude above Mc</t>
  </si>
  <si>
    <t xml:space="preserve">b-value (maximum likelihood)</t>
  </si>
  <si>
    <t xml:space="preserve">Standard error</t>
  </si>
  <si>
    <t xml:space="preserve">Approximate 95% interval, lower</t>
  </si>
  <si>
    <t xml:space="preserve">Approximate 95% interval, upper</t>
  </si>
  <si>
    <t xml:space="preserve">Sensitivity to the cutoff magnitude</t>
  </si>
  <si>
    <t xml:space="preserve">Cutoff</t>
  </si>
  <si>
    <t xml:space="preserve">Mean magnitude</t>
  </si>
  <si>
    <t xml:space="preserve">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</si>
</sst>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n">
        <v>4.6</v>
      </c>
    </row>
    <row r="7" customFormat="false" ht="15" hidden="false" customHeight="false" outlineLevel="0" collapsed="false">
      <c r="A7" s="12" t="n">
        <v>4</v>
      </c>
      <c r="B7" s="13" t="n">
        <f aca="false">IF(ISNUMBER(A7),ROUND(A7/Results!$C$5,0)*Results!$C$5,"")</f>
        <v>4</v>
      </c>
    </row>
    <row r="8" customFormat="false" ht="15" hidden="false" customHeight="false" outlineLevel="0" collapsed="false">
      <c r="A8" s="12" t="n">
        <v>4.1</v>
      </c>
      <c r="B8" s="13" t="n">
        <f aca="false">IF(ISNUMBER(A8),ROUND(A8/Results!$C$5,0)*Results!$C$5,"")</f>
        <v>4.1</v>
      </c>
    </row>
    <row r="9" customFormat="false" ht="15" hidden="false" customHeight="false" outlineLevel="0" collapsed="false">
      <c r="A9" s="12" t="n">
        <v>4.6</v>
      </c>
      <c r="B9" s="13" t="n">
        <f aca="false">IF(ISNUMBER(A9),ROUND(A9/Results!$C$5,0)*Results!$C$5,"")</f>
        <v>4.6</v>
      </c>
    </row>
    <row r="10" customFormat="false" ht="15" hidden="false" customHeight="false" outlineLevel="0" collapsed="false">
      <c r="A10" s="12" t="n">
        <v>4.9</v>
      </c>
      <c r="B10" s="13" t="n">
        <f aca="false">IF(ISNUMBER(A10),ROUND(A10/Results!$C$5,0)*Results!$C$5,"")</f>
        <v>4.9</v>
      </c>
    </row>
    <row r="11" customFormat="false" ht="15" hidden="false" customHeight="false" outlineLevel="0" collapsed="false">
      <c r="A11" s="12" t="n">
        <v>4.1</v>
      </c>
      <c r="B11" s="13" t="n">
        <f aca="false">IF(ISNUMBER(A11),ROUND(A11/Results!$C$5,0)*Results!$C$5,"")</f>
        <v>4.1</v>
      </c>
    </row>
    <row r="12" customFormat="false" ht="15" hidden="false" customHeight="false" outlineLevel="0" collapsed="false">
      <c r="A12" s="12" t="n">
        <v>4.1</v>
      </c>
      <c r="B12" s="13" t="n">
        <f aca="false">IF(ISNUMBER(A12),ROUND(A12/Results!$C$5,0)*Results!$C$5,"")</f>
        <v>4.1</v>
      </c>
    </row>
    <row r="13" customFormat="false" ht="15" hidden="false" customHeight="false" outlineLevel="0" collapsed="false">
      <c r="A13" s="12" t="n">
        <v>4.1</v>
      </c>
      <c r="B13" s="13" t="n">
        <f aca="false">IF(ISNUMBER(A13),ROUND(A13/Results!$C$5,0)*Results!$C$5,"")</f>
        <v>4.1</v>
      </c>
    </row>
    <row r="14" customFormat="false" ht="15" hidden="false" customHeight="false" outlineLevel="0" collapsed="false">
      <c r="A14" s="12" t="n">
        <v>4</v>
      </c>
      <c r="B14" s="13" t="n">
        <f aca="false">IF(ISNUMBER(A14),ROUND(A14/Results!$C$5,0)*Results!$C$5,"")</f>
        <v>4</v>
      </c>
    </row>
    <row r="15" customFormat="false" ht="15" hidden="false" customHeight="false" outlineLevel="0" collapsed="false">
      <c r="A15" s="12" t="n">
        <v>4.4</v>
      </c>
      <c r="B15" s="13" t="n">
        <f aca="false">IF(ISNUMBER(A15),ROUND(A15/Results!$C$5,0)*Results!$C$5,"")</f>
        <v>4.4</v>
      </c>
    </row>
    <row r="16" customFormat="false" ht="15" hidden="false" customHeight="false" outlineLevel="0" collapsed="false">
      <c r="A16" s="12" t="n">
        <v>4</v>
      </c>
      <c r="B16" s="13" t="n">
        <f aca="false">IF(ISNUMBER(A16),ROUND(A16/Results!$C$5,0)*Results!$C$5,"")</f>
        <v>4</v>
      </c>
    </row>
    <row r="17" customFormat="false" ht="15" hidden="false" customHeight="false" outlineLevel="0" collapsed="false">
      <c r="A17" s="12" t="n">
        <v>4.1</v>
      </c>
      <c r="B17" s="13" t="n">
        <f aca="false">IF(ISNUMBER(A17),ROUND(A17/Results!$C$5,0)*Results!$C$5,"")</f>
        <v>4.1</v>
      </c>
    </row>
    <row r="18" customFormat="false" ht="15" hidden="false" customHeight="false" outlineLevel="0" collapsed="false">
      <c r="A18" s="12" t="n">
        <v>5.4</v>
      </c>
      <c r="B18" s="13" t="n">
        <f aca="false">IF(ISNUMBER(A18),ROUND(A18/Results!$C$5,0)*Results!$C$5,"")</f>
        <v>5.4</v>
      </c>
    </row>
    <row r="19" customFormat="false" ht="15" hidden="false" customHeight="false" outlineLevel="0" collapsed="false">
      <c r="A19" s="12" t="n">
        <v>4.1</v>
      </c>
      <c r="B19" s="13" t="n">
        <f aca="false">IF(ISNUMBER(A19),ROUND(A19/Results!$C$5,0)*Results!$C$5,"")</f>
        <v>4.1</v>
      </c>
    </row>
    <row r="20" customFormat="false" ht="15" hidden="false" customHeight="false" outlineLevel="0" collapsed="false">
      <c r="A20" s="12" t="n">
        <v>4.5</v>
      </c>
      <c r="B20" s="13" t="n">
        <f aca="false">IF(ISNUMBER(A20),ROUND(A20/Results!$C$5,0)*Results!$C$5,"")</f>
        <v>4.5</v>
      </c>
    </row>
    <row r="21" customFormat="false" ht="15" hidden="false" customHeight="false" outlineLevel="0" collapsed="false">
      <c r="A21" s="12" t="n">
        <v>4.2</v>
      </c>
      <c r="B21" s="13" t="n">
        <f aca="false">IF(ISNUMBER(A21),ROUND(A21/Results!$C$5,0)*Results!$C$5,"")</f>
        <v>4.2</v>
      </c>
    </row>
    <row r="22" customFormat="false" ht="15" hidden="false" customHeight="false" outlineLevel="0" collapsed="false">
      <c r="A22" s="12" t="n">
        <v>4.8</v>
      </c>
      <c r="B22" s="13" t="n">
        <f aca="false">IF(ISNUMBER(A22),ROUND(A22/Results!$C$5,0)*Results!$C$5,"")</f>
        <v>4.8</v>
      </c>
    </row>
    <row r="23" customFormat="false" ht="15" hidden="false" customHeight="false" outlineLevel="0" collapsed="false">
      <c r="A23" s="12" t="n">
        <v>4.3</v>
      </c>
      <c r="B23" s="13" t="n">
        <f aca="false">IF(ISNUMBER(A23),ROUND(A23/Results!$C$5,0)*Results!$C$5,"")</f>
        <v>4.3</v>
      </c>
    </row>
    <row r="24" customFormat="false" ht="15" hidden="false" customHeight="false" outlineLevel="0" collapsed="false">
      <c r="A24" s="12" t="n">
        <v>4.6</v>
      </c>
      <c r="B24" s="13" t="n">
        <f aca="false">IF(ISNUMBER(A24),ROUND(A24/Results!$C$5,0)*Results!$C$5,"")</f>
        <v>4.6</v>
      </c>
    </row>
    <row r="25" customFormat="false" ht="15" hidden="false" customHeight="false" outlineLevel="0" collapsed="false">
      <c r="A25" s="12" t="n">
        <v>4.1</v>
      </c>
      <c r="B25" s="13" t="n">
        <f aca="false">IF(ISNUMBER(A25),ROUND(A25/Results!$C$5,0)*Results!$C$5,"")</f>
        <v>4.1</v>
      </c>
    </row>
    <row r="26" customFormat="false" ht="15" hidden="false" customHeight="false" outlineLevel="0" collapsed="false">
      <c r="A26" s="12" t="n">
        <v>4</v>
      </c>
      <c r="B26" s="13" t="n">
        <f aca="false">IF(ISNUMBER(A26),ROUND(A26/Results!$C$5,0)*Results!$C$5,"")</f>
        <v>4</v>
      </c>
    </row>
    <row r="27" customFormat="false" ht="15" hidden="false" customHeight="false" outlineLevel="0" collapsed="false">
      <c r="A27" s="12" t="n">
        <v>4</v>
      </c>
      <c r="B27" s="13" t="n">
        <f aca="false">IF(ISNUMBER(A27),ROUND(A27/Results!$C$5,0)*Results!$C$5,"")</f>
        <v>4</v>
      </c>
    </row>
    <row r="28" customFormat="false" ht="15" hidden="false" customHeight="false" outlineLevel="0" collapsed="false">
      <c r="A28" s="12" t="n">
        <v>4.5</v>
      </c>
      <c r="B28" s="13" t="n">
        <f aca="false">IF(ISNUMBER(A28),ROUND(A28/Results!$C$5,0)*Results!$C$5,"")</f>
        <v>4.5</v>
      </c>
    </row>
    <row r="29" customFormat="false" ht="15" hidden="false" customHeight="false" outlineLevel="0" collapsed="false">
      <c r="A29" s="12" t="n">
        <v>4.3</v>
      </c>
      <c r="B29" s="13" t="n">
        <f aca="false">IF(ISNUMBER(A29),ROUND(A29/Results!$C$5,0)*Results!$C$5,"")</f>
        <v>4.3</v>
      </c>
    </row>
    <row r="30" customFormat="false" ht="15" hidden="false" customHeight="false" outlineLevel="0" collapsed="false">
      <c r="A30" s="12" t="n">
        <v>4.5</v>
      </c>
      <c r="B30" s="13" t="n">
        <f aca="false">IF(ISNUMBER(A30),ROUND(A30/Results!$C$5,0)*Results!$C$5,"")</f>
        <v>4.5</v>
      </c>
    </row>
    <row r="31" customFormat="false" ht="15" hidden="false" customHeight="false" outlineLevel="0" collapsed="false">
      <c r="A31" s="12" t="n">
        <v>4.2</v>
      </c>
      <c r="B31" s="13" t="n">
        <f aca="false">IF(ISNUMBER(A31),ROUND(A31/Results!$C$5,0)*Results!$C$5,"")</f>
        <v>4.2</v>
      </c>
    </row>
    <row r="32" customFormat="false" ht="15" hidden="false" customHeight="false" outlineLevel="0" collapsed="false">
      <c r="A32" s="12" t="n">
        <v>4.2</v>
      </c>
      <c r="B32" s="13" t="n">
        <f aca="false">IF(ISNUMBER(A32),ROUND(A32/Results!$C$5,0)*Results!$C$5,"")</f>
        <v>4.2</v>
      </c>
    </row>
    <row r="33" customFormat="false" ht="15" hidden="false" customHeight="false" outlineLevel="0" collapsed="false">
      <c r="A33" s="12" t="n">
        <v>4.2</v>
      </c>
      <c r="B33" s="13" t="n">
        <f aca="false">IF(ISNUMBER(A33),ROUND(A33/Results!$C$5,0)*Results!$C$5,"")</f>
        <v>4.2</v>
      </c>
    </row>
    <row r="34" customFormat="false" ht="15" hidden="false" customHeight="false" outlineLevel="0" collapsed="false">
      <c r="A34" s="12" t="n">
        <v>4.2</v>
      </c>
      <c r="B34" s="13" t="n">
        <f aca="false">IF(ISNUMBER(A34),ROUND(A34/Results!$C$5,0)*Results!$C$5,"")</f>
        <v>4.2</v>
      </c>
    </row>
    <row r="35" customFormat="false" ht="15" hidden="false" customHeight="false" outlineLevel="0" collapsed="false">
      <c r="A35" s="12" t="n">
        <v>4</v>
      </c>
      <c r="B35" s="13" t="n">
        <f aca="false">IF(ISNUMBER(A35),ROUND(A35/Results!$C$5,0)*Results!$C$5,"")</f>
        <v>4</v>
      </c>
    </row>
    <row r="36" customFormat="false" ht="15" hidden="false" customHeight="false" outlineLevel="0" collapsed="false">
      <c r="A36" s="12" t="n">
        <v>4.9</v>
      </c>
      <c r="B36" s="13" t="n">
        <f aca="false">IF(ISNUMBER(A36),ROUND(A36/Results!$C$5,0)*Results!$C$5,"")</f>
        <v>4.9</v>
      </c>
    </row>
    <row r="37" customFormat="false" ht="15" hidden="false" customHeight="false" outlineLevel="0" collapsed="false">
      <c r="A37" s="12" t="n">
        <v>4.6</v>
      </c>
      <c r="B37" s="13" t="n">
        <f aca="false">IF(ISNUMBER(A37),ROUND(A37/Results!$C$5,0)*Results!$C$5,"")</f>
        <v>4.6</v>
      </c>
    </row>
    <row r="38" customFormat="false" ht="15" hidden="false" customHeight="false" outlineLevel="0" collapsed="false">
      <c r="A38" s="12" t="n">
        <v>4</v>
      </c>
      <c r="B38" s="13" t="n">
        <f aca="false">IF(ISNUMBER(A38),ROUND(A38/Results!$C$5,0)*Results!$C$5,"")</f>
        <v>4</v>
      </c>
    </row>
    <row r="39" customFormat="false" ht="15" hidden="false" customHeight="false" outlineLevel="0" collapsed="false">
      <c r="A39" s="12" t="n">
        <v>4.6</v>
      </c>
      <c r="B39" s="13" t="n">
        <f aca="false">IF(ISNUMBER(A39),ROUND(A39/Results!$C$5,0)*Results!$C$5,"")</f>
        <v>4.6</v>
      </c>
    </row>
    <row r="40" customFormat="false" ht="15" hidden="false" customHeight="false" outlineLevel="0" collapsed="false">
      <c r="A40" s="12" t="n">
        <v>5.3</v>
      </c>
      <c r="B40" s="13" t="n">
        <f aca="false">IF(ISNUMBER(A40),ROUND(A40/Results!$C$5,0)*Results!$C$5,"")</f>
        <v>5.3</v>
      </c>
    </row>
    <row r="41" customFormat="false" ht="15" hidden="false" customHeight="false" outlineLevel="0" collapsed="false">
      <c r="A41" s="12" t="n">
        <v>4</v>
      </c>
      <c r="B41" s="13" t="n">
        <f aca="false">IF(ISNUMBER(A41),ROUND(A41/Results!$C$5,0)*Results!$C$5,"")</f>
        <v>4</v>
      </c>
    </row>
    <row r="42" customFormat="false" ht="15" hidden="false" customHeight="false" outlineLevel="0" collapsed="false">
      <c r="A42" s="12" t="n">
        <v>4.3</v>
      </c>
      <c r="B42" s="13" t="n">
        <f aca="false">IF(ISNUMBER(A42),ROUND(A42/Results!$C$5,0)*Results!$C$5,"")</f>
        <v>4.3</v>
      </c>
    </row>
    <row r="43" customFormat="false" ht="15" hidden="false" customHeight="false" outlineLevel="0" collapsed="false">
      <c r="A43" s="12" t="n">
        <v>4</v>
      </c>
      <c r="B43" s="13" t="n">
        <f aca="false">IF(ISNUMBER(A43),ROUND(A43/Results!$C$5,0)*Results!$C$5,"")</f>
        <v>4</v>
      </c>
    </row>
    <row r="44" customFormat="false" ht="15" hidden="false" customHeight="false" outlineLevel="0" collapsed="false">
      <c r="A44" s="12" t="n">
        <v>4.5</v>
      </c>
      <c r="B44" s="13" t="n">
        <f aca="false">IF(ISNUMBER(A44),ROUND(A44/Results!$C$5,0)*Results!$C$5,"")</f>
        <v>4.5</v>
      </c>
    </row>
    <row r="45" customFormat="false" ht="15" hidden="false" customHeight="false" outlineLevel="0" collapsed="false">
      <c r="A45" s="12" t="n">
        <v>4.9</v>
      </c>
      <c r="B45" s="13" t="n">
        <f aca="false">IF(ISNUMBER(A45),ROUND(A45/Results!$C$5,0)*Results!$C$5,"")</f>
        <v>4.9</v>
      </c>
    </row>
    <row r="46" customFormat="false" ht="15" hidden="false" customHeight="false" outlineLevel="0" collapsed="false">
      <c r="A46" s="12" t="n">
        <v>4.3</v>
      </c>
      <c r="B46" s="13" t="n">
        <f aca="false">IF(ISNUMBER(A46),ROUND(A46/Results!$C$5,0)*Results!$C$5,"")</f>
        <v>4.3</v>
      </c>
    </row>
    <row r="47" customFormat="false" ht="15" hidden="false" customHeight="false" outlineLevel="0" collapsed="false">
      <c r="A47" s="12" t="n">
        <v>4.5</v>
      </c>
      <c r="B47" s="13" t="n">
        <f aca="false">IF(ISNUMBER(A47),ROUND(A47/Results!$C$5,0)*Results!$C$5,"")</f>
        <v>4.5</v>
      </c>
    </row>
    <row r="48" customFormat="false" ht="15" hidden="false" customHeight="false" outlineLevel="0" collapsed="false">
      <c r="A48" s="12" t="n">
        <v>4.5</v>
      </c>
      <c r="B48" s="13" t="n">
        <f aca="false">IF(ISNUMBER(A48),ROUND(A48/Results!$C$5,0)*Results!$C$5,"")</f>
        <v>4.5</v>
      </c>
    </row>
    <row r="49" customFormat="false" ht="15" hidden="false" customHeight="false" outlineLevel="0" collapsed="false">
      <c r="A49" s="12" t="n">
        <v>4.3</v>
      </c>
      <c r="B49" s="13" t="n">
        <f aca="false">IF(ISNUMBER(A49),ROUND(A49/Results!$C$5,0)*Results!$C$5,"")</f>
        <v>4.3</v>
      </c>
    </row>
    <row r="50" customFormat="false" ht="15" hidden="false" customHeight="false" outlineLevel="0" collapsed="false">
      <c r="A50" s="12" t="n">
        <v>4.7</v>
      </c>
      <c r="B50" s="13" t="n">
        <f aca="false">IF(ISNUMBER(A50),ROUND(A50/Results!$C$5,0)*Results!$C$5,"")</f>
        <v>4.7</v>
      </c>
    </row>
    <row r="51" customFormat="false" ht="15" hidden="false" customHeight="false" outlineLevel="0" collapsed="false">
      <c r="A51" s="12" t="n">
        <v>4.1</v>
      </c>
      <c r="B51" s="13" t="n">
        <f aca="false">IF(ISNUMBER(A51),ROUND(A51/Results!$C$5,0)*Results!$C$5,"")</f>
        <v>4.1</v>
      </c>
    </row>
    <row r="52" customFormat="false" ht="15" hidden="false" customHeight="false" outlineLevel="0" collapsed="false">
      <c r="A52" s="12" t="n">
        <v>4.8</v>
      </c>
      <c r="B52" s="13" t="n">
        <f aca="false">IF(ISNUMBER(A52),ROUND(A52/Results!$C$5,0)*Results!$C$5,"")</f>
        <v>4.8</v>
      </c>
    </row>
    <row r="53" customFormat="false" ht="15" hidden="false" customHeight="false" outlineLevel="0" collapsed="false">
      <c r="A53" s="12" t="n">
        <v>5.9</v>
      </c>
      <c r="B53" s="13" t="n">
        <f aca="false">IF(ISNUMBER(A53),ROUND(A53/Results!$C$5,0)*Results!$C$5,"")</f>
        <v>5.9</v>
      </c>
    </row>
    <row r="54" customFormat="false" ht="15" hidden="false" customHeight="false" outlineLevel="0" collapsed="false">
      <c r="A54" s="12" t="n">
        <v>4</v>
      </c>
      <c r="B54" s="13" t="n">
        <f aca="false">IF(ISNUMBER(A54),ROUND(A54/Results!$C$5,0)*Results!$C$5,"")</f>
        <v>4</v>
      </c>
    </row>
    <row r="55" customFormat="false" ht="15" hidden="false" customHeight="false" outlineLevel="0" collapsed="false">
      <c r="A55" s="12" t="n">
        <v>5</v>
      </c>
      <c r="B55" s="13" t="n">
        <f aca="false">IF(ISNUMBER(A55),ROUND(A55/Results!$C$5,0)*Results!$C$5,"")</f>
        <v>5</v>
      </c>
    </row>
    <row r="56" customFormat="false" ht="15" hidden="false" customHeight="false" outlineLevel="0" collapsed="false">
      <c r="A56" s="12" t="n">
        <v>4.3</v>
      </c>
      <c r="B56" s="13" t="n">
        <f aca="false">IF(ISNUMBER(A56),ROUND(A56/Results!$C$5,0)*Results!$C$5,"")</f>
        <v>4.3</v>
      </c>
    </row>
    <row r="57" customFormat="false" ht="15" hidden="false" customHeight="false" outlineLevel="0" collapsed="false">
      <c r="A57" s="12" t="n">
        <v>4.2</v>
      </c>
      <c r="B57" s="13" t="n">
        <f aca="false">IF(ISNUMBER(A57),ROUND(A57/Results!$C$5,0)*Results!$C$5,"")</f>
        <v>4.2</v>
      </c>
    </row>
    <row r="58" customFormat="false" ht="15" hidden="false" customHeight="false" outlineLevel="0" collapsed="false">
      <c r="A58" s="12" t="n">
        <v>4</v>
      </c>
      <c r="B58" s="13" t="n">
        <f aca="false">IF(ISNUMBER(A58),ROUND(A58/Results!$C$5,0)*Results!$C$5,"")</f>
        <v>4</v>
      </c>
    </row>
    <row r="59" customFormat="false" ht="15" hidden="false" customHeight="false" outlineLevel="0" collapsed="false">
      <c r="A59" s="12" t="n">
        <v>5.3</v>
      </c>
      <c r="B59" s="13" t="n">
        <f aca="false">IF(ISNUMBER(A59),ROUND(A59/Results!$C$5,0)*Results!$C$5,"")</f>
        <v>5.3</v>
      </c>
    </row>
    <row r="60" customFormat="false" ht="15" hidden="false" customHeight="false" outlineLevel="0" collapsed="false">
      <c r="A60" s="12" t="n">
        <v>4</v>
      </c>
      <c r="B60" s="13" t="n">
        <f aca="false">IF(ISNUMBER(A60),ROUND(A60/Results!$C$5,0)*Results!$C$5,"")</f>
        <v>4</v>
      </c>
    </row>
    <row r="61" customFormat="false" ht="15" hidden="false" customHeight="false" outlineLevel="0" collapsed="false">
      <c r="A61" s="12" t="n">
        <v>4.6</v>
      </c>
      <c r="B61" s="13" t="n">
        <f aca="false">IF(ISNUMBER(A61),ROUND(A61/Results!$C$5,0)*Results!$C$5,"")</f>
        <v>4.6</v>
      </c>
    </row>
    <row r="62" customFormat="false" ht="15" hidden="false" customHeight="false" outlineLevel="0" collapsed="false">
      <c r="A62" s="12" t="n">
        <v>4.2</v>
      </c>
      <c r="B62" s="13" t="n">
        <f aca="false">IF(ISNUMBER(A62),ROUND(A62/Results!$C$5,0)*Results!$C$5,"")</f>
        <v>4.2</v>
      </c>
    </row>
    <row r="63" customFormat="false" ht="15" hidden="false" customHeight="false" outlineLevel="0" collapsed="false">
      <c r="A63" s="12" t="n">
        <v>5</v>
      </c>
      <c r="B63" s="13" t="n">
        <f aca="false">IF(ISNUMBER(A63),ROUND(A63/Results!$C$5,0)*Results!$C$5,"")</f>
        <v>5</v>
      </c>
    </row>
    <row r="64" customFormat="false" ht="15" hidden="false" customHeight="false" outlineLevel="0" collapsed="false">
      <c r="A64" s="12" t="n">
        <v>4.5</v>
      </c>
      <c r="B64" s="13" t="n">
        <f aca="false">IF(ISNUMBER(A64),ROUND(A64/Results!$C$5,0)*Results!$C$5,"")</f>
        <v>4.5</v>
      </c>
    </row>
    <row r="65" customFormat="false" ht="15" hidden="false" customHeight="false" outlineLevel="0" collapsed="false">
      <c r="A65" s="12" t="n">
        <v>5.8</v>
      </c>
      <c r="B65" s="13" t="n">
        <f aca="false">IF(ISNUMBER(A65),ROUND(A65/Results!$C$5,0)*Results!$C$5,"")</f>
        <v>5.8</v>
      </c>
    </row>
    <row r="66" customFormat="false" ht="15" hidden="false" customHeight="false" outlineLevel="0" collapsed="false">
      <c r="A66" s="12" t="n">
        <v>4</v>
      </c>
      <c r="B66" s="13" t="n">
        <f aca="false">IF(ISNUMBER(A66),ROUND(A66/Results!$C$5,0)*Results!$C$5,"")</f>
        <v>4</v>
      </c>
    </row>
    <row r="67" customFormat="false" ht="15" hidden="false" customHeight="false" outlineLevel="0" collapsed="false">
      <c r="A67" s="12" t="n">
        <v>4</v>
      </c>
      <c r="B67" s="13" t="n">
        <f aca="false">IF(ISNUMBER(A67),ROUND(A67/Results!$C$5,0)*Results!$C$5,"")</f>
        <v>4</v>
      </c>
    </row>
    <row r="68" customFormat="false" ht="15" hidden="false" customHeight="false" outlineLevel="0" collapsed="false">
      <c r="A68" s="12" t="n">
        <v>4.7</v>
      </c>
      <c r="B68" s="13" t="n">
        <f aca="false">IF(ISNUMBER(A68),ROUND(A68/Results!$C$5,0)*Results!$C$5,"")</f>
        <v>4.7</v>
      </c>
    </row>
    <row r="69" customFormat="false" ht="15" hidden="false" customHeight="false" outlineLevel="0" collapsed="false">
      <c r="A69" s="12" t="n">
        <v>4.1</v>
      </c>
      <c r="B69" s="13" t="n">
        <f aca="false">IF(ISNUMBER(A69),ROUND(A69/Results!$C$5,0)*Results!$C$5,"")</f>
        <v>4.1</v>
      </c>
    </row>
    <row r="70" customFormat="false" ht="15" hidden="false" customHeight="false" outlineLevel="0" collapsed="false">
      <c r="A70" s="12" t="n">
        <v>5.1</v>
      </c>
      <c r="B70" s="13" t="n">
        <f aca="false">IF(ISNUMBER(A70),ROUND(A70/Results!$C$5,0)*Results!$C$5,"")</f>
        <v>5.1</v>
      </c>
    </row>
    <row r="71" customFormat="false" ht="15" hidden="false" customHeight="false" outlineLevel="0" collapsed="false">
      <c r="A71" s="12" t="n">
        <v>4.4</v>
      </c>
      <c r="B71" s="13" t="n">
        <f aca="false">IF(ISNUMBER(A71),ROUND(A71/Results!$C$5,0)*Results!$C$5,"")</f>
        <v>4.4</v>
      </c>
    </row>
    <row r="72" customFormat="false" ht="15" hidden="false" customHeight="false" outlineLevel="0" collapsed="false">
      <c r="A72" s="12" t="n">
        <v>4.2</v>
      </c>
      <c r="B72" s="13" t="n">
        <f aca="false">IF(ISNUMBER(A72),ROUND(A72/Results!$C$5,0)*Results!$C$5,"")</f>
        <v>4.2</v>
      </c>
    </row>
    <row r="73" customFormat="false" ht="15" hidden="false" customHeight="false" outlineLevel="0" collapsed="false">
      <c r="A73" s="12" t="n">
        <v>5.4</v>
      </c>
      <c r="B73" s="13" t="n">
        <f aca="false">IF(ISNUMBER(A73),ROUND(A73/Results!$C$5,0)*Results!$C$5,"")</f>
        <v>5.4</v>
      </c>
    </row>
    <row r="74" customFormat="false" ht="15" hidden="false" customHeight="false" outlineLevel="0" collapsed="false">
      <c r="A74" s="12" t="n">
        <v>4</v>
      </c>
      <c r="B74" s="13" t="n">
        <f aca="false">IF(ISNUMBER(A74),ROUND(A74/Results!$C$5,0)*Results!$C$5,"")</f>
        <v>4</v>
      </c>
    </row>
    <row r="75" customFormat="false" ht="15" hidden="false" customHeight="false" outlineLevel="0" collapsed="false">
      <c r="A75" s="12" t="n">
        <v>4.4</v>
      </c>
      <c r="B75" s="13" t="n">
        <f aca="false">IF(ISNUMBER(A75),ROUND(A75/Results!$C$5,0)*Results!$C$5,"")</f>
        <v>4.4</v>
      </c>
    </row>
    <row r="76" customFormat="false" ht="15" hidden="false" customHeight="false" outlineLevel="0" collapsed="false">
      <c r="A76" s="12" t="n">
        <v>4.3</v>
      </c>
      <c r="B76" s="13" t="n">
        <f aca="false">IF(ISNUMBER(A76),ROUND(A76/Results!$C$5,0)*Results!$C$5,"")</f>
        <v>4.3</v>
      </c>
    </row>
    <row r="77" customFormat="false" ht="15" hidden="false" customHeight="false" outlineLevel="0" collapsed="false">
      <c r="A77" s="12" t="n">
        <v>4</v>
      </c>
      <c r="B77" s="13" t="n">
        <f aca="false">IF(ISNUMBER(A77),ROUND(A77/Results!$C$5,0)*Results!$C$5,"")</f>
        <v>4</v>
      </c>
    </row>
    <row r="78" customFormat="false" ht="15" hidden="false" customHeight="false" outlineLevel="0" collapsed="false">
      <c r="A78" s="12" t="n">
        <v>4</v>
      </c>
      <c r="B78" s="13" t="n">
        <f aca="false">IF(ISNUMBER(A78),ROUND(A78/Results!$C$5,0)*Results!$C$5,"")</f>
        <v>4</v>
      </c>
    </row>
    <row r="79" customFormat="false" ht="15" hidden="false" customHeight="false" outlineLevel="0" collapsed="false">
      <c r="A79" s="12" t="n">
        <v>4</v>
      </c>
      <c r="B79" s="13" t="n">
        <f aca="false">IF(ISNUMBER(A79),ROUND(A79/Results!$C$5,0)*Results!$C$5,"")</f>
        <v>4</v>
      </c>
    </row>
    <row r="80" customFormat="false" ht="15" hidden="false" customHeight="false" outlineLevel="0" collapsed="false">
      <c r="A80" s="12" t="n">
        <v>4.1</v>
      </c>
      <c r="B80" s="13" t="n">
        <f aca="false">IF(ISNUMBER(A80),ROUND(A80/Results!$C$5,0)*Results!$C$5,"")</f>
        <v>4.1</v>
      </c>
    </row>
    <row r="81" customFormat="false" ht="15" hidden="false" customHeight="false" outlineLevel="0" collapsed="false">
      <c r="A81" s="12" t="n">
        <v>4.1</v>
      </c>
      <c r="B81" s="13" t="n">
        <f aca="false">IF(ISNUMBER(A81),ROUND(A81/Results!$C$5,0)*Results!$C$5,"")</f>
        <v>4.1</v>
      </c>
    </row>
    <row r="82" customFormat="false" ht="15" hidden="false" customHeight="false" outlineLevel="0" collapsed="false">
      <c r="A82" s="12" t="n">
        <v>4.1</v>
      </c>
      <c r="B82" s="13" t="n">
        <f aca="false">IF(ISNUMBER(A82),ROUND(A82/Results!$C$5,0)*Results!$C$5,"")</f>
        <v>4.1</v>
      </c>
    </row>
    <row r="83" customFormat="false" ht="15" hidden="false" customHeight="false" outlineLevel="0" collapsed="false">
      <c r="A83" s="12" t="n">
        <v>4.2</v>
      </c>
      <c r="B83" s="13" t="n">
        <f aca="false">IF(ISNUMBER(A83),ROUND(A83/Results!$C$5,0)*Results!$C$5,"")</f>
        <v>4.2</v>
      </c>
    </row>
    <row r="84" customFormat="false" ht="15" hidden="false" customHeight="false" outlineLevel="0" collapsed="false">
      <c r="A84" s="12" t="n">
        <v>4</v>
      </c>
      <c r="B84" s="13" t="n">
        <f aca="false">IF(ISNUMBER(A84),ROUND(A84/Results!$C$5,0)*Results!$C$5,"")</f>
        <v>4</v>
      </c>
    </row>
    <row r="85" customFormat="false" ht="15" hidden="false" customHeight="false" outlineLevel="0" collapsed="false">
      <c r="A85" s="12" t="n">
        <v>5</v>
      </c>
      <c r="B85" s="13" t="n">
        <f aca="false">IF(ISNUMBER(A85),ROUND(A85/Results!$C$5,0)*Results!$C$5,"")</f>
        <v>5</v>
      </c>
    </row>
    <row r="86" customFormat="false" ht="15" hidden="false" customHeight="false" outlineLevel="0" collapsed="false">
      <c r="A86" s="12" t="n">
        <v>4.4</v>
      </c>
      <c r="B86" s="13" t="n">
        <f aca="false">IF(ISNUMBER(A86),ROUND(A86/Results!$C$5,0)*Results!$C$5,"")</f>
        <v>4.4</v>
      </c>
    </row>
    <row r="87" customFormat="false" ht="15" hidden="false" customHeight="false" outlineLevel="0" collapsed="false">
      <c r="A87" s="12" t="n">
        <v>4.7</v>
      </c>
      <c r="B87" s="13" t="n">
        <f aca="false">IF(ISNUMBER(A87),ROUND(A87/Results!$C$5,0)*Results!$C$5,"")</f>
        <v>4.7</v>
      </c>
    </row>
    <row r="88" customFormat="false" ht="15" hidden="false" customHeight="false" outlineLevel="0" collapsed="false">
      <c r="A88" s="12" t="n">
        <v>4.8</v>
      </c>
      <c r="B88" s="13" t="n">
        <f aca="false">IF(ISNUMBER(A88),ROUND(A88/Results!$C$5,0)*Results!$C$5,"")</f>
        <v>4.8</v>
      </c>
    </row>
    <row r="89" customFormat="false" ht="15" hidden="false" customHeight="false" outlineLevel="0" collapsed="false">
      <c r="A89" s="12" t="n">
        <v>4</v>
      </c>
      <c r="B89" s="13" t="n">
        <f aca="false">IF(ISNUMBER(A89),ROUND(A89/Results!$C$5,0)*Results!$C$5,"")</f>
        <v>4</v>
      </c>
    </row>
    <row r="90" customFormat="false" ht="15" hidden="false" customHeight="false" outlineLevel="0" collapsed="false">
      <c r="A90" s="12" t="n">
        <v>4.4</v>
      </c>
      <c r="B90" s="13" t="n">
        <f aca="false">IF(ISNUMBER(A90),ROUND(A90/Results!$C$5,0)*Results!$C$5,"")</f>
        <v>4.4</v>
      </c>
    </row>
    <row r="91" customFormat="false" ht="15" hidden="false" customHeight="false" outlineLevel="0" collapsed="false">
      <c r="A91" s="12" t="n">
        <v>4.4</v>
      </c>
      <c r="B91" s="13" t="n">
        <f aca="false">IF(ISNUMBER(A91),ROUND(A91/Results!$C$5,0)*Results!$C$5,"")</f>
        <v>4.4</v>
      </c>
    </row>
    <row r="92" customFormat="false" ht="15" hidden="false" customHeight="false" outlineLevel="0" collapsed="false">
      <c r="A92" s="12" t="n">
        <v>4</v>
      </c>
      <c r="B92" s="13" t="n">
        <f aca="false">IF(ISNUMBER(A92),ROUND(A92/Results!$C$5,0)*Results!$C$5,"")</f>
        <v>4</v>
      </c>
    </row>
    <row r="93" customFormat="false" ht="15" hidden="false" customHeight="false" outlineLevel="0" collapsed="false">
      <c r="A93" s="12" t="n">
        <v>5.4</v>
      </c>
      <c r="B93" s="13" t="n">
        <f aca="false">IF(ISNUMBER(A93),ROUND(A93/Results!$C$5,0)*Results!$C$5,"")</f>
        <v>5.4</v>
      </c>
    </row>
    <row r="94" customFormat="false" ht="15" hidden="false" customHeight="false" outlineLevel="0" collapsed="false">
      <c r="A94" s="12" t="n">
        <v>4</v>
      </c>
      <c r="B94" s="13" t="n">
        <f aca="false">IF(ISNUMBER(A94),ROUND(A94/Results!$C$5,0)*Results!$C$5,"")</f>
        <v>4</v>
      </c>
    </row>
    <row r="95" customFormat="false" ht="15" hidden="false" customHeight="false" outlineLevel="0" collapsed="false">
      <c r="A95" s="12" t="n">
        <v>4.4</v>
      </c>
      <c r="B95" s="13" t="n">
        <f aca="false">IF(ISNUMBER(A95),ROUND(A95/Results!$C$5,0)*Results!$C$5,"")</f>
        <v>4.4</v>
      </c>
    </row>
    <row r="96" customFormat="false" ht="15" hidden="false" customHeight="false" outlineLevel="0" collapsed="false">
      <c r="A96" s="12" t="n">
        <v>5.3</v>
      </c>
      <c r="B96" s="13" t="n">
        <f aca="false">IF(ISNUMBER(A96),ROUND(A96/Results!$C$5,0)*Results!$C$5,"")</f>
        <v>5.3</v>
      </c>
    </row>
    <row r="97" customFormat="false" ht="15" hidden="false" customHeight="false" outlineLevel="0" collapsed="false">
      <c r="A97" s="12" t="n">
        <v>4.1</v>
      </c>
      <c r="B97" s="13" t="n">
        <f aca="false">IF(ISNUMBER(A97),ROUND(A97/Results!$C$5,0)*Results!$C$5,"")</f>
        <v>4.1</v>
      </c>
    </row>
    <row r="98" customFormat="false" ht="15" hidden="false" customHeight="false" outlineLevel="0" collapsed="false">
      <c r="A98" s="12" t="n">
        <v>4.2</v>
      </c>
      <c r="B98" s="13" t="n">
        <f aca="false">IF(ISNUMBER(A98),ROUND(A98/Results!$C$5,0)*Results!$C$5,"")</f>
        <v>4.2</v>
      </c>
    </row>
    <row r="99" customFormat="false" ht="15" hidden="false" customHeight="false" outlineLevel="0" collapsed="false">
      <c r="A99" s="12" t="n">
        <v>4.7</v>
      </c>
      <c r="B99" s="13" t="n">
        <f aca="false">IF(ISNUMBER(A99),ROUND(A99/Results!$C$5,0)*Results!$C$5,"")</f>
        <v>4.7</v>
      </c>
    </row>
    <row r="100" customFormat="false" ht="15" hidden="false" customHeight="false" outlineLevel="0" collapsed="false">
      <c r="A100" s="12" t="n">
        <v>4</v>
      </c>
      <c r="B100" s="13" t="n">
        <f aca="false">IF(ISNUMBER(A100),ROUND(A100/Results!$C$5,0)*Results!$C$5,"")</f>
        <v>4</v>
      </c>
    </row>
    <row r="101" customFormat="false" ht="15" hidden="false" customHeight="false" outlineLevel="0" collapsed="false">
      <c r="A101" s="12" t="n">
        <v>4.3</v>
      </c>
      <c r="B101" s="13" t="n">
        <f aca="false">IF(ISNUMBER(A101),ROUND(A101/Results!$C$5,0)*Results!$C$5,"")</f>
        <v>4.3</v>
      </c>
    </row>
    <row r="102" customFormat="false" ht="15" hidden="false" customHeight="false" outlineLevel="0" collapsed="false">
      <c r="A102" s="12" t="n">
        <v>4.2</v>
      </c>
      <c r="B102" s="13" t="n">
        <f aca="false">IF(ISNUMBER(A102),ROUND(A102/Results!$C$5,0)*Results!$C$5,"")</f>
        <v>4.2</v>
      </c>
    </row>
    <row r="103" customFormat="false" ht="15" hidden="false" customHeight="false" outlineLevel="0" collapsed="false">
      <c r="A103" s="12" t="n">
        <v>4.6</v>
      </c>
      <c r="B103" s="13" t="n">
        <f aca="false">IF(ISNUMBER(A103),ROUND(A103/Results!$C$5,0)*Results!$C$5,"")</f>
        <v>4.6</v>
      </c>
    </row>
    <row r="104" customFormat="false" ht="15" hidden="false" customHeight="false" outlineLevel="0" collapsed="false">
      <c r="A104" s="12" t="n">
        <v>4.4</v>
      </c>
      <c r="B104" s="13" t="n">
        <f aca="false">IF(ISNUMBER(A104),ROUND(A104/Results!$C$5,0)*Results!$C$5,"")</f>
        <v>4.4</v>
      </c>
    </row>
    <row r="105" customFormat="false" ht="15" hidden="false" customHeight="false" outlineLevel="0" collapsed="false">
      <c r="A105" s="12" t="n">
        <v>4.3</v>
      </c>
      <c r="B105" s="13" t="n">
        <f aca="false">IF(ISNUMBER(A105),ROUND(A105/Results!$C$5,0)*Results!$C$5,"")</f>
        <v>4.3</v>
      </c>
    </row>
    <row r="106" customFormat="false" ht="15" hidden="false" customHeight="false" outlineLevel="0" collapsed="false">
      <c r="A106" s="12" t="n">
        <v>4.4</v>
      </c>
      <c r="B106" s="13" t="n">
        <f aca="false">IF(ISNUMBER(A106),ROUND(A106/Results!$C$5,0)*Results!$C$5,"")</f>
        <v>4.4</v>
      </c>
    </row>
    <row r="107" customFormat="false" ht="15" hidden="false" customHeight="false" outlineLevel="0" collapsed="false">
      <c r="A107" s="12" t="n">
        <v>4</v>
      </c>
      <c r="B107" s="13" t="n">
        <f aca="false">IF(ISNUMBER(A107),ROUND(A107/Results!$C$5,0)*Results!$C$5,"")</f>
        <v>4</v>
      </c>
    </row>
    <row r="108" customFormat="false" ht="15" hidden="false" customHeight="false" outlineLevel="0" collapsed="false">
      <c r="A108" s="12" t="n">
        <v>4.9</v>
      </c>
      <c r="B108" s="13" t="n">
        <f aca="false">IF(ISNUMBER(A108),ROUND(A108/Results!$C$5,0)*Results!$C$5,"")</f>
        <v>4.9</v>
      </c>
    </row>
    <row r="109" customFormat="false" ht="15" hidden="false" customHeight="false" outlineLevel="0" collapsed="false">
      <c r="A109" s="12" t="n">
        <v>4.2</v>
      </c>
      <c r="B109" s="13" t="n">
        <f aca="false">IF(ISNUMBER(A109),ROUND(A109/Results!$C$5,0)*Results!$C$5,"")</f>
        <v>4.2</v>
      </c>
    </row>
    <row r="110" customFormat="false" ht="15" hidden="false" customHeight="false" outlineLevel="0" collapsed="false">
      <c r="A110" s="12" t="n">
        <v>5.2</v>
      </c>
      <c r="B110" s="13" t="n">
        <f aca="false">IF(ISNUMBER(A110),ROUND(A110/Results!$C$5,0)*Results!$C$5,"")</f>
        <v>5.2</v>
      </c>
    </row>
    <row r="111" customFormat="false" ht="15" hidden="false" customHeight="false" outlineLevel="0" collapsed="false">
      <c r="A111" s="12" t="n">
        <v>4.4</v>
      </c>
      <c r="B111" s="13" t="n">
        <f aca="false">IF(ISNUMBER(A111),ROUND(A111/Results!$C$5,0)*Results!$C$5,"")</f>
        <v>4.4</v>
      </c>
    </row>
    <row r="112" customFormat="false" ht="15" hidden="false" customHeight="false" outlineLevel="0" collapsed="false">
      <c r="A112" s="12" t="n">
        <v>5</v>
      </c>
      <c r="B112" s="13" t="n">
        <f aca="false">IF(ISNUMBER(A112),ROUND(A112/Results!$C$5,0)*Results!$C$5,"")</f>
        <v>5</v>
      </c>
    </row>
    <row r="113" customFormat="false" ht="15" hidden="false" customHeight="false" outlineLevel="0" collapsed="false">
      <c r="A113" s="12" t="n">
        <v>5.2</v>
      </c>
      <c r="B113" s="13" t="n">
        <f aca="false">IF(ISNUMBER(A113),ROUND(A113/Results!$C$5,0)*Results!$C$5,"")</f>
        <v>5.2</v>
      </c>
    </row>
    <row r="114" customFormat="false" ht="15" hidden="false" customHeight="false" outlineLevel="0" collapsed="false">
      <c r="A114" s="12" t="n">
        <v>4.5</v>
      </c>
      <c r="B114" s="13" t="n">
        <f aca="false">IF(ISNUMBER(A114),ROUND(A114/Results!$C$5,0)*Results!$C$5,"")</f>
        <v>4.5</v>
      </c>
    </row>
    <row r="115" customFormat="false" ht="15" hidden="false" customHeight="false" outlineLevel="0" collapsed="false">
      <c r="A115" s="12" t="n">
        <v>4.1</v>
      </c>
      <c r="B115" s="13" t="n">
        <f aca="false">IF(ISNUMBER(A115),ROUND(A115/Results!$C$5,0)*Results!$C$5,"")</f>
        <v>4.1</v>
      </c>
    </row>
    <row r="116" customFormat="false" ht="15" hidden="false" customHeight="false" outlineLevel="0" collapsed="false">
      <c r="A116" s="12" t="n">
        <v>4.1</v>
      </c>
      <c r="B116" s="13" t="n">
        <f aca="false">IF(ISNUMBER(A116),ROUND(A116/Results!$C$5,0)*Results!$C$5,"")</f>
        <v>4.1</v>
      </c>
    </row>
    <row r="117" customFormat="false" ht="15" hidden="false" customHeight="false" outlineLevel="0" collapsed="false">
      <c r="A117" s="12" t="n">
        <v>4.2</v>
      </c>
      <c r="B117" s="13" t="n">
        <f aca="false">IF(ISNUMBER(A117),ROUND(A117/Results!$C$5,0)*Results!$C$5,"")</f>
        <v>4.2</v>
      </c>
    </row>
    <row r="118" customFormat="false" ht="15" hidden="false" customHeight="false" outlineLevel="0" collapsed="false">
      <c r="A118" s="12" t="n">
        <v>4</v>
      </c>
      <c r="B118" s="13" t="n">
        <f aca="false">IF(ISNUMBER(A118),ROUND(A118/Results!$C$5,0)*Results!$C$5,"")</f>
        <v>4</v>
      </c>
    </row>
    <row r="119" customFormat="false" ht="15" hidden="false" customHeight="false" outlineLevel="0" collapsed="false">
      <c r="A119" s="12" t="n">
        <v>4.9</v>
      </c>
      <c r="B119" s="13" t="n">
        <f aca="false">IF(ISNUMBER(A119),ROUND(A119/Results!$C$5,0)*Results!$C$5,"")</f>
        <v>4.9</v>
      </c>
    </row>
    <row r="120" customFormat="false" ht="15" hidden="false" customHeight="false" outlineLevel="0" collapsed="false">
      <c r="A120" s="12" t="n">
        <v>5.8</v>
      </c>
      <c r="B120" s="13" t="n">
        <f aca="false">IF(ISNUMBER(A120),ROUND(A120/Results!$C$5,0)*Results!$C$5,"")</f>
        <v>5.8</v>
      </c>
    </row>
    <row r="121" customFormat="false" ht="15" hidden="false" customHeight="false" outlineLevel="0" collapsed="false">
      <c r="A121" s="12" t="n">
        <v>4</v>
      </c>
      <c r="B121" s="13" t="n">
        <f aca="false">IF(ISNUMBER(A121),ROUND(A121/Results!$C$5,0)*Results!$C$5,"")</f>
        <v>4</v>
      </c>
    </row>
    <row r="122" customFormat="false" ht="15" hidden="false" customHeight="false" outlineLevel="0" collapsed="false">
      <c r="A122" s="12" t="n">
        <v>5.9</v>
      </c>
      <c r="B122" s="13" t="n">
        <f aca="false">IF(ISNUMBER(A122),ROUND(A122/Results!$C$5,0)*Results!$C$5,"")</f>
        <v>5.9</v>
      </c>
    </row>
    <row r="123" customFormat="false" ht="15" hidden="false" customHeight="false" outlineLevel="0" collapsed="false">
      <c r="A123" s="12" t="n">
        <v>4.4</v>
      </c>
      <c r="B123" s="13" t="n">
        <f aca="false">IF(ISNUMBER(A123),ROUND(A123/Results!$C$5,0)*Results!$C$5,"")</f>
        <v>4.4</v>
      </c>
    </row>
    <row r="124" customFormat="false" ht="15" hidden="false" customHeight="false" outlineLevel="0" collapsed="false">
      <c r="A124" s="12" t="n">
        <v>4.4</v>
      </c>
      <c r="B124" s="13" t="n">
        <f aca="false">IF(ISNUMBER(A124),ROUND(A124/Results!$C$5,0)*Results!$C$5,"")</f>
        <v>4.4</v>
      </c>
    </row>
    <row r="125" customFormat="false" ht="15" hidden="false" customHeight="false" outlineLevel="0" collapsed="false">
      <c r="A125" s="12" t="n">
        <v>4.7</v>
      </c>
      <c r="B125" s="13" t="n">
        <f aca="false">IF(ISNUMBER(A125),ROUND(A125/Results!$C$5,0)*Results!$C$5,"")</f>
        <v>4.7</v>
      </c>
    </row>
    <row r="126" customFormat="false" ht="15" hidden="false" customHeight="false" outlineLevel="0" collapsed="false">
      <c r="A126" s="12" t="n">
        <v>5.7</v>
      </c>
      <c r="B126" s="13" t="n">
        <f aca="false">IF(ISNUMBER(A126),ROUND(A126/Results!$C$5,0)*Results!$C$5,"")</f>
        <v>5.7</v>
      </c>
    </row>
    <row r="127" customFormat="false" ht="15" hidden="false" customHeight="false" outlineLevel="0" collapsed="false">
      <c r="A127" s="12" t="n">
        <v>4.5</v>
      </c>
      <c r="B127" s="13" t="n">
        <f aca="false">IF(ISNUMBER(A127),ROUND(A127/Results!$C$5,0)*Results!$C$5,"")</f>
        <v>4.5</v>
      </c>
    </row>
    <row r="128" customFormat="false" ht="15" hidden="false" customHeight="false" outlineLevel="0" collapsed="false">
      <c r="A128" s="12" t="n">
        <v>4.2</v>
      </c>
      <c r="B128" s="13" t="n">
        <f aca="false">IF(ISNUMBER(A128),ROUND(A128/Results!$C$5,0)*Results!$C$5,"")</f>
        <v>4.2</v>
      </c>
    </row>
    <row r="129" customFormat="false" ht="15" hidden="false" customHeight="false" outlineLevel="0" collapsed="false">
      <c r="A129" s="12" t="n">
        <v>4.3</v>
      </c>
      <c r="B129" s="13" t="n">
        <f aca="false">IF(ISNUMBER(A129),ROUND(A129/Results!$C$5,0)*Results!$C$5,"")</f>
        <v>4.3</v>
      </c>
    </row>
    <row r="130" customFormat="false" ht="15" hidden="false" customHeight="false" outlineLevel="0" collapsed="false">
      <c r="A130" s="12" t="n">
        <v>4.5</v>
      </c>
      <c r="B130" s="13" t="n">
        <f aca="false">IF(ISNUMBER(A130),ROUND(A130/Results!$C$5,0)*Results!$C$5,"")</f>
        <v>4.5</v>
      </c>
    </row>
    <row r="131" customFormat="false" ht="15" hidden="false" customHeight="false" outlineLevel="0" collapsed="false">
      <c r="A131" s="12" t="n">
        <v>4.6</v>
      </c>
      <c r="B131" s="13" t="n">
        <f aca="false">IF(ISNUMBER(A131),ROUND(A131/Results!$C$5,0)*Results!$C$5,"")</f>
        <v>4.6</v>
      </c>
    </row>
    <row r="132" customFormat="false" ht="15" hidden="false" customHeight="false" outlineLevel="0" collapsed="false">
      <c r="A132" s="12" t="n">
        <v>4</v>
      </c>
      <c r="B132" s="13" t="n">
        <f aca="false">IF(ISNUMBER(A132),ROUND(A132/Results!$C$5,0)*Results!$C$5,"")</f>
        <v>4</v>
      </c>
    </row>
    <row r="133" customFormat="false" ht="15" hidden="false" customHeight="false" outlineLevel="0" collapsed="false">
      <c r="A133" s="12" t="n">
        <v>4.1</v>
      </c>
      <c r="B133" s="13" t="n">
        <f aca="false">IF(ISNUMBER(A133),ROUND(A133/Results!$C$5,0)*Results!$C$5,"")</f>
        <v>4.1</v>
      </c>
    </row>
    <row r="134" customFormat="false" ht="15" hidden="false" customHeight="false" outlineLevel="0" collapsed="false">
      <c r="A134" s="12" t="n">
        <v>4.8</v>
      </c>
      <c r="B134" s="13" t="n">
        <f aca="false">IF(ISNUMBER(A134),ROUND(A134/Results!$C$5,0)*Results!$C$5,"")</f>
        <v>4.8</v>
      </c>
    </row>
    <row r="135" customFormat="false" ht="15" hidden="false" customHeight="false" outlineLevel="0" collapsed="false">
      <c r="A135" s="12" t="n">
        <v>4.2</v>
      </c>
      <c r="B135" s="13" t="n">
        <f aca="false">IF(ISNUMBER(A135),ROUND(A135/Results!$C$5,0)*Results!$C$5,"")</f>
        <v>4.2</v>
      </c>
    </row>
    <row r="136" customFormat="false" ht="15" hidden="false" customHeight="false" outlineLevel="0" collapsed="false">
      <c r="A136" s="12" t="n">
        <v>4.1</v>
      </c>
      <c r="B136" s="13" t="n">
        <f aca="false">IF(ISNUMBER(A136),ROUND(A136/Results!$C$5,0)*Results!$C$5,"")</f>
        <v>4.1</v>
      </c>
    </row>
    <row r="137" customFormat="false" ht="15" hidden="false" customHeight="false" outlineLevel="0" collapsed="false">
      <c r="A137" s="12" t="n">
        <v>4.1</v>
      </c>
      <c r="B137" s="13" t="n">
        <f aca="false">IF(ISNUMBER(A137),ROUND(A137/Results!$C$5,0)*Results!$C$5,"")</f>
        <v>4.1</v>
      </c>
    </row>
    <row r="138" customFormat="false" ht="15" hidden="false" customHeight="false" outlineLevel="0" collapsed="false">
      <c r="A138" s="12" t="n">
        <v>4.4</v>
      </c>
      <c r="B138" s="13" t="n">
        <f aca="false">IF(ISNUMBER(A138),ROUND(A138/Results!$C$5,0)*Results!$C$5,"")</f>
        <v>4.4</v>
      </c>
    </row>
    <row r="139" customFormat="false" ht="15" hidden="false" customHeight="false" outlineLevel="0" collapsed="false">
      <c r="A139" s="12" t="n">
        <v>4.6</v>
      </c>
      <c r="B139" s="13" t="n">
        <f aca="false">IF(ISNUMBER(A139),ROUND(A139/Results!$C$5,0)*Results!$C$5,"")</f>
        <v>4.6</v>
      </c>
    </row>
    <row r="140" customFormat="false" ht="15" hidden="false" customHeight="false" outlineLevel="0" collapsed="false">
      <c r="A140" s="12" t="n">
        <v>4</v>
      </c>
      <c r="B140" s="13" t="n">
        <f aca="false">IF(ISNUMBER(A140),ROUND(A140/Results!$C$5,0)*Results!$C$5,"")</f>
        <v>4</v>
      </c>
    </row>
    <row r="141" customFormat="false" ht="15" hidden="false" customHeight="false" outlineLevel="0" collapsed="false">
      <c r="A141" s="12" t="n">
        <v>4</v>
      </c>
      <c r="B141" s="13" t="n">
        <f aca="false">IF(ISNUMBER(A141),ROUND(A141/Results!$C$5,0)*Results!$C$5,"")</f>
        <v>4</v>
      </c>
    </row>
    <row r="142" customFormat="false" ht="15" hidden="false" customHeight="false" outlineLevel="0" collapsed="false">
      <c r="A142" s="12" t="n">
        <v>5.7</v>
      </c>
      <c r="B142" s="13" t="n">
        <f aca="false">IF(ISNUMBER(A142),ROUND(A142/Results!$C$5,0)*Results!$C$5,"")</f>
        <v>5.7</v>
      </c>
    </row>
    <row r="143" customFormat="false" ht="15" hidden="false" customHeight="false" outlineLevel="0" collapsed="false">
      <c r="A143" s="12" t="n">
        <v>4.2</v>
      </c>
      <c r="B143" s="13" t="n">
        <f aca="false">IF(ISNUMBER(A143),ROUND(A143/Results!$C$5,0)*Results!$C$5,"")</f>
        <v>4.2</v>
      </c>
    </row>
    <row r="144" customFormat="false" ht="15" hidden="false" customHeight="false" outlineLevel="0" collapsed="false">
      <c r="A144" s="12" t="n">
        <v>4.5</v>
      </c>
      <c r="B144" s="13" t="n">
        <f aca="false">IF(ISNUMBER(A144),ROUND(A144/Results!$C$5,0)*Results!$C$5,"")</f>
        <v>4.5</v>
      </c>
    </row>
    <row r="145" customFormat="false" ht="15" hidden="false" customHeight="false" outlineLevel="0" collapsed="false">
      <c r="A145" s="12" t="n">
        <v>4.3</v>
      </c>
      <c r="B145" s="13" t="n">
        <f aca="false">IF(ISNUMBER(A145),ROUND(A145/Results!$C$5,0)*Results!$C$5,"")</f>
        <v>4.3</v>
      </c>
    </row>
    <row r="146" customFormat="false" ht="15" hidden="false" customHeight="false" outlineLevel="0" collapsed="false">
      <c r="A146" s="12" t="n">
        <v>4.2</v>
      </c>
      <c r="B146" s="13" t="n">
        <f aca="false">IF(ISNUMBER(A146),ROUND(A146/Results!$C$5,0)*Results!$C$5,"")</f>
        <v>4.2</v>
      </c>
    </row>
    <row r="147" customFormat="false" ht="15" hidden="false" customHeight="false" outlineLevel="0" collapsed="false">
      <c r="A147" s="12" t="n">
        <v>5.1</v>
      </c>
      <c r="B147" s="13" t="n">
        <f aca="false">IF(ISNUMBER(A147),ROUND(A147/Results!$C$5,0)*Results!$C$5,"")</f>
        <v>5.1</v>
      </c>
    </row>
    <row r="148" customFormat="false" ht="15" hidden="false" customHeight="false" outlineLevel="0" collapsed="false">
      <c r="A148" s="12" t="n">
        <v>4.1</v>
      </c>
      <c r="B148" s="13" t="n">
        <f aca="false">IF(ISNUMBER(A148),ROUND(A148/Results!$C$5,0)*Results!$C$5,"")</f>
        <v>4.1</v>
      </c>
    </row>
    <row r="149" customFormat="false" ht="15" hidden="false" customHeight="false" outlineLevel="0" collapsed="false">
      <c r="A149" s="12" t="n">
        <v>4.1</v>
      </c>
      <c r="B149" s="13" t="n">
        <f aca="false">IF(ISNUMBER(A149),ROUND(A149/Results!$C$5,0)*Results!$C$5,"")</f>
        <v>4.1</v>
      </c>
    </row>
    <row r="150" customFormat="false" ht="15" hidden="false" customHeight="false" outlineLevel="0" collapsed="false">
      <c r="A150" s="12" t="n">
        <v>4.1</v>
      </c>
      <c r="B150" s="13" t="n">
        <f aca="false">IF(ISNUMBER(A150),ROUND(A150/Results!$C$5,0)*Results!$C$5,"")</f>
        <v>4.1</v>
      </c>
    </row>
    <row r="151" customFormat="false" ht="15" hidden="false" customHeight="false" outlineLevel="0" collapsed="false">
      <c r="A151" s="12" t="n">
        <v>4.6</v>
      </c>
      <c r="B151" s="13" t="n">
        <f aca="false">IF(ISNUMBER(A151),ROUND(A151/Results!$C$5,0)*Results!$C$5,"")</f>
        <v>4.6</v>
      </c>
    </row>
    <row r="152" customFormat="false" ht="15" hidden="false" customHeight="false" outlineLevel="0" collapsed="false">
      <c r="A152" s="12" t="n">
        <v>4.4</v>
      </c>
      <c r="B152" s="13" t="n">
        <f aca="false">IF(ISNUMBER(A152),ROUND(A152/Results!$C$5,0)*Results!$C$5,"")</f>
        <v>4.4</v>
      </c>
    </row>
    <row r="153" customFormat="false" ht="15" hidden="false" customHeight="false" outlineLevel="0" collapsed="false">
      <c r="A153" s="12" t="n">
        <v>4.7</v>
      </c>
      <c r="B153" s="13" t="n">
        <f aca="false">IF(ISNUMBER(A153),ROUND(A153/Results!$C$5,0)*Results!$C$5,"")</f>
        <v>4.7</v>
      </c>
    </row>
    <row r="154" customFormat="false" ht="15" hidden="false" customHeight="false" outlineLevel="0" collapsed="false">
      <c r="A154" s="12" t="n">
        <v>4.4</v>
      </c>
      <c r="B154" s="13" t="n">
        <f aca="false">IF(ISNUMBER(A154),ROUND(A154/Results!$C$5,0)*Results!$C$5,"")</f>
        <v>4.4</v>
      </c>
    </row>
    <row r="155" customFormat="false" ht="15" hidden="false" customHeight="false" outlineLevel="0" collapsed="false">
      <c r="A155" s="12" t="n">
        <v>4</v>
      </c>
      <c r="B155" s="13" t="n">
        <f aca="false">IF(ISNUMBER(A155),ROUND(A155/Results!$C$5,0)*Results!$C$5,"")</f>
        <v>4</v>
      </c>
    </row>
    <row r="156" customFormat="false" ht="15" hidden="false" customHeight="false" outlineLevel="0" collapsed="false">
      <c r="A156" s="12" t="n">
        <v>4</v>
      </c>
      <c r="B156" s="13" t="n">
        <f aca="false">IF(ISNUMBER(A156),ROUND(A156/Results!$C$5,0)*Results!$C$5,"")</f>
        <v>4</v>
      </c>
    </row>
    <row r="157" customFormat="false" ht="15" hidden="false" customHeight="false" outlineLevel="0" collapsed="false">
      <c r="A157" s="12" t="n">
        <v>4.7</v>
      </c>
      <c r="B157" s="13" t="n">
        <f aca="false">IF(ISNUMBER(A157),ROUND(A157/Results!$C$5,0)*Results!$C$5,"")</f>
        <v>4.7</v>
      </c>
    </row>
    <row r="158" customFormat="false" ht="15" hidden="false" customHeight="false" outlineLevel="0" collapsed="false">
      <c r="A158" s="12" t="n">
        <v>4.1</v>
      </c>
      <c r="B158" s="13" t="n">
        <f aca="false">IF(ISNUMBER(A158),ROUND(A158/Results!$C$5,0)*Results!$C$5,"")</f>
        <v>4.1</v>
      </c>
    </row>
    <row r="159" customFormat="false" ht="15" hidden="false" customHeight="false" outlineLevel="0" collapsed="false">
      <c r="A159" s="12" t="n">
        <v>4.5</v>
      </c>
      <c r="B159" s="13" t="n">
        <f aca="false">IF(ISNUMBER(A159),ROUND(A159/Results!$C$5,0)*Results!$C$5,"")</f>
        <v>4.5</v>
      </c>
    </row>
    <row r="160" customFormat="false" ht="15" hidden="false" customHeight="false" outlineLevel="0" collapsed="false">
      <c r="A160" s="12" t="n">
        <v>4.4</v>
      </c>
      <c r="B160" s="13" t="n">
        <f aca="false">IF(ISNUMBER(A160),ROUND(A160/Results!$C$5,0)*Results!$C$5,"")</f>
        <v>4.4</v>
      </c>
    </row>
    <row r="161" customFormat="false" ht="15" hidden="false" customHeight="false" outlineLevel="0" collapsed="false">
      <c r="A161" s="12" t="n">
        <v>4.1</v>
      </c>
      <c r="B161" s="13" t="n">
        <f aca="false">IF(ISNUMBER(A161),ROUND(A161/Results!$C$5,0)*Results!$C$5,"")</f>
        <v>4.1</v>
      </c>
    </row>
    <row r="162" customFormat="false" ht="15" hidden="false" customHeight="false" outlineLevel="0" collapsed="false">
      <c r="A162" s="12" t="n">
        <v>4.5</v>
      </c>
      <c r="B162" s="13" t="n">
        <f aca="false">IF(ISNUMBER(A162),ROUND(A162/Results!$C$5,0)*Results!$C$5,"")</f>
        <v>4.5</v>
      </c>
    </row>
    <row r="163" customFormat="false" ht="15" hidden="false" customHeight="false" outlineLevel="0" collapsed="false">
      <c r="A163" s="12" t="n">
        <v>4.1</v>
      </c>
      <c r="B163" s="13" t="n">
        <f aca="false">IF(ISNUMBER(A163),ROUND(A163/Results!$C$5,0)*Results!$C$5,"")</f>
        <v>4.1</v>
      </c>
    </row>
    <row r="164" customFormat="false" ht="15" hidden="false" customHeight="false" outlineLevel="0" collapsed="false">
      <c r="A164" s="12" t="n">
        <v>4.8</v>
      </c>
      <c r="B164" s="13" t="n">
        <f aca="false">IF(ISNUMBER(A164),ROUND(A164/Results!$C$5,0)*Results!$C$5,"")</f>
        <v>4.8</v>
      </c>
    </row>
    <row r="165" customFormat="false" ht="15" hidden="false" customHeight="false" outlineLevel="0" collapsed="false">
      <c r="A165" s="12" t="n">
        <v>5.2</v>
      </c>
      <c r="B165" s="13" t="n">
        <f aca="false">IF(ISNUMBER(A165),ROUND(A165/Results!$C$5,0)*Results!$C$5,"")</f>
        <v>5.2</v>
      </c>
    </row>
    <row r="166" customFormat="false" ht="15" hidden="false" customHeight="false" outlineLevel="0" collapsed="false">
      <c r="A166" s="12" t="n">
        <v>4.5</v>
      </c>
      <c r="B166" s="13" t="n">
        <f aca="false">IF(ISNUMBER(A166),ROUND(A166/Results!$C$5,0)*Results!$C$5,"")</f>
        <v>4.5</v>
      </c>
    </row>
    <row r="167" customFormat="false" ht="15" hidden="false" customHeight="false" outlineLevel="0" collapsed="false">
      <c r="A167" s="12" t="n">
        <v>4</v>
      </c>
      <c r="B167" s="13" t="n">
        <f aca="false">IF(ISNUMBER(A167),ROUND(A167/Results!$C$5,0)*Results!$C$5,"")</f>
        <v>4</v>
      </c>
    </row>
    <row r="168" customFormat="false" ht="15" hidden="false" customHeight="false" outlineLevel="0" collapsed="false">
      <c r="A168" s="12" t="n">
        <v>4</v>
      </c>
      <c r="B168" s="13" t="n">
        <f aca="false">IF(ISNUMBER(A168),ROUND(A168/Results!$C$5,0)*Results!$C$5,"")</f>
        <v>4</v>
      </c>
    </row>
    <row r="169" customFormat="false" ht="15" hidden="false" customHeight="false" outlineLevel="0" collapsed="false">
      <c r="A169" s="12" t="n">
        <v>4.3</v>
      </c>
      <c r="B169" s="13" t="n">
        <f aca="false">IF(ISNUMBER(A169),ROUND(A169/Results!$C$5,0)*Results!$C$5,"")</f>
        <v>4.3</v>
      </c>
    </row>
    <row r="170" customFormat="false" ht="15" hidden="false" customHeight="false" outlineLevel="0" collapsed="false">
      <c r="A170" s="12" t="n">
        <v>4.4</v>
      </c>
      <c r="B170" s="13" t="n">
        <f aca="false">IF(ISNUMBER(A170),ROUND(A170/Results!$C$5,0)*Results!$C$5,"")</f>
        <v>4.4</v>
      </c>
    </row>
    <row r="171" customFormat="false" ht="15" hidden="false" customHeight="false" outlineLevel="0" collapsed="false">
      <c r="A171" s="12" t="n">
        <v>4.2</v>
      </c>
      <c r="B171" s="13" t="n">
        <f aca="false">IF(ISNUMBER(A171),ROUND(A171/Results!$C$5,0)*Results!$C$5,"")</f>
        <v>4.2</v>
      </c>
    </row>
    <row r="172" customFormat="false" ht="15" hidden="false" customHeight="false" outlineLevel="0" collapsed="false">
      <c r="A172" s="12" t="n">
        <v>4.5</v>
      </c>
      <c r="B172" s="13" t="n">
        <f aca="false">IF(ISNUMBER(A172),ROUND(A172/Results!$C$5,0)*Results!$C$5,"")</f>
        <v>4.5</v>
      </c>
    </row>
    <row r="173" customFormat="false" ht="15" hidden="false" customHeight="false" outlineLevel="0" collapsed="false">
      <c r="A173" s="12" t="n">
        <v>4.9</v>
      </c>
      <c r="B173" s="13" t="n">
        <f aca="false">IF(ISNUMBER(A173),ROUND(A173/Results!$C$5,0)*Results!$C$5,"")</f>
        <v>4.9</v>
      </c>
    </row>
    <row r="174" customFormat="false" ht="15" hidden="false" customHeight="false" outlineLevel="0" collapsed="false">
      <c r="A174" s="12" t="n">
        <v>4.2</v>
      </c>
      <c r="B174" s="13" t="n">
        <f aca="false">IF(ISNUMBER(A174),ROUND(A174/Results!$C$5,0)*Results!$C$5,"")</f>
        <v>4.2</v>
      </c>
    </row>
    <row r="175" customFormat="false" ht="15" hidden="false" customHeight="false" outlineLevel="0" collapsed="false">
      <c r="A175" s="12" t="n">
        <v>4.5</v>
      </c>
      <c r="B175" s="13" t="n">
        <f aca="false">IF(ISNUMBER(A175),ROUND(A175/Results!$C$5,0)*Results!$C$5,"")</f>
        <v>4.5</v>
      </c>
    </row>
    <row r="176" customFormat="false" ht="15" hidden="false" customHeight="false" outlineLevel="0" collapsed="false">
      <c r="A176" s="12" t="n">
        <v>4.1</v>
      </c>
      <c r="B176" s="13" t="n">
        <f aca="false">IF(ISNUMBER(A176),ROUND(A176/Results!$C$5,0)*Results!$C$5,"")</f>
        <v>4.1</v>
      </c>
    </row>
    <row r="177" customFormat="false" ht="15" hidden="false" customHeight="false" outlineLevel="0" collapsed="false">
      <c r="A177" s="12" t="n">
        <v>4.4</v>
      </c>
      <c r="B177" s="13" t="n">
        <f aca="false">IF(ISNUMBER(A177),ROUND(A177/Results!$C$5,0)*Results!$C$5,"")</f>
        <v>4.4</v>
      </c>
    </row>
    <row r="178" customFormat="false" ht="15" hidden="false" customHeight="false" outlineLevel="0" collapsed="false">
      <c r="A178" s="12" t="n">
        <v>4.6</v>
      </c>
      <c r="B178" s="13" t="n">
        <f aca="false">IF(ISNUMBER(A178),ROUND(A178/Results!$C$5,0)*Results!$C$5,"")</f>
        <v>4.6</v>
      </c>
    </row>
    <row r="179" customFormat="false" ht="15" hidden="false" customHeight="false" outlineLevel="0" collapsed="false">
      <c r="A179" s="12" t="n">
        <v>4.4</v>
      </c>
      <c r="B179" s="13" t="n">
        <f aca="false">IF(ISNUMBER(A179),ROUND(A179/Results!$C$5,0)*Results!$C$5,"")</f>
        <v>4.4</v>
      </c>
    </row>
    <row r="180" customFormat="false" ht="15" hidden="false" customHeight="false" outlineLevel="0" collapsed="false">
      <c r="A180" s="12" t="n">
        <v>4.2</v>
      </c>
      <c r="B180" s="13" t="n">
        <f aca="false">IF(ISNUMBER(A180),ROUND(A180/Results!$C$5,0)*Results!$C$5,"")</f>
        <v>4.2</v>
      </c>
    </row>
    <row r="181" customFormat="false" ht="15" hidden="false" customHeight="false" outlineLevel="0" collapsed="false">
      <c r="A181" s="12" t="n">
        <v>4.3</v>
      </c>
      <c r="B181" s="13" t="n">
        <f aca="false">IF(ISNUMBER(A181),ROUND(A181/Results!$C$5,0)*Results!$C$5,"")</f>
        <v>4.3</v>
      </c>
    </row>
    <row r="182" customFormat="false" ht="15" hidden="false" customHeight="false" outlineLevel="0" collapsed="false">
      <c r="A182" s="12" t="n">
        <v>4</v>
      </c>
      <c r="B182" s="13" t="n">
        <f aca="false">IF(ISNUMBER(A182),ROUND(A182/Results!$C$5,0)*Results!$C$5,"")</f>
        <v>4</v>
      </c>
    </row>
    <row r="183" customFormat="false" ht="15" hidden="false" customHeight="false" outlineLevel="0" collapsed="false">
      <c r="A183" s="12" t="n">
        <v>4.7</v>
      </c>
      <c r="B183" s="13" t="n">
        <f aca="false">IF(ISNUMBER(A183),ROUND(A183/Results!$C$5,0)*Results!$C$5,"")</f>
        <v>4.7</v>
      </c>
    </row>
    <row r="184" customFormat="false" ht="15" hidden="false" customHeight="false" outlineLevel="0" collapsed="false">
      <c r="A184" s="12" t="n">
        <v>4.7</v>
      </c>
      <c r="B184" s="13" t="n">
        <f aca="false">IF(ISNUMBER(A184),ROUND(A184/Results!$C$5,0)*Results!$C$5,"")</f>
        <v>4.7</v>
      </c>
    </row>
    <row r="185" customFormat="false" ht="15" hidden="false" customHeight="false" outlineLevel="0" collapsed="false">
      <c r="A185" s="12" t="n">
        <v>4.2</v>
      </c>
      <c r="B185" s="13" t="n">
        <f aca="false">IF(ISNUMBER(A185),ROUND(A185/Results!$C$5,0)*Results!$C$5,"")</f>
        <v>4.2</v>
      </c>
    </row>
    <row r="186" customFormat="false" ht="15" hidden="false" customHeight="false" outlineLevel="0" collapsed="false">
      <c r="A186" s="12" t="n">
        <v>4.5</v>
      </c>
      <c r="B186" s="13" t="n">
        <f aca="false">IF(ISNUMBER(A186),ROUND(A186/Results!$C$5,0)*Results!$C$5,"")</f>
        <v>4.5</v>
      </c>
    </row>
    <row r="187" customFormat="false" ht="15" hidden="false" customHeight="false" outlineLevel="0" collapsed="false">
      <c r="A187" s="12" t="n">
        <v>4</v>
      </c>
      <c r="B187" s="13" t="n">
        <f aca="false">IF(ISNUMBER(A187),ROUND(A187/Results!$C$5,0)*Results!$C$5,"")</f>
        <v>4</v>
      </c>
    </row>
    <row r="188" customFormat="false" ht="15" hidden="false" customHeight="false" outlineLevel="0" collapsed="false">
      <c r="A188" s="12" t="n">
        <v>4.1</v>
      </c>
      <c r="B188" s="13" t="n">
        <f aca="false">IF(ISNUMBER(A188),ROUND(A188/Results!$C$5,0)*Results!$C$5,"")</f>
        <v>4.1</v>
      </c>
    </row>
    <row r="189" customFormat="false" ht="15" hidden="false" customHeight="false" outlineLevel="0" collapsed="false">
      <c r="A189" s="12" t="n">
        <v>4.9</v>
      </c>
      <c r="B189" s="13" t="n">
        <f aca="false">IF(ISNUMBER(A189),ROUND(A189/Results!$C$5,0)*Results!$C$5,"")</f>
        <v>4.9</v>
      </c>
    </row>
    <row r="190" customFormat="false" ht="15" hidden="false" customHeight="false" outlineLevel="0" collapsed="false">
      <c r="A190" s="12" t="n">
        <v>4.3</v>
      </c>
      <c r="B190" s="13" t="n">
        <f aca="false">IF(ISNUMBER(A190),ROUND(A190/Results!$C$5,0)*Results!$C$5,"")</f>
        <v>4.3</v>
      </c>
    </row>
    <row r="191" customFormat="false" ht="15" hidden="false" customHeight="false" outlineLevel="0" collapsed="false">
      <c r="A191" s="12" t="n">
        <v>4.3</v>
      </c>
      <c r="B191" s="13" t="n">
        <f aca="false">IF(ISNUMBER(A191),ROUND(A191/Results!$C$5,0)*Results!$C$5,"")</f>
        <v>4.3</v>
      </c>
    </row>
    <row r="192" customFormat="false" ht="15" hidden="false" customHeight="false" outlineLevel="0" collapsed="false">
      <c r="A192" s="12" t="n">
        <v>4.8</v>
      </c>
      <c r="B192" s="13" t="n">
        <f aca="false">IF(ISNUMBER(A192),ROUND(A192/Results!$C$5,0)*Results!$C$5,"")</f>
        <v>4.8</v>
      </c>
    </row>
    <row r="193" customFormat="false" ht="15" hidden="false" customHeight="false" outlineLevel="0" collapsed="false">
      <c r="A193" s="12" t="n">
        <v>5.6</v>
      </c>
      <c r="B193" s="13" t="n">
        <f aca="false">IF(ISNUMBER(A193),ROUND(A193/Results!$C$5,0)*Results!$C$5,"")</f>
        <v>5.6</v>
      </c>
    </row>
    <row r="194" customFormat="false" ht="15" hidden="false" customHeight="false" outlineLevel="0" collapsed="false">
      <c r="A194" s="12" t="n">
        <v>5</v>
      </c>
      <c r="B194" s="13" t="n">
        <f aca="false">IF(ISNUMBER(A194),ROUND(A194/Results!$C$5,0)*Results!$C$5,"")</f>
        <v>5</v>
      </c>
    </row>
    <row r="195" customFormat="false" ht="15" hidden="false" customHeight="false" outlineLevel="0" collapsed="false">
      <c r="A195" s="12" t="n">
        <v>4.5</v>
      </c>
      <c r="B195" s="13" t="n">
        <f aca="false">IF(ISNUMBER(A195),ROUND(A195/Results!$C$5,0)*Results!$C$5,"")</f>
        <v>4.5</v>
      </c>
    </row>
    <row r="196" customFormat="false" ht="15" hidden="false" customHeight="false" outlineLevel="0" collapsed="false">
      <c r="A196" s="12" t="n">
        <v>4.1</v>
      </c>
      <c r="B196" s="13" t="n">
        <f aca="false">IF(ISNUMBER(A196),ROUND(A196/Results!$C$5,0)*Results!$C$5,"")</f>
        <v>4.1</v>
      </c>
    </row>
    <row r="197" customFormat="false" ht="15" hidden="false" customHeight="false" outlineLevel="0" collapsed="false">
      <c r="A197" s="12" t="n">
        <v>4.4</v>
      </c>
      <c r="B197" s="13" t="n">
        <f aca="false">IF(ISNUMBER(A197),ROUND(A197/Results!$C$5,0)*Results!$C$5,"")</f>
        <v>4.4</v>
      </c>
    </row>
    <row r="198" customFormat="false" ht="15" hidden="false" customHeight="false" outlineLevel="0" collapsed="false">
      <c r="A198" s="12" t="n">
        <v>4.2</v>
      </c>
      <c r="B198" s="13" t="n">
        <f aca="false">IF(ISNUMBER(A198),ROUND(A198/Results!$C$5,0)*Results!$C$5,"")</f>
        <v>4.2</v>
      </c>
    </row>
    <row r="199" customFormat="false" ht="15" hidden="false" customHeight="false" outlineLevel="0" collapsed="false">
      <c r="A199" s="12" t="n">
        <v>5.5</v>
      </c>
      <c r="B199" s="13" t="n">
        <f aca="false">IF(ISNUMBER(A199),ROUND(A199/Results!$C$5,0)*Results!$C$5,"")</f>
        <v>5.5</v>
      </c>
    </row>
    <row r="200" customFormat="false" ht="15" hidden="false" customHeight="false" outlineLevel="0" collapsed="false">
      <c r="A200" s="12" t="n">
        <v>4.3</v>
      </c>
      <c r="B200" s="13" t="n">
        <f aca="false">IF(ISNUMBER(A200),ROUND(A200/Results!$C$5,0)*Results!$C$5,"")</f>
        <v>4.3</v>
      </c>
    </row>
    <row r="201" customFormat="false" ht="15" hidden="false" customHeight="false" outlineLevel="0" collapsed="false">
      <c r="A201" s="12" t="n">
        <v>4.9</v>
      </c>
      <c r="B201" s="13" t="n">
        <f aca="false">IF(ISNUMBER(A201),ROUND(A201/Results!$C$5,0)*Results!$C$5,"")</f>
        <v>4.9</v>
      </c>
    </row>
    <row r="202" customFormat="false" ht="15" hidden="false" customHeight="false" outlineLevel="0" collapsed="false">
      <c r="A202" s="12" t="n">
        <v>4.6</v>
      </c>
      <c r="B202" s="13" t="n">
        <f aca="false">IF(ISNUMBER(A202),ROUND(A202/Results!$C$5,0)*Results!$C$5,"")</f>
        <v>4.6</v>
      </c>
    </row>
    <row r="203" customFormat="false" ht="15" hidden="false" customHeight="false" outlineLevel="0" collapsed="false">
      <c r="A203" s="12" t="n">
        <v>4</v>
      </c>
      <c r="B203" s="13" t="n">
        <f aca="false">IF(ISNUMBER(A203),ROUND(A203/Results!$C$5,0)*Results!$C$5,"")</f>
        <v>4</v>
      </c>
    </row>
    <row r="204" customFormat="false" ht="15" hidden="false" customHeight="false" outlineLevel="0" collapsed="false">
      <c r="A204" s="12" t="n">
        <v>4.7</v>
      </c>
      <c r="B204" s="13" t="n">
        <f aca="false">IF(ISNUMBER(A204),ROUND(A204/Results!$C$5,0)*Results!$C$5,"")</f>
        <v>4.7</v>
      </c>
    </row>
    <row r="205" customFormat="false" ht="15" hidden="false" customHeight="false" outlineLevel="0" collapsed="false">
      <c r="A205" s="12" t="n">
        <v>4.7</v>
      </c>
      <c r="B205" s="13" t="n">
        <f aca="false">IF(ISNUMBER(A205),ROUND(A205/Results!$C$5,0)*Results!$C$5,"")</f>
        <v>4.7</v>
      </c>
    </row>
    <row r="206" customFormat="false" ht="15" hidden="false" customHeight="false" outlineLevel="0" collapsed="false">
      <c r="A206" s="12" t="n">
        <v>4.9</v>
      </c>
      <c r="B206" s="13" t="n">
        <f aca="false">IF(ISNUMBER(A206),ROUND(A206/Results!$C$5,0)*Results!$C$5,"")</f>
        <v>4.9</v>
      </c>
    </row>
    <row r="207" customFormat="false" ht="15" hidden="false" customHeight="false" outlineLevel="0" collapsed="false">
      <c r="A207" s="12" t="n">
        <v>4.5</v>
      </c>
      <c r="B207" s="13" t="n">
        <f aca="false">IF(ISNUMBER(A207),ROUND(A207/Results!$C$5,0)*Results!$C$5,"")</f>
        <v>4.5</v>
      </c>
    </row>
    <row r="208" customFormat="false" ht="15" hidden="false" customHeight="false" outlineLevel="0" collapsed="false">
      <c r="A208" s="12" t="n">
        <v>4.9</v>
      </c>
      <c r="B208" s="13" t="n">
        <f aca="false">IF(ISNUMBER(A208),ROUND(A208/Results!$C$5,0)*Results!$C$5,"")</f>
        <v>4.9</v>
      </c>
    </row>
    <row r="209" customFormat="false" ht="15" hidden="false" customHeight="false" outlineLevel="0" collapsed="false">
      <c r="A209" s="12" t="n">
        <v>4.3</v>
      </c>
      <c r="B209" s="13" t="n">
        <f aca="false">IF(ISNUMBER(A209),ROUND(A209/Results!$C$5,0)*Results!$C$5,"")</f>
        <v>4.3</v>
      </c>
    </row>
    <row r="210" customFormat="false" ht="15" hidden="false" customHeight="false" outlineLevel="0" collapsed="false">
      <c r="A210" s="12" t="n">
        <v>4.3</v>
      </c>
      <c r="B210" s="13" t="n">
        <f aca="false">IF(ISNUMBER(A210),ROUND(A210/Results!$C$5,0)*Results!$C$5,"")</f>
        <v>4.3</v>
      </c>
    </row>
    <row r="211" customFormat="false" ht="15" hidden="false" customHeight="false" outlineLevel="0" collapsed="false">
      <c r="A211" s="12" t="n">
        <v>4</v>
      </c>
      <c r="B211" s="13" t="n">
        <f aca="false">IF(ISNUMBER(A211),ROUND(A211/Results!$C$5,0)*Results!$C$5,"")</f>
        <v>4</v>
      </c>
    </row>
    <row r="212" customFormat="false" ht="15" hidden="false" customHeight="false" outlineLevel="0" collapsed="false">
      <c r="A212" s="12" t="n">
        <v>4.6</v>
      </c>
      <c r="B212" s="13" t="n">
        <f aca="false">IF(ISNUMBER(A212),ROUND(A212/Results!$C$5,0)*Results!$C$5,"")</f>
        <v>4.6</v>
      </c>
    </row>
    <row r="213" customFormat="false" ht="15" hidden="false" customHeight="false" outlineLevel="0" collapsed="false">
      <c r="A213" s="12" t="n">
        <v>4.8</v>
      </c>
      <c r="B213" s="13" t="n">
        <f aca="false">IF(ISNUMBER(A213),ROUND(A213/Results!$C$5,0)*Results!$C$5,"")</f>
        <v>4.8</v>
      </c>
    </row>
    <row r="214" customFormat="false" ht="15" hidden="false" customHeight="false" outlineLevel="0" collapsed="false">
      <c r="A214" s="12" t="n">
        <v>4.7</v>
      </c>
      <c r="B214" s="13" t="n">
        <f aca="false">IF(ISNUMBER(A214),ROUND(A214/Results!$C$5,0)*Results!$C$5,"")</f>
        <v>4.7</v>
      </c>
    </row>
    <row r="215" customFormat="false" ht="15" hidden="false" customHeight="false" outlineLevel="0" collapsed="false">
      <c r="A215" s="12" t="n">
        <v>4.1</v>
      </c>
      <c r="B215" s="13" t="n">
        <f aca="false">IF(ISNUMBER(A215),ROUND(A215/Results!$C$5,0)*Results!$C$5,"")</f>
        <v>4.1</v>
      </c>
    </row>
    <row r="216" customFormat="false" ht="15" hidden="false" customHeight="false" outlineLevel="0" collapsed="false">
      <c r="A216" s="12" t="n">
        <v>4</v>
      </c>
      <c r="B216" s="13" t="n">
        <f aca="false">IF(ISNUMBER(A216),ROUND(A216/Results!$C$5,0)*Results!$C$5,"")</f>
        <v>4</v>
      </c>
    </row>
    <row r="217" customFormat="false" ht="15" hidden="false" customHeight="false" outlineLevel="0" collapsed="false">
      <c r="A217" s="12" t="n">
        <v>5.3</v>
      </c>
      <c r="B217" s="13" t="n">
        <f aca="false">IF(ISNUMBER(A217),ROUND(A217/Results!$C$5,0)*Results!$C$5,"")</f>
        <v>5.3</v>
      </c>
    </row>
    <row r="218" customFormat="false" ht="15" hidden="false" customHeight="false" outlineLevel="0" collapsed="false">
      <c r="A218" s="12" t="n">
        <v>4.4</v>
      </c>
      <c r="B218" s="13" t="n">
        <f aca="false">IF(ISNUMBER(A218),ROUND(A218/Results!$C$5,0)*Results!$C$5,"")</f>
        <v>4.4</v>
      </c>
    </row>
    <row r="219" customFormat="false" ht="15" hidden="false" customHeight="false" outlineLevel="0" collapsed="false">
      <c r="A219" s="12" t="n">
        <v>4.4</v>
      </c>
      <c r="B219" s="13" t="n">
        <f aca="false">IF(ISNUMBER(A219),ROUND(A219/Results!$C$5,0)*Results!$C$5,"")</f>
        <v>4.4</v>
      </c>
    </row>
    <row r="220" customFormat="false" ht="15" hidden="false" customHeight="false" outlineLevel="0" collapsed="false">
      <c r="A220" s="12" t="n">
        <v>4.4</v>
      </c>
      <c r="B220" s="13" t="n">
        <f aca="false">IF(ISNUMBER(A220),ROUND(A220/Results!$C$5,0)*Results!$C$5,"")</f>
        <v>4.4</v>
      </c>
    </row>
    <row r="221" customFormat="false" ht="15" hidden="false" customHeight="false" outlineLevel="0" collapsed="false">
      <c r="A221" s="12" t="n">
        <v>4.3</v>
      </c>
      <c r="B221" s="13" t="n">
        <f aca="false">IF(ISNUMBER(A221),ROUND(A221/Results!$C$5,0)*Results!$C$5,"")</f>
        <v>4.3</v>
      </c>
    </row>
    <row r="222" customFormat="false" ht="15" hidden="false" customHeight="false" outlineLevel="0" collapsed="false">
      <c r="A222" s="12" t="n">
        <v>4</v>
      </c>
      <c r="B222" s="13" t="n">
        <f aca="false">IF(ISNUMBER(A222),ROUND(A222/Results!$C$5,0)*Results!$C$5,"")</f>
        <v>4</v>
      </c>
    </row>
    <row r="223" customFormat="false" ht="15" hidden="false" customHeight="false" outlineLevel="0" collapsed="false">
      <c r="A223" s="12" t="n">
        <v>4.8</v>
      </c>
      <c r="B223" s="13" t="n">
        <f aca="false">IF(ISNUMBER(A223),ROUND(A223/Results!$C$5,0)*Results!$C$5,"")</f>
        <v>4.8</v>
      </c>
    </row>
    <row r="224" customFormat="false" ht="15" hidden="false" customHeight="false" outlineLevel="0" collapsed="false">
      <c r="A224" s="12" t="n">
        <v>4.6</v>
      </c>
      <c r="B224" s="13" t="n">
        <f aca="false">IF(ISNUMBER(A224),ROUND(A224/Results!$C$5,0)*Results!$C$5,"")</f>
        <v>4.6</v>
      </c>
    </row>
    <row r="225" customFormat="false" ht="15" hidden="false" customHeight="false" outlineLevel="0" collapsed="false">
      <c r="A225" s="12" t="n">
        <v>6.1</v>
      </c>
      <c r="B225" s="13" t="n">
        <f aca="false">IF(ISNUMBER(A225),ROUND(A225/Results!$C$5,0)*Results!$C$5,"")</f>
        <v>6.1</v>
      </c>
    </row>
    <row r="226" customFormat="false" ht="15" hidden="false" customHeight="false" outlineLevel="0" collapsed="false">
      <c r="A226" s="12" t="n">
        <v>4</v>
      </c>
      <c r="B226" s="13" t="n">
        <f aca="false">IF(ISNUMBER(A226),ROUND(A226/Results!$C$5,0)*Results!$C$5,"")</f>
        <v>4</v>
      </c>
    </row>
    <row r="227" customFormat="false" ht="15" hidden="false" customHeight="false" outlineLevel="0" collapsed="false">
      <c r="A227" s="12" t="n">
        <v>4.5</v>
      </c>
      <c r="B227" s="13" t="n">
        <f aca="false">IF(ISNUMBER(A227),ROUND(A227/Results!$C$5,0)*Results!$C$5,"")</f>
        <v>4.5</v>
      </c>
    </row>
    <row r="228" customFormat="false" ht="15" hidden="false" customHeight="false" outlineLevel="0" collapsed="false">
      <c r="A228" s="12" t="n">
        <v>4.1</v>
      </c>
      <c r="B228" s="13" t="n">
        <f aca="false">IF(ISNUMBER(A228),ROUND(A228/Results!$C$5,0)*Results!$C$5,"")</f>
        <v>4.1</v>
      </c>
    </row>
    <row r="229" customFormat="false" ht="15" hidden="false" customHeight="false" outlineLevel="0" collapsed="false">
      <c r="A229" s="12" t="n">
        <v>4.2</v>
      </c>
      <c r="B229" s="13" t="n">
        <f aca="false">IF(ISNUMBER(A229),ROUND(A229/Results!$C$5,0)*Results!$C$5,"")</f>
        <v>4.2</v>
      </c>
    </row>
    <row r="230" customFormat="false" ht="15" hidden="false" customHeight="false" outlineLevel="0" collapsed="false">
      <c r="A230" s="12" t="n">
        <v>4.3</v>
      </c>
      <c r="B230" s="13" t="n">
        <f aca="false">IF(ISNUMBER(A230),ROUND(A230/Results!$C$5,0)*Results!$C$5,"")</f>
        <v>4.3</v>
      </c>
    </row>
    <row r="231" customFormat="false" ht="15" hidden="false" customHeight="false" outlineLevel="0" collapsed="false">
      <c r="A231" s="12" t="n">
        <v>4.2</v>
      </c>
      <c r="B231" s="13" t="n">
        <f aca="false">IF(ISNUMBER(A231),ROUND(A231/Results!$C$5,0)*Results!$C$5,"")</f>
        <v>4.2</v>
      </c>
    </row>
    <row r="232" customFormat="false" ht="15" hidden="false" customHeight="false" outlineLevel="0" collapsed="false">
      <c r="A232" s="12" t="n">
        <v>4.8</v>
      </c>
      <c r="B232" s="13" t="n">
        <f aca="false">IF(ISNUMBER(A232),ROUND(A232/Results!$C$5,0)*Results!$C$5,"")</f>
        <v>4.8</v>
      </c>
    </row>
    <row r="233" customFormat="false" ht="15" hidden="false" customHeight="false" outlineLevel="0" collapsed="false">
      <c r="A233" s="12" t="n">
        <v>4.4</v>
      </c>
      <c r="B233" s="13" t="n">
        <f aca="false">IF(ISNUMBER(A233),ROUND(A233/Results!$C$5,0)*Results!$C$5,"")</f>
        <v>4.4</v>
      </c>
    </row>
    <row r="234" customFormat="false" ht="15" hidden="false" customHeight="false" outlineLevel="0" collapsed="false">
      <c r="A234" s="12" t="n">
        <v>4.4</v>
      </c>
      <c r="B234" s="13" t="n">
        <f aca="false">IF(ISNUMBER(A234),ROUND(A234/Results!$C$5,0)*Results!$C$5,"")</f>
        <v>4.4</v>
      </c>
    </row>
    <row r="235" customFormat="false" ht="15" hidden="false" customHeight="false" outlineLevel="0" collapsed="false">
      <c r="A235" s="12" t="n">
        <v>4.1</v>
      </c>
      <c r="B235" s="13" t="n">
        <f aca="false">IF(ISNUMBER(A235),ROUND(A235/Results!$C$5,0)*Results!$C$5,"")</f>
        <v>4.1</v>
      </c>
    </row>
    <row r="236" customFormat="false" ht="15" hidden="false" customHeight="false" outlineLevel="0" collapsed="false">
      <c r="A236" s="12" t="n">
        <v>4.4</v>
      </c>
      <c r="B236" s="13" t="n">
        <f aca="false">IF(ISNUMBER(A236),ROUND(A236/Results!$C$5,0)*Results!$C$5,"")</f>
        <v>4.4</v>
      </c>
    </row>
    <row r="237" customFormat="false" ht="15" hidden="false" customHeight="false" outlineLevel="0" collapsed="false">
      <c r="A237" s="12" t="n">
        <v>5.5</v>
      </c>
      <c r="B237" s="13" t="n">
        <f aca="false">IF(ISNUMBER(A237),ROUND(A237/Results!$C$5,0)*Results!$C$5,"")</f>
        <v>5.5</v>
      </c>
    </row>
    <row r="238" customFormat="false" ht="15" hidden="false" customHeight="false" outlineLevel="0" collapsed="false">
      <c r="A238" s="12" t="n">
        <v>4.9</v>
      </c>
      <c r="B238" s="13" t="n">
        <f aca="false">IF(ISNUMBER(A238),ROUND(A238/Results!$C$5,0)*Results!$C$5,"")</f>
        <v>4.9</v>
      </c>
    </row>
    <row r="239" customFormat="false" ht="15" hidden="false" customHeight="false" outlineLevel="0" collapsed="false">
      <c r="A239" s="12" t="n">
        <v>4.1</v>
      </c>
      <c r="B239" s="13" t="n">
        <f aca="false">IF(ISNUMBER(A239),ROUND(A239/Results!$C$5,0)*Results!$C$5,"")</f>
        <v>4.1</v>
      </c>
    </row>
    <row r="240" customFormat="false" ht="15" hidden="false" customHeight="false" outlineLevel="0" collapsed="false">
      <c r="A240" s="12" t="n">
        <v>4.2</v>
      </c>
      <c r="B240" s="13" t="n">
        <f aca="false">IF(ISNUMBER(A240),ROUND(A240/Results!$C$5,0)*Results!$C$5,"")</f>
        <v>4.2</v>
      </c>
    </row>
    <row r="241" customFormat="false" ht="15" hidden="false" customHeight="false" outlineLevel="0" collapsed="false">
      <c r="A241" s="12" t="n">
        <v>4.8</v>
      </c>
      <c r="B241" s="13" t="n">
        <f aca="false">IF(ISNUMBER(A241),ROUND(A241/Results!$C$5,0)*Results!$C$5,"")</f>
        <v>4.8</v>
      </c>
    </row>
    <row r="242" customFormat="false" ht="15" hidden="false" customHeight="false" outlineLevel="0" collapsed="false">
      <c r="A242" s="12" t="n">
        <v>4.1</v>
      </c>
      <c r="B242" s="13" t="n">
        <f aca="false">IF(ISNUMBER(A242),ROUND(A242/Results!$C$5,0)*Results!$C$5,"")</f>
        <v>4.1</v>
      </c>
    </row>
    <row r="243" customFormat="false" ht="15" hidden="false" customHeight="false" outlineLevel="0" collapsed="false">
      <c r="A243" s="12" t="n">
        <v>4.2</v>
      </c>
      <c r="B243" s="13" t="n">
        <f aca="false">IF(ISNUMBER(A243),ROUND(A243/Results!$C$5,0)*Results!$C$5,"")</f>
        <v>4.2</v>
      </c>
    </row>
    <row r="244" customFormat="false" ht="15" hidden="false" customHeight="false" outlineLevel="0" collapsed="false">
      <c r="A244" s="12" t="n">
        <v>4.3</v>
      </c>
      <c r="B244" s="13" t="n">
        <f aca="false">IF(ISNUMBER(A244),ROUND(A244/Results!$C$5,0)*Results!$C$5,"")</f>
        <v>4.3</v>
      </c>
    </row>
    <row r="245" customFormat="false" ht="15" hidden="false" customHeight="false" outlineLevel="0" collapsed="false">
      <c r="A245" s="12" t="n">
        <v>4.2</v>
      </c>
      <c r="B245" s="13" t="n">
        <f aca="false">IF(ISNUMBER(A245),ROUND(A245/Results!$C$5,0)*Results!$C$5,"")</f>
        <v>4.2</v>
      </c>
    </row>
    <row r="246" customFormat="false" ht="15" hidden="false" customHeight="false" outlineLevel="0" collapsed="false">
      <c r="A246" s="12" t="n">
        <v>4.1</v>
      </c>
      <c r="B246" s="13" t="n">
        <f aca="false">IF(ISNUMBER(A246),ROUND(A246/Results!$C$5,0)*Results!$C$5,"")</f>
        <v>4.1</v>
      </c>
    </row>
    <row r="247" customFormat="false" ht="15" hidden="false" customHeight="false" outlineLevel="0" collapsed="false">
      <c r="A247" s="12" t="n">
        <v>5</v>
      </c>
      <c r="B247" s="13" t="n">
        <f aca="false">IF(ISNUMBER(A247),ROUND(A247/Results!$C$5,0)*Results!$C$5,"")</f>
        <v>5</v>
      </c>
    </row>
    <row r="248" customFormat="false" ht="15" hidden="false" customHeight="false" outlineLevel="0" collapsed="false">
      <c r="A248" s="12" t="n">
        <v>4.2</v>
      </c>
      <c r="B248" s="13" t="n">
        <f aca="false">IF(ISNUMBER(A248),ROUND(A248/Results!$C$5,0)*Results!$C$5,"")</f>
        <v>4.2</v>
      </c>
    </row>
    <row r="249" customFormat="false" ht="15" hidden="false" customHeight="false" outlineLevel="0" collapsed="false">
      <c r="A249" s="12" t="n">
        <v>4.5</v>
      </c>
      <c r="B249" s="13" t="n">
        <f aca="false">IF(ISNUMBER(A249),ROUND(A249/Results!$C$5,0)*Results!$C$5,"")</f>
        <v>4.5</v>
      </c>
    </row>
    <row r="250" customFormat="false" ht="15" hidden="false" customHeight="false" outlineLevel="0" collapsed="false">
      <c r="A250" s="12" t="n">
        <v>4</v>
      </c>
      <c r="B250" s="13" t="n">
        <f aca="false">IF(ISNUMBER(A250),ROUND(A250/Results!$C$5,0)*Results!$C$5,"")</f>
        <v>4</v>
      </c>
    </row>
    <row r="251" customFormat="false" ht="15" hidden="false" customHeight="false" outlineLevel="0" collapsed="false">
      <c r="A251" s="12" t="n">
        <v>5.1</v>
      </c>
      <c r="B251" s="13" t="n">
        <f aca="false">IF(ISNUMBER(A251),ROUND(A251/Results!$C$5,0)*Results!$C$5,"")</f>
        <v>5.1</v>
      </c>
    </row>
    <row r="252" customFormat="false" ht="15" hidden="false" customHeight="false" outlineLevel="0" collapsed="false">
      <c r="A252" s="12" t="n">
        <v>5.2</v>
      </c>
      <c r="B252" s="13" t="n">
        <f aca="false">IF(ISNUMBER(A252),ROUND(A252/Results!$C$5,0)*Results!$C$5,"")</f>
        <v>5.2</v>
      </c>
    </row>
    <row r="253" customFormat="false" ht="15" hidden="false" customHeight="false" outlineLevel="0" collapsed="false">
      <c r="A253" s="12" t="n">
        <v>4.8</v>
      </c>
      <c r="B253" s="13" t="n">
        <f aca="false">IF(ISNUMBER(A253),ROUND(A253/Results!$C$5,0)*Results!$C$5,"")</f>
        <v>4.8</v>
      </c>
    </row>
    <row r="254" customFormat="false" ht="15" hidden="false" customHeight="false" outlineLevel="0" collapsed="false">
      <c r="A254" s="12" t="n">
        <v>4.3</v>
      </c>
      <c r="B254" s="13" t="n">
        <f aca="false">IF(ISNUMBER(A254),ROUND(A254/Results!$C$5,0)*Results!$C$5,"")</f>
        <v>4.3</v>
      </c>
    </row>
    <row r="255" customFormat="false" ht="15" hidden="false" customHeight="false" outlineLevel="0" collapsed="false">
      <c r="A255" s="12" t="n">
        <v>4.2</v>
      </c>
      <c r="B255" s="13" t="n">
        <f aca="false">IF(ISNUMBER(A255),ROUND(A255/Results!$C$5,0)*Results!$C$5,"")</f>
        <v>4.2</v>
      </c>
    </row>
    <row r="256" customFormat="false" ht="15" hidden="false" customHeight="false" outlineLevel="0" collapsed="false">
      <c r="A256" s="12" t="n">
        <v>5</v>
      </c>
      <c r="B256" s="13" t="n">
        <f aca="false">IF(ISNUMBER(A256),ROUND(A256/Results!$C$5,0)*Results!$C$5,"")</f>
        <v>5</v>
      </c>
    </row>
    <row r="257" customFormat="false" ht="15" hidden="false" customHeight="false" outlineLevel="0" collapsed="false">
      <c r="A257" s="12" t="n">
        <v>4.1</v>
      </c>
      <c r="B257" s="13" t="n">
        <f aca="false">IF(ISNUMBER(A257),ROUND(A257/Results!$C$5,0)*Results!$C$5,"")</f>
        <v>4.1</v>
      </c>
    </row>
    <row r="258" customFormat="false" ht="15" hidden="false" customHeight="false" outlineLevel="0" collapsed="false">
      <c r="A258" s="12" t="n">
        <v>4</v>
      </c>
      <c r="B258" s="13" t="n">
        <f aca="false">IF(ISNUMBER(A258),ROUND(A258/Results!$C$5,0)*Results!$C$5,"")</f>
        <v>4</v>
      </c>
    </row>
    <row r="259" customFormat="false" ht="15" hidden="false" customHeight="false" outlineLevel="0" collapsed="false">
      <c r="A259" s="12" t="n">
        <v>4</v>
      </c>
      <c r="B259" s="13" t="n">
        <f aca="false">IF(ISNUMBER(A259),ROUND(A259/Results!$C$5,0)*Results!$C$5,"")</f>
        <v>4</v>
      </c>
    </row>
    <row r="260" customFormat="false" ht="15" hidden="false" customHeight="false" outlineLevel="0" collapsed="false">
      <c r="A260" s="12" t="n">
        <v>5.3</v>
      </c>
      <c r="B260" s="13" t="n">
        <f aca="false">IF(ISNUMBER(A260),ROUND(A260/Results!$C$5,0)*Results!$C$5,"")</f>
        <v>5.3</v>
      </c>
    </row>
    <row r="261" customFormat="false" ht="15" hidden="false" customHeight="false" outlineLevel="0" collapsed="false">
      <c r="A261" s="12" t="n">
        <v>5.5</v>
      </c>
      <c r="B261" s="13" t="n">
        <f aca="false">IF(ISNUMBER(A261),ROUND(A261/Results!$C$5,0)*Results!$C$5,"")</f>
        <v>5.5</v>
      </c>
    </row>
    <row r="262" customFormat="false" ht="15" hidden="false" customHeight="false" outlineLevel="0" collapsed="false">
      <c r="A262" s="12" t="n">
        <v>4.1</v>
      </c>
      <c r="B262" s="13" t="n">
        <f aca="false">IF(ISNUMBER(A262),ROUND(A262/Results!$C$5,0)*Results!$C$5,"")</f>
        <v>4.1</v>
      </c>
    </row>
    <row r="263" customFormat="false" ht="15" hidden="false" customHeight="false" outlineLevel="0" collapsed="false">
      <c r="A263" s="12" t="n">
        <v>4.1</v>
      </c>
      <c r="B263" s="13" t="n">
        <f aca="false">IF(ISNUMBER(A263),ROUND(A263/Results!$C$5,0)*Results!$C$5,"")</f>
        <v>4.1</v>
      </c>
    </row>
    <row r="264" customFormat="false" ht="15" hidden="false" customHeight="false" outlineLevel="0" collapsed="false">
      <c r="A264" s="12" t="n">
        <v>4</v>
      </c>
      <c r="B264" s="13" t="n">
        <f aca="false">IF(ISNUMBER(A264),ROUND(A264/Results!$C$5,0)*Results!$C$5,"")</f>
        <v>4</v>
      </c>
    </row>
    <row r="265" customFormat="false" ht="15" hidden="false" customHeight="false" outlineLevel="0" collapsed="false">
      <c r="A265" s="12" t="n">
        <v>4.6</v>
      </c>
      <c r="B265" s="13" t="n">
        <f aca="false">IF(ISNUMBER(A265),ROUND(A265/Results!$C$5,0)*Results!$C$5,"")</f>
        <v>4.6</v>
      </c>
    </row>
    <row r="266" customFormat="false" ht="15" hidden="false" customHeight="false" outlineLevel="0" collapsed="false">
      <c r="A266" s="12" t="n">
        <v>4.4</v>
      </c>
      <c r="B266" s="13" t="n">
        <f aca="false">IF(ISNUMBER(A266),ROUND(A266/Results!$C$5,0)*Results!$C$5,"")</f>
        <v>4.4</v>
      </c>
    </row>
    <row r="267" customFormat="false" ht="15" hidden="false" customHeight="false" outlineLevel="0" collapsed="false">
      <c r="A267" s="12" t="n">
        <v>5.2</v>
      </c>
      <c r="B267" s="13" t="n">
        <f aca="false">IF(ISNUMBER(A267),ROUND(A267/Results!$C$5,0)*Results!$C$5,"")</f>
        <v>5.2</v>
      </c>
    </row>
    <row r="268" customFormat="false" ht="15" hidden="false" customHeight="false" outlineLevel="0" collapsed="false">
      <c r="A268" s="12" t="n">
        <v>4</v>
      </c>
      <c r="B268" s="13" t="n">
        <f aca="false">IF(ISNUMBER(A268),ROUND(A268/Results!$C$5,0)*Results!$C$5,"")</f>
        <v>4</v>
      </c>
    </row>
    <row r="269" customFormat="false" ht="15" hidden="false" customHeight="false" outlineLevel="0" collapsed="false">
      <c r="A269" s="12" t="n">
        <v>4.1</v>
      </c>
      <c r="B269" s="13" t="n">
        <f aca="false">IF(ISNUMBER(A269),ROUND(A269/Results!$C$5,0)*Results!$C$5,"")</f>
        <v>4.1</v>
      </c>
    </row>
    <row r="270" customFormat="false" ht="15" hidden="false" customHeight="false" outlineLevel="0" collapsed="false">
      <c r="A270" s="12" t="n">
        <v>4.2</v>
      </c>
      <c r="B270" s="13" t="n">
        <f aca="false">IF(ISNUMBER(A270),ROUND(A270/Results!$C$5,0)*Results!$C$5,"")</f>
        <v>4.2</v>
      </c>
    </row>
    <row r="271" customFormat="false" ht="15" hidden="false" customHeight="false" outlineLevel="0" collapsed="false">
      <c r="A271" s="12" t="n">
        <v>4.5</v>
      </c>
      <c r="B271" s="13" t="n">
        <f aca="false">IF(ISNUMBER(A271),ROUND(A271/Results!$C$5,0)*Results!$C$5,"")</f>
        <v>4.5</v>
      </c>
    </row>
    <row r="272" customFormat="false" ht="15" hidden="false" customHeight="false" outlineLevel="0" collapsed="false">
      <c r="A272" s="12" t="n">
        <v>4.1</v>
      </c>
      <c r="B272" s="13" t="n">
        <f aca="false">IF(ISNUMBER(A272),ROUND(A272/Results!$C$5,0)*Results!$C$5,"")</f>
        <v>4.1</v>
      </c>
    </row>
    <row r="273" customFormat="false" ht="15" hidden="false" customHeight="false" outlineLevel="0" collapsed="false">
      <c r="A273" s="12" t="n">
        <v>5.4</v>
      </c>
      <c r="B273" s="13" t="n">
        <f aca="false">IF(ISNUMBER(A273),ROUND(A273/Results!$C$5,0)*Results!$C$5,"")</f>
        <v>5.4</v>
      </c>
    </row>
    <row r="274" customFormat="false" ht="15" hidden="false" customHeight="false" outlineLevel="0" collapsed="false">
      <c r="A274" s="12" t="n">
        <v>4.2</v>
      </c>
      <c r="B274" s="13" t="n">
        <f aca="false">IF(ISNUMBER(A274),ROUND(A274/Results!$C$5,0)*Results!$C$5,"")</f>
        <v>4.2</v>
      </c>
    </row>
    <row r="275" customFormat="false" ht="15" hidden="false" customHeight="false" outlineLevel="0" collapsed="false">
      <c r="A275" s="12" t="n">
        <v>4.5</v>
      </c>
      <c r="B275" s="13" t="n">
        <f aca="false">IF(ISNUMBER(A275),ROUND(A275/Results!$C$5,0)*Results!$C$5,"")</f>
        <v>4.5</v>
      </c>
    </row>
    <row r="276" customFormat="false" ht="15" hidden="false" customHeight="false" outlineLevel="0" collapsed="false">
      <c r="A276" s="12" t="n">
        <v>4.3</v>
      </c>
      <c r="B276" s="13" t="n">
        <f aca="false">IF(ISNUMBER(A276),ROUND(A276/Results!$C$5,0)*Results!$C$5,"")</f>
        <v>4.3</v>
      </c>
    </row>
    <row r="277" customFormat="false" ht="15" hidden="false" customHeight="false" outlineLevel="0" collapsed="false">
      <c r="A277" s="12" t="n">
        <v>4.2</v>
      </c>
      <c r="B277" s="13" t="n">
        <f aca="false">IF(ISNUMBER(A277),ROUND(A277/Results!$C$5,0)*Results!$C$5,"")</f>
        <v>4.2</v>
      </c>
    </row>
    <row r="278" customFormat="false" ht="15" hidden="false" customHeight="false" outlineLevel="0" collapsed="false">
      <c r="A278" s="12" t="n">
        <v>4.7</v>
      </c>
      <c r="B278" s="13" t="n">
        <f aca="false">IF(ISNUMBER(A278),ROUND(A278/Results!$C$5,0)*Results!$C$5,"")</f>
        <v>4.7</v>
      </c>
    </row>
    <row r="279" customFormat="false" ht="15" hidden="false" customHeight="false" outlineLevel="0" collapsed="false">
      <c r="A279" s="12" t="n">
        <v>4.4</v>
      </c>
      <c r="B279" s="13" t="n">
        <f aca="false">IF(ISNUMBER(A279),ROUND(A279/Results!$C$5,0)*Results!$C$5,"")</f>
        <v>4.4</v>
      </c>
    </row>
    <row r="280" customFormat="false" ht="15" hidden="false" customHeight="false" outlineLevel="0" collapsed="false">
      <c r="A280" s="12" t="n">
        <v>5.3</v>
      </c>
      <c r="B280" s="13" t="n">
        <f aca="false">IF(ISNUMBER(A280),ROUND(A280/Results!$C$5,0)*Results!$C$5,"")</f>
        <v>5.3</v>
      </c>
    </row>
    <row r="281" customFormat="false" ht="15" hidden="false" customHeight="false" outlineLevel="0" collapsed="false">
      <c r="A281" s="12" t="n">
        <v>4</v>
      </c>
      <c r="B281" s="13" t="n">
        <f aca="false">IF(ISNUMBER(A281),ROUND(A281/Results!$C$5,0)*Results!$C$5,"")</f>
        <v>4</v>
      </c>
    </row>
    <row r="282" customFormat="false" ht="15" hidden="false" customHeight="false" outlineLevel="0" collapsed="false">
      <c r="A282" s="12" t="n">
        <v>4.5</v>
      </c>
      <c r="B282" s="13" t="n">
        <f aca="false">IF(ISNUMBER(A282),ROUND(A282/Results!$C$5,0)*Results!$C$5,"")</f>
        <v>4.5</v>
      </c>
    </row>
    <row r="283" customFormat="false" ht="15" hidden="false" customHeight="false" outlineLevel="0" collapsed="false">
      <c r="A283" s="12" t="n">
        <v>4.2</v>
      </c>
      <c r="B283" s="13" t="n">
        <f aca="false">IF(ISNUMBER(A283),ROUND(A283/Results!$C$5,0)*Results!$C$5,"")</f>
        <v>4.2</v>
      </c>
    </row>
    <row r="284" customFormat="false" ht="15" hidden="false" customHeight="false" outlineLevel="0" collapsed="false">
      <c r="A284" s="12" t="n">
        <v>4</v>
      </c>
      <c r="B284" s="13" t="n">
        <f aca="false">IF(ISNUMBER(A284),ROUND(A284/Results!$C$5,0)*Results!$C$5,"")</f>
        <v>4</v>
      </c>
    </row>
    <row r="285" customFormat="false" ht="15" hidden="false" customHeight="false" outlineLevel="0" collapsed="false">
      <c r="A285" s="12" t="n">
        <v>4.1</v>
      </c>
      <c r="B285" s="13" t="n">
        <f aca="false">IF(ISNUMBER(A285),ROUND(A285/Results!$C$5,0)*Results!$C$5,"")</f>
        <v>4.1</v>
      </c>
    </row>
    <row r="286" customFormat="false" ht="15" hidden="false" customHeight="false" outlineLevel="0" collapsed="false">
      <c r="A286" s="12" t="n">
        <v>4.6</v>
      </c>
      <c r="B286" s="13" t="n">
        <f aca="false">IF(ISNUMBER(A286),ROUND(A286/Results!$C$5,0)*Results!$C$5,"")</f>
        <v>4.6</v>
      </c>
    </row>
    <row r="287" customFormat="false" ht="15" hidden="false" customHeight="false" outlineLevel="0" collapsed="false">
      <c r="A287" s="12" t="n">
        <v>4.5</v>
      </c>
      <c r="B287" s="13" t="n">
        <f aca="false">IF(ISNUMBER(A287),ROUND(A287/Results!$C$5,0)*Results!$C$5,"")</f>
        <v>4.5</v>
      </c>
    </row>
    <row r="288" customFormat="false" ht="15" hidden="false" customHeight="false" outlineLevel="0" collapsed="false">
      <c r="A288" s="12" t="n">
        <v>4.1</v>
      </c>
      <c r="B288" s="13" t="n">
        <f aca="false">IF(ISNUMBER(A288),ROUND(A288/Results!$C$5,0)*Results!$C$5,"")</f>
        <v>4.1</v>
      </c>
    </row>
    <row r="289" customFormat="false" ht="15" hidden="false" customHeight="false" outlineLevel="0" collapsed="false">
      <c r="A289" s="12" t="n">
        <v>4.3</v>
      </c>
      <c r="B289" s="13" t="n">
        <f aca="false">IF(ISNUMBER(A289),ROUND(A289/Results!$C$5,0)*Results!$C$5,"")</f>
        <v>4.3</v>
      </c>
    </row>
    <row r="290" customFormat="false" ht="15" hidden="false" customHeight="false" outlineLevel="0" collapsed="false">
      <c r="A290" s="12" t="n">
        <v>4.5</v>
      </c>
      <c r="B290" s="13" t="n">
        <f aca="false">IF(ISNUMBER(A290),ROUND(A290/Results!$C$5,0)*Results!$C$5,"")</f>
        <v>4.5</v>
      </c>
    </row>
    <row r="291" customFormat="false" ht="15" hidden="false" customHeight="false" outlineLevel="0" collapsed="false">
      <c r="A291" s="12" t="n">
        <v>4.1</v>
      </c>
      <c r="B291" s="13" t="n">
        <f aca="false">IF(ISNUMBER(A291),ROUND(A291/Results!$C$5,0)*Results!$C$5,"")</f>
        <v>4.1</v>
      </c>
    </row>
    <row r="292" customFormat="false" ht="15" hidden="false" customHeight="false" outlineLevel="0" collapsed="false">
      <c r="A292" s="12" t="n">
        <v>5.6</v>
      </c>
      <c r="B292" s="13" t="n">
        <f aca="false">IF(ISNUMBER(A292),ROUND(A292/Results!$C$5,0)*Results!$C$5,"")</f>
        <v>5.6</v>
      </c>
    </row>
    <row r="293" customFormat="false" ht="15" hidden="false" customHeight="false" outlineLevel="0" collapsed="false">
      <c r="A293" s="12" t="n">
        <v>4</v>
      </c>
      <c r="B293" s="13" t="n">
        <f aca="false">IF(ISNUMBER(A293),ROUND(A293/Results!$C$5,0)*Results!$C$5,"")</f>
        <v>4</v>
      </c>
    </row>
    <row r="294" customFormat="false" ht="15" hidden="false" customHeight="false" outlineLevel="0" collapsed="false">
      <c r="A294" s="12" t="n">
        <v>4.1</v>
      </c>
      <c r="B294" s="13" t="n">
        <f aca="false">IF(ISNUMBER(A294),ROUND(A294/Results!$C$5,0)*Results!$C$5,"")</f>
        <v>4.1</v>
      </c>
    </row>
    <row r="295" customFormat="false" ht="15" hidden="false" customHeight="false" outlineLevel="0" collapsed="false">
      <c r="A295" s="12" t="n">
        <v>4.5</v>
      </c>
      <c r="B295" s="13" t="n">
        <f aca="false">IF(ISNUMBER(A295),ROUND(A295/Results!$C$5,0)*Results!$C$5,"")</f>
        <v>4.5</v>
      </c>
    </row>
    <row r="296" customFormat="false" ht="15" hidden="false" customHeight="false" outlineLevel="0" collapsed="false">
      <c r="A296" s="12" t="n">
        <v>4.4</v>
      </c>
      <c r="B296" s="13" t="n">
        <f aca="false">IF(ISNUMBER(A296),ROUND(A296/Results!$C$5,0)*Results!$C$5,"")</f>
        <v>4.4</v>
      </c>
    </row>
    <row r="297" customFormat="false" ht="15" hidden="false" customHeight="false" outlineLevel="0" collapsed="false">
      <c r="A297" s="12" t="n">
        <v>4.3</v>
      </c>
      <c r="B297" s="13" t="n">
        <f aca="false">IF(ISNUMBER(A297),ROUND(A297/Results!$C$5,0)*Results!$C$5,"")</f>
        <v>4.3</v>
      </c>
    </row>
    <row r="298" customFormat="false" ht="15" hidden="false" customHeight="false" outlineLevel="0" collapsed="false">
      <c r="A298" s="12" t="n">
        <v>6</v>
      </c>
      <c r="B298" s="13" t="n">
        <f aca="false">IF(ISNUMBER(A298),ROUND(A298/Results!$C$5,0)*Results!$C$5,"")</f>
        <v>6</v>
      </c>
    </row>
    <row r="299" customFormat="false" ht="15" hidden="false" customHeight="false" outlineLevel="0" collapsed="false">
      <c r="A299" s="12" t="n">
        <v>4.5</v>
      </c>
      <c r="B299" s="13" t="n">
        <f aca="false">IF(ISNUMBER(A299),ROUND(A299/Results!$C$5,0)*Results!$C$5,"")</f>
        <v>4.5</v>
      </c>
    </row>
    <row r="300" customFormat="false" ht="15" hidden="false" customHeight="false" outlineLevel="0" collapsed="false">
      <c r="A300" s="12" t="n">
        <v>5.5</v>
      </c>
      <c r="B300" s="13" t="n">
        <f aca="false">IF(ISNUMBER(A300),ROUND(A300/Results!$C$5,0)*Results!$C$5,"")</f>
        <v>5.5</v>
      </c>
    </row>
    <row r="301" customFormat="false" ht="15" hidden="false" customHeight="false" outlineLevel="0" collapsed="false">
      <c r="A301" s="12" t="n">
        <v>4.5</v>
      </c>
      <c r="B301" s="13" t="n">
        <f aca="false">IF(ISNUMBER(A301),ROUND(A301/Results!$C$5,0)*Results!$C$5,"")</f>
        <v>4.5</v>
      </c>
    </row>
    <row r="302" customFormat="false" ht="15" hidden="false" customHeight="false" outlineLevel="0" collapsed="false">
      <c r="A302" s="12" t="n">
        <v>4.2</v>
      </c>
      <c r="B302" s="13" t="n">
        <f aca="false">IF(ISNUMBER(A302),ROUND(A302/Results!$C$5,0)*Results!$C$5,"")</f>
        <v>4.2</v>
      </c>
    </row>
    <row r="303" customFormat="false" ht="15" hidden="false" customHeight="false" outlineLevel="0" collapsed="false">
      <c r="A303" s="12" t="n">
        <v>4</v>
      </c>
      <c r="B303" s="13" t="n">
        <f aca="false">IF(ISNUMBER(A303),ROUND(A303/Results!$C$5,0)*Results!$C$5,"")</f>
        <v>4</v>
      </c>
    </row>
    <row r="304" customFormat="false" ht="15" hidden="false" customHeight="false" outlineLevel="0" collapsed="false">
      <c r="A304" s="12" t="n">
        <v>5.4</v>
      </c>
      <c r="B304" s="13" t="n">
        <f aca="false">IF(ISNUMBER(A304),ROUND(A304/Results!$C$5,0)*Results!$C$5,"")</f>
        <v>5.4</v>
      </c>
    </row>
    <row r="305" customFormat="false" ht="15" hidden="false" customHeight="false" outlineLevel="0" collapsed="false">
      <c r="A305" s="12" t="n">
        <v>4.3</v>
      </c>
      <c r="B305" s="13" t="n">
        <f aca="false">IF(ISNUMBER(A305),ROUND(A305/Results!$C$5,0)*Results!$C$5,"")</f>
        <v>4.3</v>
      </c>
    </row>
    <row r="306" customFormat="false" ht="15" hidden="false" customHeight="false" outlineLevel="0" collapsed="false">
      <c r="A306" s="12" t="n">
        <v>4.3</v>
      </c>
      <c r="B306" s="13" t="n">
        <f aca="false">IF(ISNUMBER(A306),ROUND(A306/Results!$C$5,0)*Results!$C$5,"")</f>
        <v>4.3</v>
      </c>
    </row>
    <row r="307" customFormat="false" ht="15" hidden="false" customHeight="false" outlineLevel="0" collapsed="false">
      <c r="A307" s="12" t="n">
        <v>4.1</v>
      </c>
      <c r="B307" s="13" t="n">
        <f aca="false">IF(ISNUMBER(A307),ROUND(A307/Results!$C$5,0)*Results!$C$5,"")</f>
        <v>4.1</v>
      </c>
    </row>
    <row r="308" customFormat="false" ht="15" hidden="false" customHeight="false" outlineLevel="0" collapsed="false">
      <c r="A308" s="12" t="n">
        <v>4</v>
      </c>
      <c r="B308" s="13" t="n">
        <f aca="false">IF(ISNUMBER(A308),ROUND(A308/Results!$C$5,0)*Results!$C$5,"")</f>
        <v>4</v>
      </c>
    </row>
    <row r="309" customFormat="false" ht="15" hidden="false" customHeight="false" outlineLevel="0" collapsed="false">
      <c r="A309" s="12" t="n">
        <v>4.3</v>
      </c>
      <c r="B309" s="13" t="n">
        <f aca="false">IF(ISNUMBER(A309),ROUND(A309/Results!$C$5,0)*Results!$C$5,"")</f>
        <v>4.3</v>
      </c>
    </row>
    <row r="310" customFormat="false" ht="15" hidden="false" customHeight="false" outlineLevel="0" collapsed="false">
      <c r="A310" s="12" t="n">
        <v>4.3</v>
      </c>
      <c r="B310" s="13" t="n">
        <f aca="false">IF(ISNUMBER(A310),ROUND(A310/Results!$C$5,0)*Results!$C$5,"")</f>
        <v>4.3</v>
      </c>
    </row>
    <row r="311" customFormat="false" ht="15" hidden="false" customHeight="false" outlineLevel="0" collapsed="false">
      <c r="A311" s="12" t="n">
        <v>4.1</v>
      </c>
      <c r="B311" s="13" t="n">
        <f aca="false">IF(ISNUMBER(A311),ROUND(A311/Results!$C$5,0)*Results!$C$5,"")</f>
        <v>4.1</v>
      </c>
    </row>
    <row r="312" customFormat="false" ht="15" hidden="false" customHeight="false" outlineLevel="0" collapsed="false">
      <c r="A312" s="12" t="n">
        <v>4</v>
      </c>
      <c r="B312" s="13" t="n">
        <f aca="false">IF(ISNUMBER(A312),ROUND(A312/Results!$C$5,0)*Results!$C$5,"")</f>
        <v>4</v>
      </c>
    </row>
    <row r="313" customFormat="false" ht="15" hidden="false" customHeight="false" outlineLevel="0" collapsed="false">
      <c r="A313" s="12" t="n">
        <v>4.5</v>
      </c>
      <c r="B313" s="13" t="n">
        <f aca="false">IF(ISNUMBER(A313),ROUND(A313/Results!$C$5,0)*Results!$C$5,"")</f>
        <v>4.5</v>
      </c>
    </row>
    <row r="314" customFormat="false" ht="15" hidden="false" customHeight="false" outlineLevel="0" collapsed="false">
      <c r="A314" s="12" t="n">
        <v>4.1</v>
      </c>
      <c r="B314" s="13" t="n">
        <f aca="false">IF(ISNUMBER(A314),ROUND(A314/Results!$C$5,0)*Results!$C$5,"")</f>
        <v>4.1</v>
      </c>
    </row>
    <row r="315" customFormat="false" ht="15" hidden="false" customHeight="false" outlineLevel="0" collapsed="false">
      <c r="A315" s="12" t="n">
        <v>4.9</v>
      </c>
      <c r="B315" s="13" t="n">
        <f aca="false">IF(ISNUMBER(A315),ROUND(A315/Results!$C$5,0)*Results!$C$5,"")</f>
        <v>4.9</v>
      </c>
    </row>
    <row r="316" customFormat="false" ht="15" hidden="false" customHeight="false" outlineLevel="0" collapsed="false">
      <c r="A316" s="12" t="n">
        <v>4</v>
      </c>
      <c r="B316" s="13" t="n">
        <f aca="false">IF(ISNUMBER(A316),ROUND(A316/Results!$C$5,0)*Results!$C$5,"")</f>
        <v>4</v>
      </c>
    </row>
    <row r="317" customFormat="false" ht="15" hidden="false" customHeight="false" outlineLevel="0" collapsed="false">
      <c r="A317" s="12" t="n">
        <v>4.5</v>
      </c>
      <c r="B317" s="13" t="n">
        <f aca="false">IF(ISNUMBER(A317),ROUND(A317/Results!$C$5,0)*Results!$C$5,"")</f>
        <v>4.5</v>
      </c>
    </row>
    <row r="318" customFormat="false" ht="15" hidden="false" customHeight="false" outlineLevel="0" collapsed="false">
      <c r="A318" s="12" t="n">
        <v>4</v>
      </c>
      <c r="B318" s="13" t="n">
        <f aca="false">IF(ISNUMBER(A318),ROUND(A318/Results!$C$5,0)*Results!$C$5,"")</f>
        <v>4</v>
      </c>
    </row>
    <row r="319" customFormat="false" ht="15" hidden="false" customHeight="false" outlineLevel="0" collapsed="false">
      <c r="A319" s="12" t="n">
        <v>5</v>
      </c>
      <c r="B319" s="13" t="n">
        <f aca="false">IF(ISNUMBER(A319),ROUND(A319/Results!$C$5,0)*Results!$C$5,"")</f>
        <v>5</v>
      </c>
    </row>
    <row r="320" customFormat="false" ht="15" hidden="false" customHeight="false" outlineLevel="0" collapsed="false">
      <c r="A320" s="12" t="n">
        <v>4</v>
      </c>
      <c r="B320" s="13" t="n">
        <f aca="false">IF(ISNUMBER(A320),ROUND(A320/Results!$C$5,0)*Results!$C$5,"")</f>
        <v>4</v>
      </c>
    </row>
    <row r="321" customFormat="false" ht="15" hidden="false" customHeight="false" outlineLevel="0" collapsed="false">
      <c r="A321" s="12" t="n">
        <v>4.1</v>
      </c>
      <c r="B321" s="13" t="n">
        <f aca="false">IF(ISNUMBER(A321),ROUND(A321/Results!$C$5,0)*Results!$C$5,"")</f>
        <v>4.1</v>
      </c>
    </row>
    <row r="322" customFormat="false" ht="15" hidden="false" customHeight="false" outlineLevel="0" collapsed="false">
      <c r="A322" s="12" t="n">
        <v>4.4</v>
      </c>
      <c r="B322" s="13" t="n">
        <f aca="false">IF(ISNUMBER(A322),ROUND(A322/Results!$C$5,0)*Results!$C$5,"")</f>
        <v>4.4</v>
      </c>
    </row>
    <row r="323" customFormat="false" ht="15" hidden="false" customHeight="false" outlineLevel="0" collapsed="false">
      <c r="A323" s="12" t="n">
        <v>4.1</v>
      </c>
      <c r="B323" s="13" t="n">
        <f aca="false">IF(ISNUMBER(A323),ROUND(A323/Results!$C$5,0)*Results!$C$5,"")</f>
        <v>4.1</v>
      </c>
    </row>
    <row r="324" customFormat="false" ht="15" hidden="false" customHeight="false" outlineLevel="0" collapsed="false">
      <c r="A324" s="12" t="n">
        <v>4.6</v>
      </c>
      <c r="B324" s="13" t="n">
        <f aca="false">IF(ISNUMBER(A324),ROUND(A324/Results!$C$5,0)*Results!$C$5,"")</f>
        <v>4.6</v>
      </c>
    </row>
    <row r="325" customFormat="false" ht="15" hidden="false" customHeight="false" outlineLevel="0" collapsed="false">
      <c r="A325" s="12" t="n">
        <v>4</v>
      </c>
      <c r="B325" s="13" t="n">
        <f aca="false">IF(ISNUMBER(A325),ROUND(A325/Results!$C$5,0)*Results!$C$5,"")</f>
        <v>4</v>
      </c>
    </row>
    <row r="326" customFormat="false" ht="15" hidden="false" customHeight="false" outlineLevel="0" collapsed="false">
      <c r="A326" s="12" t="n">
        <v>4.2</v>
      </c>
      <c r="B326" s="13" t="n">
        <f aca="false">IF(ISNUMBER(A326),ROUND(A326/Results!$C$5,0)*Results!$C$5,"")</f>
        <v>4.2</v>
      </c>
    </row>
    <row r="327" customFormat="false" ht="15" hidden="false" customHeight="false" outlineLevel="0" collapsed="false">
      <c r="A327" s="12" t="n">
        <v>4.5</v>
      </c>
      <c r="B327" s="13" t="n">
        <f aca="false">IF(ISNUMBER(A327),ROUND(A327/Results!$C$5,0)*Results!$C$5,"")</f>
        <v>4.5</v>
      </c>
    </row>
    <row r="328" customFormat="false" ht="15" hidden="false" customHeight="false" outlineLevel="0" collapsed="false">
      <c r="A328" s="12" t="n">
        <v>4</v>
      </c>
      <c r="B328" s="13" t="n">
        <f aca="false">IF(ISNUMBER(A328),ROUND(A328/Results!$C$5,0)*Results!$C$5,"")</f>
        <v>4</v>
      </c>
    </row>
    <row r="329" customFormat="false" ht="15" hidden="false" customHeight="false" outlineLevel="0" collapsed="false">
      <c r="A329" s="12" t="n">
        <v>4.2</v>
      </c>
      <c r="B329" s="13" t="n">
        <f aca="false">IF(ISNUMBER(A329),ROUND(A329/Results!$C$5,0)*Results!$C$5,"")</f>
        <v>4.2</v>
      </c>
    </row>
    <row r="330" customFormat="false" ht="15" hidden="false" customHeight="false" outlineLevel="0" collapsed="false">
      <c r="A330" s="12" t="n">
        <v>4.1</v>
      </c>
      <c r="B330" s="13" t="n">
        <f aca="false">IF(ISNUMBER(A330),ROUND(A330/Results!$C$5,0)*Results!$C$5,"")</f>
        <v>4.1</v>
      </c>
    </row>
    <row r="331" customFormat="false" ht="15" hidden="false" customHeight="false" outlineLevel="0" collapsed="false">
      <c r="A331" s="12" t="n">
        <v>4.1</v>
      </c>
      <c r="B331" s="13" t="n">
        <f aca="false">IF(ISNUMBER(A331),ROUND(A331/Results!$C$5,0)*Results!$C$5,"")</f>
        <v>4.1</v>
      </c>
    </row>
    <row r="332" customFormat="false" ht="15" hidden="false" customHeight="false" outlineLevel="0" collapsed="false">
      <c r="A332" s="12" t="n">
        <v>4.2</v>
      </c>
      <c r="B332" s="13" t="n">
        <f aca="false">IF(ISNUMBER(A332),ROUND(A332/Results!$C$5,0)*Results!$C$5,"")</f>
        <v>4.2</v>
      </c>
    </row>
    <row r="333" customFormat="false" ht="15" hidden="false" customHeight="false" outlineLevel="0" collapsed="false">
      <c r="A333" s="12" t="n">
        <v>5.6</v>
      </c>
      <c r="B333" s="13" t="n">
        <f aca="false">IF(ISNUMBER(A333),ROUND(A333/Results!$C$5,0)*Results!$C$5,"")</f>
        <v>5.6</v>
      </c>
    </row>
    <row r="334" customFormat="false" ht="15" hidden="false" customHeight="false" outlineLevel="0" collapsed="false">
      <c r="A334" s="12" t="n">
        <v>4</v>
      </c>
      <c r="B334" s="13" t="n">
        <f aca="false">IF(ISNUMBER(A334),ROUND(A334/Results!$C$5,0)*Results!$C$5,"")</f>
        <v>4</v>
      </c>
    </row>
    <row r="335" customFormat="false" ht="15" hidden="false" customHeight="false" outlineLevel="0" collapsed="false">
      <c r="A335" s="12" t="n">
        <v>4.2</v>
      </c>
      <c r="B335" s="13" t="n">
        <f aca="false">IF(ISNUMBER(A335),ROUND(A335/Results!$C$5,0)*Results!$C$5,"")</f>
        <v>4.2</v>
      </c>
    </row>
    <row r="336" customFormat="false" ht="15" hidden="false" customHeight="false" outlineLevel="0" collapsed="false">
      <c r="A336" s="12" t="n">
        <v>4.2</v>
      </c>
      <c r="B336" s="13" t="n">
        <f aca="false">IF(ISNUMBER(A336),ROUND(A336/Results!$C$5,0)*Results!$C$5,"")</f>
        <v>4.2</v>
      </c>
    </row>
    <row r="337" customFormat="false" ht="15" hidden="false" customHeight="false" outlineLevel="0" collapsed="false">
      <c r="A337" s="12" t="n">
        <v>4.1</v>
      </c>
      <c r="B337" s="13" t="n">
        <f aca="false">IF(ISNUMBER(A337),ROUND(A337/Results!$C$5,0)*Results!$C$5,"")</f>
        <v>4.1</v>
      </c>
    </row>
    <row r="338" customFormat="false" ht="15" hidden="false" customHeight="false" outlineLevel="0" collapsed="false">
      <c r="A338" s="12" t="n">
        <v>5.1</v>
      </c>
      <c r="B338" s="13" t="n">
        <f aca="false">IF(ISNUMBER(A338),ROUND(A338/Results!$C$5,0)*Results!$C$5,"")</f>
        <v>5.1</v>
      </c>
    </row>
    <row r="339" customFormat="false" ht="15" hidden="false" customHeight="false" outlineLevel="0" collapsed="false">
      <c r="A339" s="12" t="n">
        <v>4.2</v>
      </c>
      <c r="B339" s="13" t="n">
        <f aca="false">IF(ISNUMBER(A339),ROUND(A339/Results!$C$5,0)*Results!$C$5,"")</f>
        <v>4.2</v>
      </c>
    </row>
    <row r="340" customFormat="false" ht="15" hidden="false" customHeight="false" outlineLevel="0" collapsed="false">
      <c r="A340" s="12" t="n">
        <v>4.3</v>
      </c>
      <c r="B340" s="13" t="n">
        <f aca="false">IF(ISNUMBER(A340),ROUND(A340/Results!$C$5,0)*Results!$C$5,"")</f>
        <v>4.3</v>
      </c>
    </row>
    <row r="341" customFormat="false" ht="15" hidden="false" customHeight="false" outlineLevel="0" collapsed="false">
      <c r="A341" s="12" t="n">
        <v>4.3</v>
      </c>
      <c r="B341" s="13" t="n">
        <f aca="false">IF(ISNUMBER(A341),ROUND(A341/Results!$C$5,0)*Results!$C$5,"")</f>
        <v>4.3</v>
      </c>
    </row>
    <row r="342" customFormat="false" ht="15" hidden="false" customHeight="false" outlineLevel="0" collapsed="false">
      <c r="A342" s="12" t="n">
        <v>4.2</v>
      </c>
      <c r="B342" s="13" t="n">
        <f aca="false">IF(ISNUMBER(A342),ROUND(A342/Results!$C$5,0)*Results!$C$5,"")</f>
        <v>4.2</v>
      </c>
    </row>
    <row r="343" customFormat="false" ht="15" hidden="false" customHeight="false" outlineLevel="0" collapsed="false">
      <c r="A343" s="12" t="n">
        <v>4.3</v>
      </c>
      <c r="B343" s="13" t="n">
        <f aca="false">IF(ISNUMBER(A343),ROUND(A343/Results!$C$5,0)*Results!$C$5,"")</f>
        <v>4.3</v>
      </c>
    </row>
    <row r="344" customFormat="false" ht="15" hidden="false" customHeight="false" outlineLevel="0" collapsed="false">
      <c r="A344" s="12" t="n">
        <v>4</v>
      </c>
      <c r="B344" s="13" t="n">
        <f aca="false">IF(ISNUMBER(A344),ROUND(A344/Results!$C$5,0)*Results!$C$5,"")</f>
        <v>4</v>
      </c>
    </row>
    <row r="345" customFormat="false" ht="15" hidden="false" customHeight="false" outlineLevel="0" collapsed="false">
      <c r="A345" s="12" t="n">
        <v>4.2</v>
      </c>
      <c r="B345" s="13" t="n">
        <f aca="false">IF(ISNUMBER(A345),ROUND(A345/Results!$C$5,0)*Results!$C$5,"")</f>
        <v>4.2</v>
      </c>
    </row>
    <row r="346" customFormat="false" ht="15" hidden="false" customHeight="false" outlineLevel="0" collapsed="false">
      <c r="A346" s="12" t="n">
        <v>4.2</v>
      </c>
      <c r="B346" s="13" t="n">
        <f aca="false">IF(ISNUMBER(A346),ROUND(A346/Results!$C$5,0)*Results!$C$5,"")</f>
        <v>4.2</v>
      </c>
    </row>
    <row r="347" customFormat="false" ht="15" hidden="false" customHeight="false" outlineLevel="0" collapsed="false">
      <c r="A347" s="12" t="n">
        <v>4</v>
      </c>
      <c r="B347" s="13" t="n">
        <f aca="false">IF(ISNUMBER(A347),ROUND(A347/Results!$C$5,0)*Results!$C$5,"")</f>
        <v>4</v>
      </c>
    </row>
    <row r="348" customFormat="false" ht="15" hidden="false" customHeight="false" outlineLevel="0" collapsed="false">
      <c r="A348" s="12" t="n">
        <v>4.3</v>
      </c>
      <c r="B348" s="13" t="n">
        <f aca="false">IF(ISNUMBER(A348),ROUND(A348/Results!$C$5,0)*Results!$C$5,"")</f>
        <v>4.3</v>
      </c>
    </row>
    <row r="349" customFormat="false" ht="15" hidden="false" customHeight="false" outlineLevel="0" collapsed="false">
      <c r="A349" s="12" t="n">
        <v>4</v>
      </c>
      <c r="B349" s="13" t="n">
        <f aca="false">IF(ISNUMBER(A349),ROUND(A349/Results!$C$5,0)*Results!$C$5,"")</f>
        <v>4</v>
      </c>
    </row>
    <row r="350" customFormat="false" ht="15" hidden="false" customHeight="false" outlineLevel="0" collapsed="false">
      <c r="A350" s="12" t="n">
        <v>5.5</v>
      </c>
      <c r="B350" s="13" t="n">
        <f aca="false">IF(ISNUMBER(A350),ROUND(A350/Results!$C$5,0)*Results!$C$5,"")</f>
        <v>5.5</v>
      </c>
    </row>
    <row r="351" customFormat="false" ht="15" hidden="false" customHeight="false" outlineLevel="0" collapsed="false">
      <c r="A351" s="12" t="n">
        <v>4.3</v>
      </c>
      <c r="B351" s="13" t="n">
        <f aca="false">IF(ISNUMBER(A351),ROUND(A351/Results!$C$5,0)*Results!$C$5,"")</f>
        <v>4.3</v>
      </c>
    </row>
    <row r="352" customFormat="false" ht="15" hidden="false" customHeight="false" outlineLevel="0" collapsed="false">
      <c r="A352" s="12" t="n">
        <v>4</v>
      </c>
      <c r="B352" s="13" t="n">
        <f aca="false">IF(ISNUMBER(A352),ROUND(A352/Results!$C$5,0)*Results!$C$5,"")</f>
        <v>4</v>
      </c>
    </row>
    <row r="353" customFormat="false" ht="15" hidden="false" customHeight="false" outlineLevel="0" collapsed="false">
      <c r="A353" s="12" t="n">
        <v>4</v>
      </c>
      <c r="B353" s="13" t="n">
        <f aca="false">IF(ISNUMBER(A353),ROUND(A353/Results!$C$5,0)*Results!$C$5,"")</f>
        <v>4</v>
      </c>
    </row>
    <row r="354" customFormat="false" ht="15" hidden="false" customHeight="false" outlineLevel="0" collapsed="false">
      <c r="A354" s="12" t="n">
        <v>4.1</v>
      </c>
      <c r="B354" s="13" t="n">
        <f aca="false">IF(ISNUMBER(A354),ROUND(A354/Results!$C$5,0)*Results!$C$5,"")</f>
        <v>4.1</v>
      </c>
    </row>
    <row r="355" customFormat="false" ht="15" hidden="false" customHeight="false" outlineLevel="0" collapsed="false">
      <c r="A355" s="12" t="n">
        <v>4.4</v>
      </c>
      <c r="B355" s="13" t="n">
        <f aca="false">IF(ISNUMBER(A355),ROUND(A355/Results!$C$5,0)*Results!$C$5,"")</f>
        <v>4.4</v>
      </c>
    </row>
    <row r="356" customFormat="false" ht="15" hidden="false" customHeight="false" outlineLevel="0" collapsed="false">
      <c r="A356" s="12" t="n">
        <v>5.6</v>
      </c>
      <c r="B356" s="13" t="n">
        <f aca="false">IF(ISNUMBER(A356),ROUND(A356/Results!$C$5,0)*Results!$C$5,"")</f>
        <v>5.6</v>
      </c>
    </row>
    <row r="357" customFormat="false" ht="15" hidden="false" customHeight="false" outlineLevel="0" collapsed="false">
      <c r="A357" s="12" t="n">
        <v>5.1</v>
      </c>
      <c r="B357" s="13" t="n">
        <f aca="false">IF(ISNUMBER(A357),ROUND(A357/Results!$C$5,0)*Results!$C$5,"")</f>
        <v>5.1</v>
      </c>
    </row>
    <row r="358" customFormat="false" ht="15" hidden="false" customHeight="false" outlineLevel="0" collapsed="false">
      <c r="A358" s="12" t="n">
        <v>4.5</v>
      </c>
      <c r="B358" s="13" t="n">
        <f aca="false">IF(ISNUMBER(A358),ROUND(A358/Results!$C$5,0)*Results!$C$5,"")</f>
        <v>4.5</v>
      </c>
    </row>
    <row r="359" customFormat="false" ht="15" hidden="false" customHeight="false" outlineLevel="0" collapsed="false">
      <c r="A359" s="12" t="n">
        <v>4</v>
      </c>
      <c r="B359" s="13" t="n">
        <f aca="false">IF(ISNUMBER(A359),ROUND(A359/Results!$C$5,0)*Results!$C$5,"")</f>
        <v>4</v>
      </c>
    </row>
    <row r="360" customFormat="false" ht="15" hidden="false" customHeight="false" outlineLevel="0" collapsed="false">
      <c r="A360" s="12" t="n">
        <v>4.2</v>
      </c>
      <c r="B360" s="13" t="n">
        <f aca="false">IF(ISNUMBER(A360),ROUND(A360/Results!$C$5,0)*Results!$C$5,"")</f>
        <v>4.2</v>
      </c>
    </row>
    <row r="361" customFormat="false" ht="15" hidden="false" customHeight="false" outlineLevel="0" collapsed="false">
      <c r="A361" s="12" t="n">
        <v>4.4</v>
      </c>
      <c r="B361" s="13" t="n">
        <f aca="false">IF(ISNUMBER(A361),ROUND(A361/Results!$C$5,0)*Results!$C$5,"")</f>
        <v>4.4</v>
      </c>
    </row>
    <row r="362" customFormat="false" ht="15" hidden="false" customHeight="false" outlineLevel="0" collapsed="false">
      <c r="A362" s="12" t="n">
        <v>4.2</v>
      </c>
      <c r="B362" s="13" t="n">
        <f aca="false">IF(ISNUMBER(A362),ROUND(A362/Results!$C$5,0)*Results!$C$5,"")</f>
        <v>4.2</v>
      </c>
    </row>
    <row r="363" customFormat="false" ht="15" hidden="false" customHeight="false" outlineLevel="0" collapsed="false">
      <c r="A363" s="12" t="n">
        <v>4.5</v>
      </c>
      <c r="B363" s="13" t="n">
        <f aca="false">IF(ISNUMBER(A363),ROUND(A363/Results!$C$5,0)*Results!$C$5,"")</f>
        <v>4.5</v>
      </c>
    </row>
    <row r="364" customFormat="false" ht="15" hidden="false" customHeight="false" outlineLevel="0" collapsed="false">
      <c r="A364" s="12" t="n">
        <v>4.2</v>
      </c>
      <c r="B364" s="13" t="n">
        <f aca="false">IF(ISNUMBER(A364),ROUND(A364/Results!$C$5,0)*Results!$C$5,"")</f>
        <v>4.2</v>
      </c>
    </row>
    <row r="365" customFormat="false" ht="15" hidden="false" customHeight="false" outlineLevel="0" collapsed="false">
      <c r="A365" s="12" t="n">
        <v>5</v>
      </c>
      <c r="B365" s="13" t="n">
        <f aca="false">IF(ISNUMBER(A365),ROUND(A365/Results!$C$5,0)*Results!$C$5,"")</f>
        <v>5</v>
      </c>
    </row>
    <row r="366" customFormat="false" ht="15" hidden="false" customHeight="false" outlineLevel="0" collapsed="false">
      <c r="A366" s="12" t="n">
        <v>4.4</v>
      </c>
      <c r="B366" s="13" t="n">
        <f aca="false">IF(ISNUMBER(A366),ROUND(A366/Results!$C$5,0)*Results!$C$5,"")</f>
        <v>4.4</v>
      </c>
    </row>
    <row r="367" customFormat="false" ht="15" hidden="false" customHeight="false" outlineLevel="0" collapsed="false">
      <c r="A367" s="12" t="n">
        <v>4.2</v>
      </c>
      <c r="B367" s="13" t="n">
        <f aca="false">IF(ISNUMBER(A367),ROUND(A367/Results!$C$5,0)*Results!$C$5,"")</f>
        <v>4.2</v>
      </c>
    </row>
    <row r="368" customFormat="false" ht="15" hidden="false" customHeight="false" outlineLevel="0" collapsed="false">
      <c r="A368" s="12" t="n">
        <v>4.7</v>
      </c>
      <c r="B368" s="13" t="n">
        <f aca="false">IF(ISNUMBER(A368),ROUND(A368/Results!$C$5,0)*Results!$C$5,"")</f>
        <v>4.7</v>
      </c>
    </row>
    <row r="369" customFormat="false" ht="15" hidden="false" customHeight="false" outlineLevel="0" collapsed="false">
      <c r="A369" s="12" t="n">
        <v>4.1</v>
      </c>
      <c r="B369" s="13" t="n">
        <f aca="false">IF(ISNUMBER(A369),ROUND(A369/Results!$C$5,0)*Results!$C$5,"")</f>
        <v>4.1</v>
      </c>
    </row>
    <row r="370" customFormat="false" ht="15" hidden="false" customHeight="false" outlineLevel="0" collapsed="false">
      <c r="A370" s="12" t="n">
        <v>5.6</v>
      </c>
      <c r="B370" s="13" t="n">
        <f aca="false">IF(ISNUMBER(A370),ROUND(A370/Results!$C$5,0)*Results!$C$5,"")</f>
        <v>5.6</v>
      </c>
    </row>
    <row r="371" customFormat="false" ht="15" hidden="false" customHeight="false" outlineLevel="0" collapsed="false">
      <c r="A371" s="12" t="n">
        <v>4</v>
      </c>
      <c r="B371" s="13" t="n">
        <f aca="false">IF(ISNUMBER(A371),ROUND(A371/Results!$C$5,0)*Results!$C$5,"")</f>
        <v>4</v>
      </c>
    </row>
    <row r="372" customFormat="false" ht="15" hidden="false" customHeight="false" outlineLevel="0" collapsed="false">
      <c r="A372" s="12" t="n">
        <v>4</v>
      </c>
      <c r="B372" s="13" t="n">
        <f aca="false">IF(ISNUMBER(A372),ROUND(A372/Results!$C$5,0)*Results!$C$5,"")</f>
        <v>4</v>
      </c>
    </row>
    <row r="373" customFormat="false" ht="15" hidden="false" customHeight="false" outlineLevel="0" collapsed="false">
      <c r="A373" s="12" t="n">
        <v>4.3</v>
      </c>
      <c r="B373" s="13" t="n">
        <f aca="false">IF(ISNUMBER(A373),ROUND(A373/Results!$C$5,0)*Results!$C$5,"")</f>
        <v>4.3</v>
      </c>
    </row>
    <row r="374" customFormat="false" ht="15" hidden="false" customHeight="false" outlineLevel="0" collapsed="false">
      <c r="A374" s="12" t="n">
        <v>4.5</v>
      </c>
      <c r="B374" s="13" t="n">
        <f aca="false">IF(ISNUMBER(A374),ROUND(A374/Results!$C$5,0)*Results!$C$5,"")</f>
        <v>4.5</v>
      </c>
    </row>
    <row r="375" customFormat="false" ht="15" hidden="false" customHeight="false" outlineLevel="0" collapsed="false">
      <c r="A375" s="12" t="n">
        <v>4.1</v>
      </c>
      <c r="B375" s="13" t="n">
        <f aca="false">IF(ISNUMBER(A375),ROUND(A375/Results!$C$5,0)*Results!$C$5,"")</f>
        <v>4.1</v>
      </c>
    </row>
    <row r="376" customFormat="false" ht="15" hidden="false" customHeight="false" outlineLevel="0" collapsed="false">
      <c r="A376" s="12" t="n">
        <v>4.1</v>
      </c>
      <c r="B376" s="13" t="n">
        <f aca="false">IF(ISNUMBER(A376),ROUND(A376/Results!$C$5,0)*Results!$C$5,"")</f>
        <v>4.1</v>
      </c>
    </row>
    <row r="377" customFormat="false" ht="15" hidden="false" customHeight="false" outlineLevel="0" collapsed="false">
      <c r="A377" s="12" t="n">
        <v>5</v>
      </c>
      <c r="B377" s="13" t="n">
        <f aca="false">IF(ISNUMBER(A377),ROUND(A377/Results!$C$5,0)*Results!$C$5,"")</f>
        <v>5</v>
      </c>
    </row>
    <row r="378" customFormat="false" ht="15" hidden="false" customHeight="false" outlineLevel="0" collapsed="false">
      <c r="A378" s="12" t="n">
        <v>4</v>
      </c>
      <c r="B378" s="13" t="n">
        <f aca="false">IF(ISNUMBER(A378),ROUND(A378/Results!$C$5,0)*Results!$C$5,"")</f>
        <v>4</v>
      </c>
    </row>
    <row r="379" customFormat="false" ht="15" hidden="false" customHeight="false" outlineLevel="0" collapsed="false">
      <c r="A379" s="12" t="n">
        <v>4</v>
      </c>
      <c r="B379" s="13" t="n">
        <f aca="false">IF(ISNUMBER(A379),ROUND(A379/Results!$C$5,0)*Results!$C$5,"")</f>
        <v>4</v>
      </c>
    </row>
    <row r="380" customFormat="false" ht="15" hidden="false" customHeight="false" outlineLevel="0" collapsed="false">
      <c r="A380" s="12" t="n">
        <v>5.1</v>
      </c>
      <c r="B380" s="13" t="n">
        <f aca="false">IF(ISNUMBER(A380),ROUND(A380/Results!$C$5,0)*Results!$C$5,"")</f>
        <v>5.1</v>
      </c>
    </row>
    <row r="381" customFormat="false" ht="15" hidden="false" customHeight="false" outlineLevel="0" collapsed="false">
      <c r="A381" s="12" t="n">
        <v>4.9</v>
      </c>
      <c r="B381" s="13" t="n">
        <f aca="false">IF(ISNUMBER(A381),ROUND(A381/Results!$C$5,0)*Results!$C$5,"")</f>
        <v>4.9</v>
      </c>
    </row>
    <row r="382" customFormat="false" ht="15" hidden="false" customHeight="false" outlineLevel="0" collapsed="false">
      <c r="A382" s="12" t="n">
        <v>4.2</v>
      </c>
      <c r="B382" s="13" t="n">
        <f aca="false">IF(ISNUMBER(A382),ROUND(A382/Results!$C$5,0)*Results!$C$5,"")</f>
        <v>4.2</v>
      </c>
    </row>
    <row r="383" customFormat="false" ht="15" hidden="false" customHeight="false" outlineLevel="0" collapsed="false">
      <c r="A383" s="12" t="n">
        <v>4.1</v>
      </c>
      <c r="B383" s="13" t="n">
        <f aca="false">IF(ISNUMBER(A383),ROUND(A383/Results!$C$5,0)*Results!$C$5,"")</f>
        <v>4.1</v>
      </c>
    </row>
    <row r="384" customFormat="false" ht="15" hidden="false" customHeight="false" outlineLevel="0" collapsed="false">
      <c r="A384" s="12" t="n">
        <v>4.4</v>
      </c>
      <c r="B384" s="13" t="n">
        <f aca="false">IF(ISNUMBER(A384),ROUND(A384/Results!$C$5,0)*Results!$C$5,"")</f>
        <v>4.4</v>
      </c>
    </row>
    <row r="385" customFormat="false" ht="15" hidden="false" customHeight="false" outlineLevel="0" collapsed="false">
      <c r="A385" s="12" t="n">
        <v>4.6</v>
      </c>
      <c r="B385" s="13" t="n">
        <f aca="false">IF(ISNUMBER(A385),ROUND(A385/Results!$C$5,0)*Results!$C$5,"")</f>
        <v>4.6</v>
      </c>
    </row>
    <row r="386" customFormat="false" ht="15" hidden="false" customHeight="false" outlineLevel="0" collapsed="false">
      <c r="A386" s="12" t="n">
        <v>4.1</v>
      </c>
      <c r="B386" s="13" t="n">
        <f aca="false">IF(ISNUMBER(A386),ROUND(A386/Results!$C$5,0)*Results!$C$5,"")</f>
        <v>4.1</v>
      </c>
    </row>
    <row r="387" customFormat="false" ht="15" hidden="false" customHeight="false" outlineLevel="0" collapsed="false">
      <c r="A387" s="12" t="n">
        <v>4.5</v>
      </c>
      <c r="B387" s="13" t="n">
        <f aca="false">IF(ISNUMBER(A387),ROUND(A387/Results!$C$5,0)*Results!$C$5,"")</f>
        <v>4.5</v>
      </c>
    </row>
    <row r="388" customFormat="false" ht="15" hidden="false" customHeight="false" outlineLevel="0" collapsed="false">
      <c r="A388" s="12" t="n">
        <v>4.3</v>
      </c>
      <c r="B388" s="13" t="n">
        <f aca="false">IF(ISNUMBER(A388),ROUND(A388/Results!$C$5,0)*Results!$C$5,"")</f>
        <v>4.3</v>
      </c>
    </row>
    <row r="389" customFormat="false" ht="15" hidden="false" customHeight="false" outlineLevel="0" collapsed="false">
      <c r="A389" s="12" t="n">
        <v>5.2</v>
      </c>
      <c r="B389" s="13" t="n">
        <f aca="false">IF(ISNUMBER(A389),ROUND(A389/Results!$C$5,0)*Results!$C$5,"")</f>
        <v>5.2</v>
      </c>
    </row>
    <row r="390" customFormat="false" ht="15" hidden="false" customHeight="false" outlineLevel="0" collapsed="false">
      <c r="A390" s="12" t="n">
        <v>4.1</v>
      </c>
      <c r="B390" s="13" t="n">
        <f aca="false">IF(ISNUMBER(A390),ROUND(A390/Results!$C$5,0)*Results!$C$5,"")</f>
        <v>4.1</v>
      </c>
    </row>
    <row r="391" customFormat="false" ht="15" hidden="false" customHeight="false" outlineLevel="0" collapsed="false">
      <c r="A391" s="12" t="n">
        <v>4</v>
      </c>
      <c r="B391" s="13" t="n">
        <f aca="false">IF(ISNUMBER(A391),ROUND(A391/Results!$C$5,0)*Results!$C$5,"")</f>
        <v>4</v>
      </c>
    </row>
    <row r="392" customFormat="false" ht="15" hidden="false" customHeight="false" outlineLevel="0" collapsed="false">
      <c r="A392" s="12" t="n">
        <v>4</v>
      </c>
      <c r="B392" s="13" t="n">
        <f aca="false">IF(ISNUMBER(A392),ROUND(A392/Results!$C$5,0)*Results!$C$5,"")</f>
        <v>4</v>
      </c>
    </row>
    <row r="393" customFormat="false" ht="15" hidden="false" customHeight="false" outlineLevel="0" collapsed="false">
      <c r="A393" s="12" t="n">
        <v>4.1</v>
      </c>
      <c r="B393" s="13" t="n">
        <f aca="false">IF(ISNUMBER(A393),ROUND(A393/Results!$C$5,0)*Results!$C$5,"")</f>
        <v>4.1</v>
      </c>
    </row>
    <row r="394" customFormat="false" ht="15" hidden="false" customHeight="false" outlineLevel="0" collapsed="false">
      <c r="A394" s="12" t="n">
        <v>4.3</v>
      </c>
      <c r="B394" s="13" t="n">
        <f aca="false">IF(ISNUMBER(A394),ROUND(A394/Results!$C$5,0)*Results!$C$5,"")</f>
        <v>4.3</v>
      </c>
    </row>
    <row r="395" customFormat="false" ht="15" hidden="false" customHeight="false" outlineLevel="0" collapsed="false">
      <c r="A395" s="12" t="n">
        <v>4.2</v>
      </c>
      <c r="B395" s="13" t="n">
        <f aca="false">IF(ISNUMBER(A395),ROUND(A395/Results!$C$5,0)*Results!$C$5,"")</f>
        <v>4.2</v>
      </c>
    </row>
    <row r="396" customFormat="false" ht="15" hidden="false" customHeight="false" outlineLevel="0" collapsed="false">
      <c r="A396" s="12" t="n">
        <v>4.2</v>
      </c>
      <c r="B396" s="13" t="n">
        <f aca="false">IF(ISNUMBER(A396),ROUND(A396/Results!$C$5,0)*Results!$C$5,"")</f>
        <v>4.2</v>
      </c>
    </row>
    <row r="397" customFormat="false" ht="15" hidden="false" customHeight="false" outlineLevel="0" collapsed="false">
      <c r="A397" s="12" t="n">
        <v>4.1</v>
      </c>
      <c r="B397" s="13" t="n">
        <f aca="false">IF(ISNUMBER(A397),ROUND(A397/Results!$C$5,0)*Results!$C$5,"")</f>
        <v>4.1</v>
      </c>
    </row>
    <row r="398" customFormat="false" ht="15" hidden="false" customHeight="false" outlineLevel="0" collapsed="false">
      <c r="A398" s="12" t="n">
        <v>4</v>
      </c>
      <c r="B398" s="13" t="n">
        <f aca="false">IF(ISNUMBER(A398),ROUND(A398/Results!$C$5,0)*Results!$C$5,"")</f>
        <v>4</v>
      </c>
    </row>
    <row r="399" customFormat="false" ht="15" hidden="false" customHeight="false" outlineLevel="0" collapsed="false">
      <c r="A399" s="12" t="n">
        <v>4.1</v>
      </c>
      <c r="B399" s="13" t="n">
        <f aca="false">IF(ISNUMBER(A399),ROUND(A399/Results!$C$5,0)*Results!$C$5,"")</f>
        <v>4.1</v>
      </c>
    </row>
    <row r="400" customFormat="false" ht="15" hidden="false" customHeight="false" outlineLevel="0" collapsed="false">
      <c r="A400" s="12" t="n">
        <v>4.4</v>
      </c>
      <c r="B400" s="13" t="n">
        <f aca="false">IF(ISNUMBER(A400),ROUND(A400/Results!$C$5,0)*Results!$C$5,"")</f>
        <v>4.4</v>
      </c>
    </row>
    <row r="401" customFormat="false" ht="15" hidden="false" customHeight="false" outlineLevel="0" collapsed="false">
      <c r="A401" s="12" t="n">
        <v>4.1</v>
      </c>
      <c r="B401" s="13" t="n">
        <f aca="false">IF(ISNUMBER(A401),ROUND(A401/Results!$C$5,0)*Results!$C$5,"")</f>
        <v>4.1</v>
      </c>
    </row>
    <row r="402" customFormat="false" ht="15" hidden="false" customHeight="false" outlineLevel="0" collapsed="false">
      <c r="A402" s="12" t="n">
        <v>4.2</v>
      </c>
      <c r="B402" s="13" t="n">
        <f aca="false">IF(ISNUMBER(A402),ROUND(A402/Results!$C$5,0)*Results!$C$5,"")</f>
        <v>4.2</v>
      </c>
    </row>
    <row r="403" customFormat="false" ht="15" hidden="false" customHeight="false" outlineLevel="0" collapsed="false">
      <c r="A403" s="12" t="n">
        <v>4.1</v>
      </c>
      <c r="B403" s="13" t="n">
        <f aca="false">IF(ISNUMBER(A403),ROUND(A403/Results!$C$5,0)*Results!$C$5,"")</f>
        <v>4.1</v>
      </c>
    </row>
    <row r="404" customFormat="false" ht="15" hidden="false" customHeight="false" outlineLevel="0" collapsed="false">
      <c r="A404" s="12" t="n">
        <v>4.1</v>
      </c>
      <c r="B404" s="13" t="n">
        <f aca="false">IF(ISNUMBER(A404),ROUND(A404/Results!$C$5,0)*Results!$C$5,"")</f>
        <v>4.1</v>
      </c>
    </row>
    <row r="405" customFormat="false" ht="15" hidden="false" customHeight="false" outlineLevel="0" collapsed="false">
      <c r="A405" s="12" t="n">
        <v>4.3</v>
      </c>
      <c r="B405" s="13" t="n">
        <f aca="false">IF(ISNUMBER(A405),ROUND(A405/Results!$C$5,0)*Results!$C$5,"")</f>
        <v>4.3</v>
      </c>
    </row>
    <row r="406" customFormat="false" ht="15" hidden="false" customHeight="false" outlineLevel="0" collapsed="false">
      <c r="A406" s="12" t="n">
        <v>4.1</v>
      </c>
      <c r="B406" s="13" t="n">
        <f aca="false">IF(ISNUMBER(A406),ROUND(A406/Results!$C$5,0)*Results!$C$5,"")</f>
        <v>4.1</v>
      </c>
    </row>
    <row r="407" customFormat="false" ht="15" hidden="false" customHeight="false" outlineLevel="0" collapsed="false">
      <c r="A407" s="12" t="n">
        <v>4.3</v>
      </c>
      <c r="B407" s="13" t="n">
        <f aca="false">IF(ISNUMBER(A407),ROUND(A407/Results!$C$5,0)*Results!$C$5,"")</f>
        <v>4.3</v>
      </c>
    </row>
    <row r="408" customFormat="false" ht="15" hidden="false" customHeight="false" outlineLevel="0" collapsed="false">
      <c r="A408" s="12" t="n">
        <v>4.6</v>
      </c>
      <c r="B408" s="13" t="n">
        <f aca="false">IF(ISNUMBER(A408),ROUND(A408/Results!$C$5,0)*Results!$C$5,"")</f>
        <v>4.6</v>
      </c>
    </row>
    <row r="409" customFormat="false" ht="15" hidden="false" customHeight="false" outlineLevel="0" collapsed="false">
      <c r="A409" s="12" t="n">
        <v>4.5</v>
      </c>
      <c r="B409" s="13" t="n">
        <f aca="false">IF(ISNUMBER(A409),ROUND(A409/Results!$C$5,0)*Results!$C$5,"")</f>
        <v>4.5</v>
      </c>
    </row>
    <row r="410" customFormat="false" ht="15" hidden="false" customHeight="false" outlineLevel="0" collapsed="false">
      <c r="A410" s="12" t="n">
        <v>4.1</v>
      </c>
      <c r="B410" s="13" t="n">
        <f aca="false">IF(ISNUMBER(A410),ROUND(A410/Results!$C$5,0)*Results!$C$5,"")</f>
        <v>4.1</v>
      </c>
    </row>
    <row r="411" customFormat="false" ht="15" hidden="false" customHeight="false" outlineLevel="0" collapsed="false">
      <c r="A411" s="12" t="n">
        <v>4.2</v>
      </c>
      <c r="B411" s="13" t="n">
        <f aca="false">IF(ISNUMBER(A411),ROUND(A411/Results!$C$5,0)*Results!$C$5,"")</f>
        <v>4.2</v>
      </c>
    </row>
    <row r="412" customFormat="false" ht="15" hidden="false" customHeight="false" outlineLevel="0" collapsed="false">
      <c r="A412" s="12" t="n">
        <v>4.2</v>
      </c>
      <c r="B412" s="13" t="n">
        <f aca="false">IF(ISNUMBER(A412),ROUND(A412/Results!$C$5,0)*Results!$C$5,"")</f>
        <v>4.2</v>
      </c>
    </row>
    <row r="413" customFormat="false" ht="15" hidden="false" customHeight="false" outlineLevel="0" collapsed="false">
      <c r="A413" s="12" t="n">
        <v>4.8</v>
      </c>
      <c r="B413" s="13" t="n">
        <f aca="false">IF(ISNUMBER(A413),ROUND(A413/Results!$C$5,0)*Results!$C$5,"")</f>
        <v>4.8</v>
      </c>
    </row>
    <row r="414" customFormat="false" ht="15" hidden="false" customHeight="false" outlineLevel="0" collapsed="false">
      <c r="A414" s="12" t="n">
        <v>4.4</v>
      </c>
      <c r="B414" s="13" t="n">
        <f aca="false">IF(ISNUMBER(A414),ROUND(A414/Results!$C$5,0)*Results!$C$5,"")</f>
        <v>4.4</v>
      </c>
    </row>
    <row r="415" customFormat="false" ht="15" hidden="false" customHeight="false" outlineLevel="0" collapsed="false">
      <c r="A415" s="12" t="n">
        <v>4.7</v>
      </c>
      <c r="B415" s="13" t="n">
        <f aca="false">IF(ISNUMBER(A415),ROUND(A415/Results!$C$5,0)*Results!$C$5,"")</f>
        <v>4.7</v>
      </c>
    </row>
    <row r="416" customFormat="false" ht="15" hidden="false" customHeight="false" outlineLevel="0" collapsed="false">
      <c r="A416" s="12" t="n">
        <v>4.5</v>
      </c>
      <c r="B416" s="13" t="n">
        <f aca="false">IF(ISNUMBER(A416),ROUND(A416/Results!$C$5,0)*Results!$C$5,"")</f>
        <v>4.5</v>
      </c>
    </row>
    <row r="417" customFormat="false" ht="15" hidden="false" customHeight="false" outlineLevel="0" collapsed="false">
      <c r="A417" s="12" t="n">
        <v>5.1</v>
      </c>
      <c r="B417" s="13" t="n">
        <f aca="false">IF(ISNUMBER(A417),ROUND(A417/Results!$C$5,0)*Results!$C$5,"")</f>
        <v>5.1</v>
      </c>
    </row>
    <row r="418" customFormat="false" ht="15" hidden="false" customHeight="false" outlineLevel="0" collapsed="false">
      <c r="A418" s="12" t="n">
        <v>4.2</v>
      </c>
      <c r="B418" s="13" t="n">
        <f aca="false">IF(ISNUMBER(A418),ROUND(A418/Results!$C$5,0)*Results!$C$5,"")</f>
        <v>4.2</v>
      </c>
    </row>
    <row r="419" customFormat="false" ht="15" hidden="false" customHeight="false" outlineLevel="0" collapsed="false">
      <c r="A419" s="12" t="n">
        <v>4.2</v>
      </c>
      <c r="B419" s="13" t="n">
        <f aca="false">IF(ISNUMBER(A419),ROUND(A419/Results!$C$5,0)*Results!$C$5,"")</f>
        <v>4.2</v>
      </c>
    </row>
    <row r="420" customFormat="false" ht="15" hidden="false" customHeight="false" outlineLevel="0" collapsed="false">
      <c r="A420" s="12" t="n">
        <v>4</v>
      </c>
      <c r="B420" s="13" t="n">
        <f aca="false">IF(ISNUMBER(A420),ROUND(A420/Results!$C$5,0)*Results!$C$5,"")</f>
        <v>4</v>
      </c>
    </row>
    <row r="421" customFormat="false" ht="15" hidden="false" customHeight="false" outlineLevel="0" collapsed="false">
      <c r="A421" s="12" t="n">
        <v>4</v>
      </c>
      <c r="B421" s="13" t="n">
        <f aca="false">IF(ISNUMBER(A421),ROUND(A421/Results!$C$5,0)*Results!$C$5,"")</f>
        <v>4</v>
      </c>
    </row>
    <row r="422" customFormat="false" ht="15" hidden="false" customHeight="false" outlineLevel="0" collapsed="false">
      <c r="A422" s="12" t="n">
        <v>4</v>
      </c>
      <c r="B422" s="13" t="n">
        <f aca="false">IF(ISNUMBER(A422),ROUND(A422/Results!$C$5,0)*Results!$C$5,"")</f>
        <v>4</v>
      </c>
    </row>
    <row r="423" customFormat="false" ht="15" hidden="false" customHeight="false" outlineLevel="0" collapsed="false">
      <c r="A423" s="12" t="n">
        <v>4</v>
      </c>
      <c r="B423" s="13" t="n">
        <f aca="false">IF(ISNUMBER(A423),ROUND(A423/Results!$C$5,0)*Results!$C$5,"")</f>
        <v>4</v>
      </c>
    </row>
    <row r="424" customFormat="false" ht="15" hidden="false" customHeight="false" outlineLevel="0" collapsed="false">
      <c r="A424" s="12" t="n">
        <v>4.5</v>
      </c>
      <c r="B424" s="13" t="n">
        <f aca="false">IF(ISNUMBER(A424),ROUND(A424/Results!$C$5,0)*Results!$C$5,"")</f>
        <v>4.5</v>
      </c>
    </row>
    <row r="425" customFormat="false" ht="15" hidden="false" customHeight="false" outlineLevel="0" collapsed="false">
      <c r="A425" s="12" t="n">
        <v>4</v>
      </c>
      <c r="B425" s="13" t="n">
        <f aca="false">IF(ISNUMBER(A425),ROUND(A425/Results!$C$5,0)*Results!$C$5,"")</f>
        <v>4</v>
      </c>
    </row>
    <row r="426" customFormat="false" ht="15" hidden="false" customHeight="false" outlineLevel="0" collapsed="false">
      <c r="A426" s="12" t="n">
        <v>4.1</v>
      </c>
      <c r="B426" s="13" t="n">
        <f aca="false">IF(ISNUMBER(A426),ROUND(A426/Results!$C$5,0)*Results!$C$5,"")</f>
        <v>4.1</v>
      </c>
    </row>
    <row r="427" customFormat="false" ht="15" hidden="false" customHeight="false" outlineLevel="0" collapsed="false">
      <c r="A427" s="12" t="n">
        <v>4.3</v>
      </c>
      <c r="B427" s="13" t="n">
        <f aca="false">IF(ISNUMBER(A427),ROUND(A427/Results!$C$5,0)*Results!$C$5,"")</f>
        <v>4.3</v>
      </c>
    </row>
    <row r="428" customFormat="false" ht="15" hidden="false" customHeight="false" outlineLevel="0" collapsed="false">
      <c r="A428" s="12" t="n">
        <v>4.1</v>
      </c>
      <c r="B428" s="13" t="n">
        <f aca="false">IF(ISNUMBER(A428),ROUND(A428/Results!$C$5,0)*Results!$C$5,"")</f>
        <v>4.1</v>
      </c>
    </row>
    <row r="429" customFormat="false" ht="15" hidden="false" customHeight="false" outlineLevel="0" collapsed="false">
      <c r="A429" s="12" t="n">
        <v>4</v>
      </c>
      <c r="B429" s="13" t="n">
        <f aca="false">IF(ISNUMBER(A429),ROUND(A429/Results!$C$5,0)*Results!$C$5,"")</f>
        <v>4</v>
      </c>
    </row>
    <row r="430" customFormat="false" ht="15" hidden="false" customHeight="false" outlineLevel="0" collapsed="false">
      <c r="A430" s="12" t="n">
        <v>4.2</v>
      </c>
      <c r="B430" s="13" t="n">
        <f aca="false">IF(ISNUMBER(A430),ROUND(A430/Results!$C$5,0)*Results!$C$5,"")</f>
        <v>4.2</v>
      </c>
    </row>
    <row r="431" customFormat="false" ht="15" hidden="false" customHeight="false" outlineLevel="0" collapsed="false">
      <c r="A431" s="12" t="n">
        <v>4.6</v>
      </c>
      <c r="B431" s="13" t="n">
        <f aca="false">IF(ISNUMBER(A431),ROUND(A431/Results!$C$5,0)*Results!$C$5,"")</f>
        <v>4.6</v>
      </c>
    </row>
    <row r="432" customFormat="false" ht="15" hidden="false" customHeight="false" outlineLevel="0" collapsed="false">
      <c r="A432" s="12" t="n">
        <v>4.2</v>
      </c>
      <c r="B432" s="13" t="n">
        <f aca="false">IF(ISNUMBER(A432),ROUND(A432/Results!$C$5,0)*Results!$C$5,"")</f>
        <v>4.2</v>
      </c>
    </row>
    <row r="433" customFormat="false" ht="15" hidden="false" customHeight="false" outlineLevel="0" collapsed="false">
      <c r="A433" s="12" t="n">
        <v>4.2</v>
      </c>
      <c r="B433" s="13" t="n">
        <f aca="false">IF(ISNUMBER(A433),ROUND(A433/Results!$C$5,0)*Results!$C$5,"")</f>
        <v>4.2</v>
      </c>
    </row>
    <row r="434" customFormat="false" ht="15" hidden="false" customHeight="false" outlineLevel="0" collapsed="false">
      <c r="A434" s="12" t="n">
        <v>4.4</v>
      </c>
      <c r="B434" s="13" t="n">
        <f aca="false">IF(ISNUMBER(A434),ROUND(A434/Results!$C$5,0)*Results!$C$5,"")</f>
        <v>4.4</v>
      </c>
    </row>
    <row r="435" customFormat="false" ht="15" hidden="false" customHeight="false" outlineLevel="0" collapsed="false">
      <c r="A435" s="12" t="n">
        <v>4.5</v>
      </c>
      <c r="B435" s="13" t="n">
        <f aca="false">IF(ISNUMBER(A435),ROUND(A435/Results!$C$5,0)*Results!$C$5,"")</f>
        <v>4.5</v>
      </c>
    </row>
    <row r="436" customFormat="false" ht="15" hidden="false" customHeight="false" outlineLevel="0" collapsed="false">
      <c r="A436" s="12" t="n">
        <v>5</v>
      </c>
      <c r="B436" s="13" t="n">
        <f aca="false">IF(ISNUMBER(A436),ROUND(A436/Results!$C$5,0)*Results!$C$5,"")</f>
        <v>5</v>
      </c>
    </row>
    <row r="437" customFormat="false" ht="15" hidden="false" customHeight="false" outlineLevel="0" collapsed="false">
      <c r="A437" s="12" t="n">
        <v>4</v>
      </c>
      <c r="B437" s="13" t="n">
        <f aca="false">IF(ISNUMBER(A437),ROUND(A437/Results!$C$5,0)*Results!$C$5,"")</f>
        <v>4</v>
      </c>
    </row>
    <row r="438" customFormat="false" ht="15" hidden="false" customHeight="false" outlineLevel="0" collapsed="false">
      <c r="A438" s="12" t="n">
        <v>4.2</v>
      </c>
      <c r="B438" s="13" t="n">
        <f aca="false">IF(ISNUMBER(A438),ROUND(A438/Results!$C$5,0)*Results!$C$5,"")</f>
        <v>4.2</v>
      </c>
    </row>
    <row r="439" customFormat="false" ht="15" hidden="false" customHeight="false" outlineLevel="0" collapsed="false">
      <c r="A439" s="12" t="n">
        <v>4.3</v>
      </c>
      <c r="B439" s="13" t="n">
        <f aca="false">IF(ISNUMBER(A439),ROUND(A439/Results!$C$5,0)*Results!$C$5,"")</f>
        <v>4.3</v>
      </c>
    </row>
    <row r="440" customFormat="false" ht="15" hidden="false" customHeight="false" outlineLevel="0" collapsed="false">
      <c r="A440" s="12" t="n">
        <v>4.2</v>
      </c>
      <c r="B440" s="13" t="n">
        <f aca="false">IF(ISNUMBER(A440),ROUND(A440/Results!$C$5,0)*Results!$C$5,"")</f>
        <v>4.2</v>
      </c>
    </row>
    <row r="441" customFormat="false" ht="15" hidden="false" customHeight="false" outlineLevel="0" collapsed="false">
      <c r="A441" s="12" t="n">
        <v>4.5</v>
      </c>
      <c r="B441" s="13" t="n">
        <f aca="false">IF(ISNUMBER(A441),ROUND(A441/Results!$C$5,0)*Results!$C$5,"")</f>
        <v>4.5</v>
      </c>
    </row>
    <row r="442" customFormat="false" ht="15" hidden="false" customHeight="false" outlineLevel="0" collapsed="false">
      <c r="A442" s="12" t="n">
        <v>4.6</v>
      </c>
      <c r="B442" s="13" t="n">
        <f aca="false">IF(ISNUMBER(A442),ROUND(A442/Results!$C$5,0)*Results!$C$5,"")</f>
        <v>4.6</v>
      </c>
    </row>
    <row r="443" customFormat="false" ht="15" hidden="false" customHeight="false" outlineLevel="0" collapsed="false">
      <c r="A443" s="12" t="n">
        <v>4.6</v>
      </c>
      <c r="B443" s="13" t="n">
        <f aca="false">IF(ISNUMBER(A443),ROUND(A443/Results!$C$5,0)*Results!$C$5,"")</f>
        <v>4.6</v>
      </c>
    </row>
    <row r="444" customFormat="false" ht="15" hidden="false" customHeight="false" outlineLevel="0" collapsed="false">
      <c r="A444" s="12" t="n">
        <v>6</v>
      </c>
      <c r="B444" s="13" t="n">
        <f aca="false">IF(ISNUMBER(A444),ROUND(A444/Results!$C$5,0)*Results!$C$5,"")</f>
        <v>6</v>
      </c>
    </row>
    <row r="445" customFormat="false" ht="15" hidden="false" customHeight="false" outlineLevel="0" collapsed="false">
      <c r="A445" s="12" t="n">
        <v>4</v>
      </c>
      <c r="B445" s="13" t="n">
        <f aca="false">IF(ISNUMBER(A445),ROUND(A445/Results!$C$5,0)*Results!$C$5,"")</f>
        <v>4</v>
      </c>
    </row>
    <row r="446" customFormat="false" ht="15" hidden="false" customHeight="false" outlineLevel="0" collapsed="false">
      <c r="A446" s="12" t="n">
        <v>4.2</v>
      </c>
      <c r="B446" s="13" t="n">
        <f aca="false">IF(ISNUMBER(A446),ROUND(A446/Results!$C$5,0)*Results!$C$5,"")</f>
        <v>4.2</v>
      </c>
    </row>
    <row r="447" customFormat="false" ht="15" hidden="false" customHeight="false" outlineLevel="0" collapsed="false">
      <c r="A447" s="12" t="n">
        <v>4</v>
      </c>
      <c r="B447" s="13" t="n">
        <f aca="false">IF(ISNUMBER(A447),ROUND(A447/Results!$C$5,0)*Results!$C$5,"")</f>
        <v>4</v>
      </c>
    </row>
    <row r="448" customFormat="false" ht="15" hidden="false" customHeight="false" outlineLevel="0" collapsed="false">
      <c r="A448" s="12" t="n">
        <v>4.3</v>
      </c>
      <c r="B448" s="13" t="n">
        <f aca="false">IF(ISNUMBER(A448),ROUND(A448/Results!$C$5,0)*Results!$C$5,"")</f>
        <v>4.3</v>
      </c>
    </row>
    <row r="449" customFormat="false" ht="15" hidden="false" customHeight="false" outlineLevel="0" collapsed="false">
      <c r="A449" s="12" t="n">
        <v>5.5</v>
      </c>
      <c r="B449" s="13" t="n">
        <f aca="false">IF(ISNUMBER(A449),ROUND(A449/Results!$C$5,0)*Results!$C$5,"")</f>
        <v>5.5</v>
      </c>
    </row>
    <row r="450" customFormat="false" ht="15" hidden="false" customHeight="false" outlineLevel="0" collapsed="false">
      <c r="A450" s="12" t="n">
        <v>4.2</v>
      </c>
      <c r="B450" s="13" t="n">
        <f aca="false">IF(ISNUMBER(A450),ROUND(A450/Results!$C$5,0)*Results!$C$5,"")</f>
        <v>4.2</v>
      </c>
    </row>
    <row r="451" customFormat="false" ht="15" hidden="false" customHeight="false" outlineLevel="0" collapsed="false">
      <c r="A451" s="12" t="n">
        <v>4</v>
      </c>
      <c r="B451" s="13" t="n">
        <f aca="false">IF(ISNUMBER(A451),ROUND(A451/Results!$C$5,0)*Results!$C$5,"")</f>
        <v>4</v>
      </c>
    </row>
    <row r="452" customFormat="false" ht="15" hidden="false" customHeight="false" outlineLevel="0" collapsed="false">
      <c r="A452" s="12" t="n">
        <v>4</v>
      </c>
      <c r="B452" s="13" t="n">
        <f aca="false">IF(ISNUMBER(A452),ROUND(A452/Results!$C$5,0)*Results!$C$5,"")</f>
        <v>4</v>
      </c>
    </row>
    <row r="453" customFormat="false" ht="15" hidden="false" customHeight="false" outlineLevel="0" collapsed="false">
      <c r="A453" s="12" t="n">
        <v>4.6</v>
      </c>
      <c r="B453" s="13" t="n">
        <f aca="false">IF(ISNUMBER(A453),ROUND(A453/Results!$C$5,0)*Results!$C$5,"")</f>
        <v>4.6</v>
      </c>
    </row>
    <row r="454" customFormat="false" ht="15" hidden="false" customHeight="false" outlineLevel="0" collapsed="false">
      <c r="A454" s="12" t="n">
        <v>4.4</v>
      </c>
      <c r="B454" s="13" t="n">
        <f aca="false">IF(ISNUMBER(A454),ROUND(A454/Results!$C$5,0)*Results!$C$5,"")</f>
        <v>4.4</v>
      </c>
    </row>
    <row r="455" customFormat="false" ht="15" hidden="false" customHeight="false" outlineLevel="0" collapsed="false">
      <c r="A455" s="12" t="n">
        <v>5</v>
      </c>
      <c r="B455" s="13" t="n">
        <f aca="false">IF(ISNUMBER(A455),ROUND(A455/Results!$C$5,0)*Results!$C$5,"")</f>
        <v>5</v>
      </c>
    </row>
    <row r="456" customFormat="false" ht="15" hidden="false" customHeight="false" outlineLevel="0" collapsed="false">
      <c r="A456" s="12" t="n">
        <v>5.1</v>
      </c>
      <c r="B456" s="13" t="n">
        <f aca="false">IF(ISNUMBER(A456),ROUND(A456/Results!$C$5,0)*Results!$C$5,"")</f>
        <v>5.1</v>
      </c>
    </row>
    <row r="457" customFormat="false" ht="15" hidden="false" customHeight="false" outlineLevel="0" collapsed="false">
      <c r="A457" s="12" t="n">
        <v>4</v>
      </c>
      <c r="B457" s="13" t="n">
        <f aca="false">IF(ISNUMBER(A457),ROUND(A457/Results!$C$5,0)*Results!$C$5,"")</f>
        <v>4</v>
      </c>
    </row>
    <row r="458" customFormat="false" ht="15" hidden="false" customHeight="false" outlineLevel="0" collapsed="false">
      <c r="A458" s="12" t="n">
        <v>4</v>
      </c>
      <c r="B458" s="13" t="n">
        <f aca="false">IF(ISNUMBER(A458),ROUND(A458/Results!$C$5,0)*Results!$C$5,"")</f>
        <v>4</v>
      </c>
    </row>
    <row r="459" customFormat="false" ht="15" hidden="false" customHeight="false" outlineLevel="0" collapsed="false">
      <c r="A459" s="12" t="n">
        <v>5.4</v>
      </c>
      <c r="B459" s="13" t="n">
        <f aca="false">IF(ISNUMBER(A459),ROUND(A459/Results!$C$5,0)*Results!$C$5,"")</f>
        <v>5.4</v>
      </c>
    </row>
    <row r="460" customFormat="false" ht="15" hidden="false" customHeight="false" outlineLevel="0" collapsed="false">
      <c r="A460" s="12" t="n">
        <v>4</v>
      </c>
      <c r="B460" s="13" t="n">
        <f aca="false">IF(ISNUMBER(A460),ROUND(A460/Results!$C$5,0)*Results!$C$5,"")</f>
        <v>4</v>
      </c>
    </row>
    <row r="461" customFormat="false" ht="15" hidden="false" customHeight="false" outlineLevel="0" collapsed="false">
      <c r="A461" s="12" t="n">
        <v>4.2</v>
      </c>
      <c r="B461" s="13" t="n">
        <f aca="false">IF(ISNUMBER(A461),ROUND(A461/Results!$C$5,0)*Results!$C$5,"")</f>
        <v>4.2</v>
      </c>
    </row>
    <row r="462" customFormat="false" ht="15" hidden="false" customHeight="false" outlineLevel="0" collapsed="false">
      <c r="A462" s="12" t="n">
        <v>4.3</v>
      </c>
      <c r="B462" s="13" t="n">
        <f aca="false">IF(ISNUMBER(A462),ROUND(A462/Results!$C$5,0)*Results!$C$5,"")</f>
        <v>4.3</v>
      </c>
    </row>
    <row r="463" customFormat="false" ht="15" hidden="false" customHeight="false" outlineLevel="0" collapsed="false">
      <c r="A463" s="12" t="n">
        <v>4.5</v>
      </c>
      <c r="B463" s="13" t="n">
        <f aca="false">IF(ISNUMBER(A463),ROUND(A463/Results!$C$5,0)*Results!$C$5,"")</f>
        <v>4.5</v>
      </c>
    </row>
    <row r="464" customFormat="false" ht="15" hidden="false" customHeight="false" outlineLevel="0" collapsed="false">
      <c r="A464" s="12" t="n">
        <v>4.9</v>
      </c>
      <c r="B464" s="13" t="n">
        <f aca="false">IF(ISNUMBER(A464),ROUND(A464/Results!$C$5,0)*Results!$C$5,"")</f>
        <v>4.9</v>
      </c>
    </row>
    <row r="465" customFormat="false" ht="15" hidden="false" customHeight="false" outlineLevel="0" collapsed="false">
      <c r="A465" s="12" t="n">
        <v>4</v>
      </c>
      <c r="B465" s="13" t="n">
        <f aca="false">IF(ISNUMBER(A465),ROUND(A465/Results!$C$5,0)*Results!$C$5,"")</f>
        <v>4</v>
      </c>
    </row>
    <row r="466" customFormat="false" ht="15" hidden="false" customHeight="false" outlineLevel="0" collapsed="false">
      <c r="A466" s="12" t="n">
        <v>4.1</v>
      </c>
      <c r="B466" s="13" t="n">
        <f aca="false">IF(ISNUMBER(A466),ROUND(A466/Results!$C$5,0)*Results!$C$5,"")</f>
        <v>4.1</v>
      </c>
    </row>
    <row r="467" customFormat="false" ht="15" hidden="false" customHeight="false" outlineLevel="0" collapsed="false">
      <c r="A467" s="12" t="n">
        <v>4.1</v>
      </c>
      <c r="B467" s="13" t="n">
        <f aca="false">IF(ISNUMBER(A467),ROUND(A467/Results!$C$5,0)*Results!$C$5,"")</f>
        <v>4.1</v>
      </c>
    </row>
    <row r="468" customFormat="false" ht="15" hidden="false" customHeight="false" outlineLevel="0" collapsed="false">
      <c r="A468" s="12" t="n">
        <v>4.1</v>
      </c>
      <c r="B468" s="13" t="n">
        <f aca="false">IF(ISNUMBER(A468),ROUND(A468/Results!$C$5,0)*Results!$C$5,"")</f>
        <v>4.1</v>
      </c>
    </row>
    <row r="469" customFormat="false" ht="15" hidden="false" customHeight="false" outlineLevel="0" collapsed="false">
      <c r="A469" s="12" t="n">
        <v>4.1</v>
      </c>
      <c r="B469" s="13" t="n">
        <f aca="false">IF(ISNUMBER(A469),ROUND(A469/Results!$C$5,0)*Results!$C$5,"")</f>
        <v>4.1</v>
      </c>
    </row>
    <row r="470" customFormat="false" ht="15" hidden="false" customHeight="false" outlineLevel="0" collapsed="false">
      <c r="A470" s="12" t="n">
        <v>4</v>
      </c>
      <c r="B470" s="13" t="n">
        <f aca="false">IF(ISNUMBER(A470),ROUND(A470/Results!$C$5,0)*Results!$C$5,"")</f>
        <v>4</v>
      </c>
    </row>
    <row r="471" customFormat="false" ht="15" hidden="false" customHeight="false" outlineLevel="0" collapsed="false">
      <c r="A471" s="12" t="n">
        <v>4</v>
      </c>
      <c r="B471" s="13" t="n">
        <f aca="false">IF(ISNUMBER(A471),ROUND(A471/Results!$C$5,0)*Results!$C$5,"")</f>
        <v>4</v>
      </c>
    </row>
    <row r="472" customFormat="false" ht="15" hidden="false" customHeight="false" outlineLevel="0" collapsed="false">
      <c r="A472" s="12" t="n">
        <v>4.4</v>
      </c>
      <c r="B472" s="13" t="n">
        <f aca="false">IF(ISNUMBER(A472),ROUND(A472/Results!$C$5,0)*Results!$C$5,"")</f>
        <v>4.4</v>
      </c>
    </row>
    <row r="473" customFormat="false" ht="15" hidden="false" customHeight="false" outlineLevel="0" collapsed="false">
      <c r="A473" s="12" t="n">
        <v>4</v>
      </c>
      <c r="B473" s="13" t="n">
        <f aca="false">IF(ISNUMBER(A473),ROUND(A473/Results!$C$5,0)*Results!$C$5,"")</f>
        <v>4</v>
      </c>
    </row>
    <row r="474" customFormat="false" ht="15" hidden="false" customHeight="false" outlineLevel="0" collapsed="false">
      <c r="A474" s="12" t="n">
        <v>4.7</v>
      </c>
      <c r="B474" s="13" t="n">
        <f aca="false">IF(ISNUMBER(A474),ROUND(A474/Results!$C$5,0)*Results!$C$5,"")</f>
        <v>4.7</v>
      </c>
    </row>
    <row r="475" customFormat="false" ht="15" hidden="false" customHeight="false" outlineLevel="0" collapsed="false">
      <c r="A475" s="12" t="n">
        <v>5.3</v>
      </c>
      <c r="B475" s="13" t="n">
        <f aca="false">IF(ISNUMBER(A475),ROUND(A475/Results!$C$5,0)*Results!$C$5,"")</f>
        <v>5.3</v>
      </c>
    </row>
    <row r="476" customFormat="false" ht="15" hidden="false" customHeight="false" outlineLevel="0" collapsed="false">
      <c r="A476" s="12" t="n">
        <v>4.2</v>
      </c>
      <c r="B476" s="13" t="n">
        <f aca="false">IF(ISNUMBER(A476),ROUND(A476/Results!$C$5,0)*Results!$C$5,"")</f>
        <v>4.2</v>
      </c>
    </row>
    <row r="477" customFormat="false" ht="15" hidden="false" customHeight="false" outlineLevel="0" collapsed="false">
      <c r="A477" s="12" t="n">
        <v>4.1</v>
      </c>
      <c r="B477" s="13" t="n">
        <f aca="false">IF(ISNUMBER(A477),ROUND(A477/Results!$C$5,0)*Results!$C$5,"")</f>
        <v>4.1</v>
      </c>
    </row>
    <row r="478" customFormat="false" ht="15" hidden="false" customHeight="false" outlineLevel="0" collapsed="false">
      <c r="A478" s="12" t="n">
        <v>5</v>
      </c>
      <c r="B478" s="13" t="n">
        <f aca="false">IF(ISNUMBER(A478),ROUND(A478/Results!$C$5,0)*Results!$C$5,"")</f>
        <v>5</v>
      </c>
    </row>
    <row r="479" customFormat="false" ht="15" hidden="false" customHeight="false" outlineLevel="0" collapsed="false">
      <c r="A479" s="12" t="n">
        <v>4.1</v>
      </c>
      <c r="B479" s="13" t="n">
        <f aca="false">IF(ISNUMBER(A479),ROUND(A479/Results!$C$5,0)*Results!$C$5,"")</f>
        <v>4.1</v>
      </c>
    </row>
    <row r="480" customFormat="false" ht="15" hidden="false" customHeight="false" outlineLevel="0" collapsed="false">
      <c r="A480" s="12" t="n">
        <v>4.4</v>
      </c>
      <c r="B480" s="13" t="n">
        <f aca="false">IF(ISNUMBER(A480),ROUND(A480/Results!$C$5,0)*Results!$C$5,"")</f>
        <v>4.4</v>
      </c>
    </row>
    <row r="481" customFormat="false" ht="15" hidden="false" customHeight="false" outlineLevel="0" collapsed="false">
      <c r="A481" s="12" t="n">
        <v>4.1</v>
      </c>
      <c r="B481" s="13" t="n">
        <f aca="false">IF(ISNUMBER(A481),ROUND(A481/Results!$C$5,0)*Results!$C$5,"")</f>
        <v>4.1</v>
      </c>
    </row>
    <row r="482" customFormat="false" ht="15" hidden="false" customHeight="false" outlineLevel="0" collapsed="false">
      <c r="A482" s="12" t="n">
        <v>4.4</v>
      </c>
      <c r="B482" s="13" t="n">
        <f aca="false">IF(ISNUMBER(A482),ROUND(A482/Results!$C$5,0)*Results!$C$5,"")</f>
        <v>4.4</v>
      </c>
    </row>
    <row r="483" customFormat="false" ht="15" hidden="false" customHeight="false" outlineLevel="0" collapsed="false">
      <c r="A483" s="12" t="n">
        <v>4.9</v>
      </c>
      <c r="B483" s="13" t="n">
        <f aca="false">IF(ISNUMBER(A483),ROUND(A483/Results!$C$5,0)*Results!$C$5,"")</f>
        <v>4.9</v>
      </c>
    </row>
    <row r="484" customFormat="false" ht="15" hidden="false" customHeight="false" outlineLevel="0" collapsed="false">
      <c r="A484" s="12" t="n">
        <v>5.1</v>
      </c>
      <c r="B484" s="13" t="n">
        <f aca="false">IF(ISNUMBER(A484),ROUND(A484/Results!$C$5,0)*Results!$C$5,"")</f>
        <v>5.1</v>
      </c>
    </row>
    <row r="485" customFormat="false" ht="15" hidden="false" customHeight="false" outlineLevel="0" collapsed="false">
      <c r="A485" s="12" t="n">
        <v>4.7</v>
      </c>
      <c r="B485" s="13" t="n">
        <f aca="false">IF(ISNUMBER(A485),ROUND(A485/Results!$C$5,0)*Results!$C$5,"")</f>
        <v>4.7</v>
      </c>
    </row>
    <row r="486" customFormat="false" ht="15" hidden="false" customHeight="false" outlineLevel="0" collapsed="false">
      <c r="A486" s="12" t="n">
        <v>4.5</v>
      </c>
      <c r="B486" s="13" t="n">
        <f aca="false">IF(ISNUMBER(A486),ROUND(A486/Results!$C$5,0)*Results!$C$5,"")</f>
        <v>4.5</v>
      </c>
    </row>
    <row r="487" customFormat="false" ht="15" hidden="false" customHeight="false" outlineLevel="0" collapsed="false">
      <c r="A487" s="12" t="n">
        <v>4.4</v>
      </c>
      <c r="B487" s="13" t="n">
        <f aca="false">IF(ISNUMBER(A487),ROUND(A487/Results!$C$5,0)*Results!$C$5,"")</f>
        <v>4.4</v>
      </c>
    </row>
    <row r="488" customFormat="false" ht="15" hidden="false" customHeight="false" outlineLevel="0" collapsed="false">
      <c r="A488" s="12" t="n">
        <v>4.1</v>
      </c>
      <c r="B488" s="13" t="n">
        <f aca="false">IF(ISNUMBER(A488),ROUND(A488/Results!$C$5,0)*Results!$C$5,"")</f>
        <v>4.1</v>
      </c>
    </row>
    <row r="489" customFormat="false" ht="15" hidden="false" customHeight="false" outlineLevel="0" collapsed="false">
      <c r="A489" s="12" t="n">
        <v>4.1</v>
      </c>
      <c r="B489" s="13" t="n">
        <f aca="false">IF(ISNUMBER(A489),ROUND(A489/Results!$C$5,0)*Results!$C$5,"")</f>
        <v>4.1</v>
      </c>
    </row>
    <row r="490" customFormat="false" ht="15" hidden="false" customHeight="false" outlineLevel="0" collapsed="false">
      <c r="A490" s="12" t="n">
        <v>4.1</v>
      </c>
      <c r="B490" s="13" t="n">
        <f aca="false">IF(ISNUMBER(A490),ROUND(A490/Results!$C$5,0)*Results!$C$5,"")</f>
        <v>4.1</v>
      </c>
    </row>
    <row r="491" customFormat="false" ht="15" hidden="false" customHeight="false" outlineLevel="0" collapsed="false">
      <c r="A491" s="12" t="n">
        <v>4.2</v>
      </c>
      <c r="B491" s="13" t="n">
        <f aca="false">IF(ISNUMBER(A491),ROUND(A491/Results!$C$5,0)*Results!$C$5,"")</f>
        <v>4.2</v>
      </c>
    </row>
    <row r="492" customFormat="false" ht="15" hidden="false" customHeight="false" outlineLevel="0" collapsed="false">
      <c r="A492" s="12" t="n">
        <v>4.8</v>
      </c>
      <c r="B492" s="13" t="n">
        <f aca="false">IF(ISNUMBER(A492),ROUND(A492/Results!$C$5,0)*Results!$C$5,"")</f>
        <v>4.8</v>
      </c>
    </row>
    <row r="493" customFormat="false" ht="15" hidden="false" customHeight="false" outlineLevel="0" collapsed="false">
      <c r="A493" s="12" t="n">
        <v>4</v>
      </c>
      <c r="B493" s="13" t="n">
        <f aca="false">IF(ISNUMBER(A493),ROUND(A493/Results!$C$5,0)*Results!$C$5,"")</f>
        <v>4</v>
      </c>
    </row>
    <row r="494" customFormat="false" ht="15" hidden="false" customHeight="false" outlineLevel="0" collapsed="false">
      <c r="A494" s="12" t="n">
        <v>5.2</v>
      </c>
      <c r="B494" s="13" t="n">
        <f aca="false">IF(ISNUMBER(A494),ROUND(A494/Results!$C$5,0)*Results!$C$5,"")</f>
        <v>5.2</v>
      </c>
    </row>
    <row r="495" customFormat="false" ht="15" hidden="false" customHeight="false" outlineLevel="0" collapsed="false">
      <c r="A495" s="12" t="n">
        <v>4.1</v>
      </c>
      <c r="B495" s="13" t="n">
        <f aca="false">IF(ISNUMBER(A495),ROUND(A495/Results!$C$5,0)*Results!$C$5,"")</f>
        <v>4.1</v>
      </c>
    </row>
    <row r="496" customFormat="false" ht="15" hidden="false" customHeight="false" outlineLevel="0" collapsed="false">
      <c r="A496" s="12" t="n">
        <v>4.3</v>
      </c>
      <c r="B496" s="13" t="n">
        <f aca="false">IF(ISNUMBER(A496),ROUND(A496/Results!$C$5,0)*Results!$C$5,"")</f>
        <v>4.3</v>
      </c>
    </row>
    <row r="497" customFormat="false" ht="15" hidden="false" customHeight="false" outlineLevel="0" collapsed="false">
      <c r="A497" s="12" t="n">
        <v>4.7</v>
      </c>
      <c r="B497" s="13" t="n">
        <f aca="false">IF(ISNUMBER(A497),ROUND(A497/Results!$C$5,0)*Results!$C$5,"")</f>
        <v>4.7</v>
      </c>
    </row>
    <row r="498" customFormat="false" ht="15" hidden="false" customHeight="false" outlineLevel="0" collapsed="false">
      <c r="A498" s="12" t="n">
        <v>4.6</v>
      </c>
      <c r="B498" s="13" t="n">
        <f aca="false">IF(ISNUMBER(A498),ROUND(A498/Results!$C$5,0)*Results!$C$5,"")</f>
        <v>4.6</v>
      </c>
    </row>
    <row r="499" customFormat="false" ht="15" hidden="false" customHeight="false" outlineLevel="0" collapsed="false">
      <c r="A499" s="12" t="n">
        <v>4.1</v>
      </c>
      <c r="B499" s="13" t="n">
        <f aca="false">IF(ISNUMBER(A499),ROUND(A499/Results!$C$5,0)*Results!$C$5,"")</f>
        <v>4.1</v>
      </c>
    </row>
    <row r="500" customFormat="false" ht="15" hidden="false" customHeight="false" outlineLevel="0" collapsed="false">
      <c r="A500" s="12" t="n">
        <v>4.3</v>
      </c>
      <c r="B500" s="13" t="n">
        <f aca="false">IF(ISNUMBER(A500),ROUND(A500/Results!$C$5,0)*Results!$C$5,"")</f>
        <v>4.3</v>
      </c>
    </row>
    <row r="501" customFormat="false" ht="15" hidden="false" customHeight="false" outlineLevel="0" collapsed="false">
      <c r="A501" s="12" t="n">
        <v>4.6</v>
      </c>
      <c r="B501" s="13" t="n">
        <f aca="false">IF(ISNUMBER(A501),ROUND(A501/Results!$C$5,0)*Results!$C$5,"")</f>
        <v>4.6</v>
      </c>
    </row>
    <row r="502" customFormat="false" ht="15" hidden="false" customHeight="false" outlineLevel="0" collapsed="false">
      <c r="A502" s="12" t="n">
        <v>4.3</v>
      </c>
      <c r="B502" s="13" t="n">
        <f aca="false">IF(ISNUMBER(A502),ROUND(A502/Results!$C$5,0)*Results!$C$5,"")</f>
        <v>4.3</v>
      </c>
    </row>
    <row r="503" customFormat="false" ht="15" hidden="false" customHeight="false" outlineLevel="0" collapsed="false">
      <c r="A503" s="12" t="n">
        <v>4.6</v>
      </c>
      <c r="B503" s="13" t="n">
        <f aca="false">IF(ISNUMBER(A503),ROUND(A503/Results!$C$5,0)*Results!$C$5,"")</f>
        <v>4.6</v>
      </c>
    </row>
    <row r="504" customFormat="false" ht="15" hidden="false" customHeight="false" outlineLevel="0" collapsed="false">
      <c r="A504" s="12" t="n">
        <v>4</v>
      </c>
      <c r="B504" s="13" t="n">
        <f aca="false">IF(ISNUMBER(A504),ROUND(A504/Results!$C$5,0)*Results!$C$5,"")</f>
        <v>4</v>
      </c>
    </row>
    <row r="505" customFormat="false" ht="15" hidden="false" customHeight="false" outlineLevel="0" collapsed="false">
      <c r="A505" s="12" t="n">
        <v>4</v>
      </c>
      <c r="B505" s="13" t="n">
        <f aca="false">IF(ISNUMBER(A505),ROUND(A505/Results!$C$5,0)*Results!$C$5,"")</f>
        <v>4</v>
      </c>
    </row>
    <row r="506" customFormat="false" ht="15" hidden="false" customHeight="false" outlineLevel="0" collapsed="false">
      <c r="A506" s="12" t="n">
        <v>4</v>
      </c>
      <c r="B506" s="13" t="n">
        <f aca="false">IF(ISNUMBER(A506),ROUND(A506/Results!$C$5,0)*Results!$C$5,"")</f>
        <v>4</v>
      </c>
    </row>
    <row r="507" customFormat="false" ht="15" hidden="false" customHeight="false" outlineLevel="0" collapsed="false">
      <c r="A507" s="12" t="n">
        <v>4</v>
      </c>
      <c r="B507" s="13" t="n">
        <f aca="false">IF(ISNUMBER(A507),ROUND(A507/Results!$C$5,0)*Results!$C$5,"")</f>
        <v>4</v>
      </c>
    </row>
    <row r="508" customFormat="false" ht="15" hidden="false" customHeight="false" outlineLevel="0" collapsed="false">
      <c r="A508" s="12" t="n">
        <v>4.5</v>
      </c>
      <c r="B508" s="13" t="n">
        <f aca="false">IF(ISNUMBER(A508),ROUND(A508/Results!$C$5,0)*Results!$C$5,"")</f>
        <v>4.5</v>
      </c>
    </row>
    <row r="509" customFormat="false" ht="15" hidden="false" customHeight="false" outlineLevel="0" collapsed="false">
      <c r="A509" s="12" t="n">
        <v>5.2</v>
      </c>
      <c r="B509" s="13" t="n">
        <f aca="false">IF(ISNUMBER(A509),ROUND(A509/Results!$C$5,0)*Results!$C$5,"")</f>
        <v>5.2</v>
      </c>
    </row>
    <row r="510" customFormat="false" ht="15" hidden="false" customHeight="false" outlineLevel="0" collapsed="false">
      <c r="A510" s="12" t="n">
        <v>4.6</v>
      </c>
      <c r="B510" s="13" t="n">
        <f aca="false">IF(ISNUMBER(A510),ROUND(A510/Results!$C$5,0)*Results!$C$5,"")</f>
        <v>4.6</v>
      </c>
    </row>
    <row r="511" customFormat="false" ht="15" hidden="false" customHeight="false" outlineLevel="0" collapsed="false">
      <c r="A511" s="12" t="n">
        <v>4</v>
      </c>
      <c r="B511" s="13" t="n">
        <f aca="false">IF(ISNUMBER(A511),ROUND(A511/Results!$C$5,0)*Results!$C$5,"")</f>
        <v>4</v>
      </c>
    </row>
    <row r="512" customFormat="false" ht="15" hidden="false" customHeight="false" outlineLevel="0" collapsed="false">
      <c r="A512" s="12" t="n">
        <v>4.1</v>
      </c>
      <c r="B512" s="13" t="n">
        <f aca="false">IF(ISNUMBER(A512),ROUND(A512/Results!$C$5,0)*Results!$C$5,"")</f>
        <v>4.1</v>
      </c>
    </row>
    <row r="513" customFormat="false" ht="15" hidden="false" customHeight="false" outlineLevel="0" collapsed="false">
      <c r="A513" s="12" t="n">
        <v>4.7</v>
      </c>
      <c r="B513" s="13" t="n">
        <f aca="false">IF(ISNUMBER(A513),ROUND(A513/Results!$C$5,0)*Results!$C$5,"")</f>
        <v>4.7</v>
      </c>
    </row>
    <row r="514" customFormat="false" ht="15" hidden="false" customHeight="false" outlineLevel="0" collapsed="false">
      <c r="A514" s="12" t="n">
        <v>4.4</v>
      </c>
      <c r="B514" s="13" t="n">
        <f aca="false">IF(ISNUMBER(A514),ROUND(A514/Results!$C$5,0)*Results!$C$5,"")</f>
        <v>4.4</v>
      </c>
    </row>
    <row r="515" customFormat="false" ht="15" hidden="false" customHeight="false" outlineLevel="0" collapsed="false">
      <c r="A515" s="12" t="n">
        <v>4</v>
      </c>
      <c r="B515" s="13" t="n">
        <f aca="false">IF(ISNUMBER(A515),ROUND(A515/Results!$C$5,0)*Results!$C$5,"")</f>
        <v>4</v>
      </c>
    </row>
    <row r="516" customFormat="false" ht="15" hidden="false" customHeight="false" outlineLevel="0" collapsed="false">
      <c r="A516" s="12" t="n">
        <v>4.3</v>
      </c>
      <c r="B516" s="13" t="n">
        <f aca="false">IF(ISNUMBER(A516),ROUND(A516/Results!$C$5,0)*Results!$C$5,"")</f>
        <v>4.3</v>
      </c>
    </row>
    <row r="517" customFormat="false" ht="15" hidden="false" customHeight="false" outlineLevel="0" collapsed="false">
      <c r="A517" s="12" t="n">
        <v>4.7</v>
      </c>
      <c r="B517" s="13" t="n">
        <f aca="false">IF(ISNUMBER(A517),ROUND(A517/Results!$C$5,0)*Results!$C$5,"")</f>
        <v>4.7</v>
      </c>
    </row>
    <row r="518" customFormat="false" ht="15" hidden="false" customHeight="false" outlineLevel="0" collapsed="false">
      <c r="A518" s="12" t="n">
        <v>4</v>
      </c>
      <c r="B518" s="13" t="n">
        <f aca="false">IF(ISNUMBER(A518),ROUND(A518/Results!$C$5,0)*Results!$C$5,"")</f>
        <v>4</v>
      </c>
    </row>
    <row r="519" customFormat="false" ht="15" hidden="false" customHeight="false" outlineLevel="0" collapsed="false">
      <c r="A519" s="12" t="n">
        <v>4.3</v>
      </c>
      <c r="B519" s="13" t="n">
        <f aca="false">IF(ISNUMBER(A519),ROUND(A519/Results!$C$5,0)*Results!$C$5,"")</f>
        <v>4.3</v>
      </c>
    </row>
    <row r="520" customFormat="false" ht="15" hidden="false" customHeight="false" outlineLevel="0" collapsed="false">
      <c r="A520" s="12" t="n">
        <v>4.2</v>
      </c>
      <c r="B520" s="13" t="n">
        <f aca="false">IF(ISNUMBER(A520),ROUND(A520/Results!$C$5,0)*Results!$C$5,"")</f>
        <v>4.2</v>
      </c>
    </row>
    <row r="521" customFormat="false" ht="15" hidden="false" customHeight="false" outlineLevel="0" collapsed="false">
      <c r="A521" s="12" t="n">
        <v>4.1</v>
      </c>
      <c r="B521" s="13" t="n">
        <f aca="false">IF(ISNUMBER(A521),ROUND(A521/Results!$C$5,0)*Results!$C$5,"")</f>
        <v>4.1</v>
      </c>
    </row>
    <row r="522" customFormat="false" ht="15" hidden="false" customHeight="false" outlineLevel="0" collapsed="false">
      <c r="A522" s="12" t="n">
        <v>4.6</v>
      </c>
      <c r="B522" s="13" t="n">
        <f aca="false">IF(ISNUMBER(A522),ROUND(A522/Results!$C$5,0)*Results!$C$5,"")</f>
        <v>4.6</v>
      </c>
    </row>
    <row r="523" customFormat="false" ht="15" hidden="false" customHeight="false" outlineLevel="0" collapsed="false">
      <c r="A523" s="12" t="n">
        <v>4.2</v>
      </c>
      <c r="B523" s="13" t="n">
        <f aca="false">IF(ISNUMBER(A523),ROUND(A523/Results!$C$5,0)*Results!$C$5,"")</f>
        <v>4.2</v>
      </c>
    </row>
    <row r="524" customFormat="false" ht="15" hidden="false" customHeight="false" outlineLevel="0" collapsed="false">
      <c r="A524" s="12" t="n">
        <v>4.1</v>
      </c>
      <c r="B524" s="13" t="n">
        <f aca="false">IF(ISNUMBER(A524),ROUND(A524/Results!$C$5,0)*Results!$C$5,"")</f>
        <v>4.1</v>
      </c>
    </row>
    <row r="525" customFormat="false" ht="15" hidden="false" customHeight="false" outlineLevel="0" collapsed="false">
      <c r="A525" s="12" t="n">
        <v>4</v>
      </c>
      <c r="B525" s="13" t="n">
        <f aca="false">IF(ISNUMBER(A525),ROUND(A525/Results!$C$5,0)*Results!$C$5,"")</f>
        <v>4</v>
      </c>
    </row>
    <row r="526" customFormat="false" ht="15" hidden="false" customHeight="false" outlineLevel="0" collapsed="false">
      <c r="A526" s="12" t="n">
        <v>4.1</v>
      </c>
      <c r="B526" s="13" t="n">
        <f aca="false">IF(ISNUMBER(A526),ROUND(A526/Results!$C$5,0)*Results!$C$5,"")</f>
        <v>4.1</v>
      </c>
    </row>
    <row r="527" customFormat="false" ht="15" hidden="false" customHeight="false" outlineLevel="0" collapsed="false">
      <c r="A527" s="12" t="n">
        <v>4</v>
      </c>
      <c r="B527" s="13" t="n">
        <f aca="false">IF(ISNUMBER(A527),ROUND(A527/Results!$C$5,0)*Results!$C$5,"")</f>
        <v>4</v>
      </c>
    </row>
    <row r="528" customFormat="false" ht="15" hidden="false" customHeight="false" outlineLevel="0" collapsed="false">
      <c r="A528" s="12" t="n">
        <v>4.2</v>
      </c>
      <c r="B528" s="13" t="n">
        <f aca="false">IF(ISNUMBER(A528),ROUND(A528/Results!$C$5,0)*Results!$C$5,"")</f>
        <v>4.2</v>
      </c>
    </row>
    <row r="529" customFormat="false" ht="15" hidden="false" customHeight="false" outlineLevel="0" collapsed="false">
      <c r="A529" s="12" t="n">
        <v>4.2</v>
      </c>
      <c r="B529" s="13" t="n">
        <f aca="false">IF(ISNUMBER(A529),ROUND(A529/Results!$C$5,0)*Results!$C$5,"")</f>
        <v>4.2</v>
      </c>
    </row>
    <row r="530" customFormat="false" ht="15" hidden="false" customHeight="false" outlineLevel="0" collapsed="false">
      <c r="A530" s="12" t="n">
        <v>4</v>
      </c>
      <c r="B530" s="13" t="n">
        <f aca="false">IF(ISNUMBER(A530),ROUND(A530/Results!$C$5,0)*Results!$C$5,"")</f>
        <v>4</v>
      </c>
    </row>
    <row r="531" customFormat="false" ht="15" hidden="false" customHeight="false" outlineLevel="0" collapsed="false">
      <c r="A531" s="12" t="n">
        <v>4.5</v>
      </c>
      <c r="B531" s="13" t="n">
        <f aca="false">IF(ISNUMBER(A531),ROUND(A531/Results!$C$5,0)*Results!$C$5,"")</f>
        <v>4.5</v>
      </c>
    </row>
    <row r="532" customFormat="false" ht="15" hidden="false" customHeight="false" outlineLevel="0" collapsed="false">
      <c r="A532" s="12" t="n">
        <v>4.1</v>
      </c>
      <c r="B532" s="13" t="n">
        <f aca="false">IF(ISNUMBER(A532),ROUND(A532/Results!$C$5,0)*Results!$C$5,"")</f>
        <v>4.1</v>
      </c>
    </row>
    <row r="533" customFormat="false" ht="15" hidden="false" customHeight="false" outlineLevel="0" collapsed="false">
      <c r="A533" s="12" t="n">
        <v>4</v>
      </c>
      <c r="B533" s="13" t="n">
        <f aca="false">IF(ISNUMBER(A533),ROUND(A533/Results!$C$5,0)*Results!$C$5,"")</f>
        <v>4</v>
      </c>
    </row>
    <row r="534" customFormat="false" ht="15" hidden="false" customHeight="false" outlineLevel="0" collapsed="false">
      <c r="A534" s="12" t="n">
        <v>4.8</v>
      </c>
      <c r="B534" s="13" t="n">
        <f aca="false">IF(ISNUMBER(A534),ROUND(A534/Results!$C$5,0)*Results!$C$5,"")</f>
        <v>4.8</v>
      </c>
    </row>
    <row r="535" customFormat="false" ht="15" hidden="false" customHeight="false" outlineLevel="0" collapsed="false">
      <c r="A535" s="12" t="n">
        <v>4.4</v>
      </c>
      <c r="B535" s="13" t="n">
        <f aca="false">IF(ISNUMBER(A535),ROUND(A535/Results!$C$5,0)*Results!$C$5,"")</f>
        <v>4.4</v>
      </c>
    </row>
    <row r="536" customFormat="false" ht="15" hidden="false" customHeight="false" outlineLevel="0" collapsed="false">
      <c r="A536" s="12" t="n">
        <v>5</v>
      </c>
      <c r="B536" s="13" t="n">
        <f aca="false">IF(ISNUMBER(A536),ROUND(A536/Results!$C$5,0)*Results!$C$5,"")</f>
        <v>5</v>
      </c>
    </row>
    <row r="537" customFormat="false" ht="15" hidden="false" customHeight="false" outlineLevel="0" collapsed="false">
      <c r="A537" s="12" t="n">
        <v>4.7</v>
      </c>
      <c r="B537" s="13" t="n">
        <f aca="false">IF(ISNUMBER(A537),ROUND(A537/Results!$C$5,0)*Results!$C$5,"")</f>
        <v>4.7</v>
      </c>
    </row>
    <row r="538" customFormat="false" ht="15" hidden="false" customHeight="false" outlineLevel="0" collapsed="false">
      <c r="A538" s="12" t="n">
        <v>4.2</v>
      </c>
      <c r="B538" s="13" t="n">
        <f aca="false">IF(ISNUMBER(A538),ROUND(A538/Results!$C$5,0)*Results!$C$5,"")</f>
        <v>4.2</v>
      </c>
    </row>
    <row r="539" customFormat="false" ht="15" hidden="false" customHeight="false" outlineLevel="0" collapsed="false">
      <c r="A539" s="12" t="n">
        <v>4</v>
      </c>
      <c r="B539" s="13" t="n">
        <f aca="false">IF(ISNUMBER(A539),ROUND(A539/Results!$C$5,0)*Results!$C$5,"")</f>
        <v>4</v>
      </c>
    </row>
    <row r="540" customFormat="false" ht="15" hidden="false" customHeight="false" outlineLevel="0" collapsed="false">
      <c r="A540" s="12" t="n">
        <v>5.3</v>
      </c>
      <c r="B540" s="13" t="n">
        <f aca="false">IF(ISNUMBER(A540),ROUND(A540/Results!$C$5,0)*Results!$C$5,"")</f>
        <v>5.3</v>
      </c>
    </row>
    <row r="541" customFormat="false" ht="15" hidden="false" customHeight="false" outlineLevel="0" collapsed="false">
      <c r="A541" s="12" t="n">
        <v>4</v>
      </c>
      <c r="B541" s="13" t="n">
        <f aca="false">IF(ISNUMBER(A541),ROUND(A541/Results!$C$5,0)*Results!$C$5,"")</f>
        <v>4</v>
      </c>
    </row>
    <row r="542" customFormat="false" ht="15" hidden="false" customHeight="false" outlineLevel="0" collapsed="false">
      <c r="A542" s="12" t="n">
        <v>4</v>
      </c>
      <c r="B542" s="13" t="n">
        <f aca="false">IF(ISNUMBER(A542),ROUND(A542/Results!$C$5,0)*Results!$C$5,"")</f>
        <v>4</v>
      </c>
    </row>
    <row r="543" customFormat="false" ht="15" hidden="false" customHeight="false" outlineLevel="0" collapsed="false">
      <c r="A543" s="12" t="n">
        <v>4.5</v>
      </c>
      <c r="B543" s="13" t="n">
        <f aca="false">IF(ISNUMBER(A543),ROUND(A543/Results!$C$5,0)*Results!$C$5,"")</f>
        <v>4.5</v>
      </c>
    </row>
    <row r="544" customFormat="false" ht="15" hidden="false" customHeight="false" outlineLevel="0" collapsed="false">
      <c r="A544" s="12" t="n">
        <v>4</v>
      </c>
      <c r="B544" s="13" t="n">
        <f aca="false">IF(ISNUMBER(A544),ROUND(A544/Results!$C$5,0)*Results!$C$5,"")</f>
        <v>4</v>
      </c>
    </row>
    <row r="545" customFormat="false" ht="15" hidden="false" customHeight="false" outlineLevel="0" collapsed="false">
      <c r="A545" s="12" t="n">
        <v>4.6</v>
      </c>
      <c r="B545" s="13" t="n">
        <f aca="false">IF(ISNUMBER(A545),ROUND(A545/Results!$C$5,0)*Results!$C$5,"")</f>
        <v>4.6</v>
      </c>
    </row>
    <row r="546" customFormat="false" ht="15" hidden="false" customHeight="false" outlineLevel="0" collapsed="false">
      <c r="A546" s="12" t="n">
        <v>4.3</v>
      </c>
      <c r="B546" s="13" t="n">
        <f aca="false">IF(ISNUMBER(A546),ROUND(A546/Results!$C$5,0)*Results!$C$5,"")</f>
        <v>4.3</v>
      </c>
    </row>
    <row r="547" customFormat="false" ht="15" hidden="false" customHeight="false" outlineLevel="0" collapsed="false">
      <c r="A547" s="12" t="n">
        <v>4.3</v>
      </c>
      <c r="B547" s="13" t="n">
        <f aca="false">IF(ISNUMBER(A547),ROUND(A547/Results!$C$5,0)*Results!$C$5,"")</f>
        <v>4.3</v>
      </c>
    </row>
    <row r="548" customFormat="false" ht="15" hidden="false" customHeight="false" outlineLevel="0" collapsed="false">
      <c r="A548" s="12" t="n">
        <v>4.9</v>
      </c>
      <c r="B548" s="13" t="n">
        <f aca="false">IF(ISNUMBER(A548),ROUND(A548/Results!$C$5,0)*Results!$C$5,"")</f>
        <v>4.9</v>
      </c>
    </row>
    <row r="549" customFormat="false" ht="15" hidden="false" customHeight="false" outlineLevel="0" collapsed="false">
      <c r="A549" s="12" t="n">
        <v>4.7</v>
      </c>
      <c r="B549" s="13" t="n">
        <f aca="false">IF(ISNUMBER(A549),ROUND(A549/Results!$C$5,0)*Results!$C$5,"")</f>
        <v>4.7</v>
      </c>
    </row>
    <row r="550" customFormat="false" ht="15" hidden="false" customHeight="false" outlineLevel="0" collapsed="false">
      <c r="A550" s="12" t="n">
        <v>4.3</v>
      </c>
      <c r="B550" s="13" t="n">
        <f aca="false">IF(ISNUMBER(A550),ROUND(A550/Results!$C$5,0)*Results!$C$5,"")</f>
        <v>4.3</v>
      </c>
    </row>
    <row r="551" customFormat="false" ht="15" hidden="false" customHeight="false" outlineLevel="0" collapsed="false">
      <c r="A551" s="12" t="n">
        <v>5.2</v>
      </c>
      <c r="B551" s="13" t="n">
        <f aca="false">IF(ISNUMBER(A551),ROUND(A551/Results!$C$5,0)*Results!$C$5,"")</f>
        <v>5.2</v>
      </c>
    </row>
    <row r="552" customFormat="false" ht="15" hidden="false" customHeight="false" outlineLevel="0" collapsed="false">
      <c r="A552" s="12" t="n">
        <v>4.7</v>
      </c>
      <c r="B552" s="13" t="n">
        <f aca="false">IF(ISNUMBER(A552),ROUND(A552/Results!$C$5,0)*Results!$C$5,"")</f>
        <v>4.7</v>
      </c>
    </row>
    <row r="553" customFormat="false" ht="15" hidden="false" customHeight="false" outlineLevel="0" collapsed="false">
      <c r="A553" s="12" t="n">
        <v>4.1</v>
      </c>
      <c r="B553" s="13" t="n">
        <f aca="false">IF(ISNUMBER(A553),ROUND(A553/Results!$C$5,0)*Results!$C$5,"")</f>
        <v>4.1</v>
      </c>
    </row>
    <row r="554" customFormat="false" ht="15" hidden="false" customHeight="false" outlineLevel="0" collapsed="false">
      <c r="A554" s="12" t="n">
        <v>4</v>
      </c>
      <c r="B554" s="13" t="n">
        <f aca="false">IF(ISNUMBER(A554),ROUND(A554/Results!$C$5,0)*Results!$C$5,"")</f>
        <v>4</v>
      </c>
    </row>
    <row r="555" customFormat="false" ht="15" hidden="false" customHeight="false" outlineLevel="0" collapsed="false">
      <c r="A555" s="12" t="n">
        <v>4.2</v>
      </c>
      <c r="B555" s="13" t="n">
        <f aca="false">IF(ISNUMBER(A555),ROUND(A555/Results!$C$5,0)*Results!$C$5,"")</f>
        <v>4.2</v>
      </c>
    </row>
    <row r="556" customFormat="false" ht="15" hidden="false" customHeight="false" outlineLevel="0" collapsed="false">
      <c r="A556" s="12" t="n">
        <v>4.3</v>
      </c>
      <c r="B556" s="13" t="n">
        <f aca="false">IF(ISNUMBER(A556),ROUND(A556/Results!$C$5,0)*Results!$C$5,"")</f>
        <v>4.3</v>
      </c>
    </row>
    <row r="557" customFormat="false" ht="15" hidden="false" customHeight="false" outlineLevel="0" collapsed="false">
      <c r="A557" s="12" t="n">
        <v>4</v>
      </c>
      <c r="B557" s="13" t="n">
        <f aca="false">IF(ISNUMBER(A557),ROUND(A557/Results!$C$5,0)*Results!$C$5,"")</f>
        <v>4</v>
      </c>
    </row>
    <row r="558" customFormat="false" ht="15" hidden="false" customHeight="false" outlineLevel="0" collapsed="false">
      <c r="A558" s="12" t="n">
        <v>4.2</v>
      </c>
      <c r="B558" s="13" t="n">
        <f aca="false">IF(ISNUMBER(A558),ROUND(A558/Results!$C$5,0)*Results!$C$5,"")</f>
        <v>4.2</v>
      </c>
    </row>
    <row r="559" customFormat="false" ht="15" hidden="false" customHeight="false" outlineLevel="0" collapsed="false">
      <c r="A559" s="12" t="n">
        <v>4.2</v>
      </c>
      <c r="B559" s="13" t="n">
        <f aca="false">IF(ISNUMBER(A559),ROUND(A559/Results!$C$5,0)*Results!$C$5,"")</f>
        <v>4.2</v>
      </c>
    </row>
    <row r="560" customFormat="false" ht="15" hidden="false" customHeight="false" outlineLevel="0" collapsed="false">
      <c r="A560" s="12" t="n">
        <v>4.2</v>
      </c>
      <c r="B560" s="13" t="n">
        <f aca="false">IF(ISNUMBER(A560),ROUND(A560/Results!$C$5,0)*Results!$C$5,"")</f>
        <v>4.2</v>
      </c>
    </row>
    <row r="561" customFormat="false" ht="15" hidden="false" customHeight="false" outlineLevel="0" collapsed="false">
      <c r="A561" s="12" t="n">
        <v>4.1</v>
      </c>
      <c r="B561" s="13" t="n">
        <f aca="false">IF(ISNUMBER(A561),ROUND(A561/Results!$C$5,0)*Results!$C$5,"")</f>
        <v>4.1</v>
      </c>
    </row>
    <row r="562" customFormat="false" ht="15" hidden="false" customHeight="false" outlineLevel="0" collapsed="false">
      <c r="A562" s="12" t="n">
        <v>4</v>
      </c>
      <c r="B562" s="13" t="n">
        <f aca="false">IF(ISNUMBER(A562),ROUND(A562/Results!$C$5,0)*Results!$C$5,"")</f>
        <v>4</v>
      </c>
    </row>
    <row r="563" customFormat="false" ht="15" hidden="false" customHeight="false" outlineLevel="0" collapsed="false">
      <c r="A563" s="12" t="n">
        <v>5</v>
      </c>
      <c r="B563" s="13" t="n">
        <f aca="false">IF(ISNUMBER(A563),ROUND(A563/Results!$C$5,0)*Results!$C$5,"")</f>
        <v>5</v>
      </c>
    </row>
    <row r="564" customFormat="false" ht="15" hidden="false" customHeight="false" outlineLevel="0" collapsed="false">
      <c r="A564" s="12" t="n">
        <v>4.6</v>
      </c>
      <c r="B564" s="13" t="n">
        <f aca="false">IF(ISNUMBER(A564),ROUND(A564/Results!$C$5,0)*Results!$C$5,"")</f>
        <v>4.6</v>
      </c>
    </row>
    <row r="565" customFormat="false" ht="15" hidden="false" customHeight="false" outlineLevel="0" collapsed="false">
      <c r="A565" s="12" t="n">
        <v>4.4</v>
      </c>
      <c r="B565" s="13" t="n">
        <f aca="false">IF(ISNUMBER(A565),ROUND(A565/Results!$C$5,0)*Results!$C$5,"")</f>
        <v>4.4</v>
      </c>
    </row>
    <row r="566" customFormat="false" ht="15" hidden="false" customHeight="false" outlineLevel="0" collapsed="false">
      <c r="A566" s="12" t="n">
        <v>4.6</v>
      </c>
      <c r="B566" s="13" t="n">
        <f aca="false">IF(ISNUMBER(A566),ROUND(A566/Results!$C$5,0)*Results!$C$5,"")</f>
        <v>4.6</v>
      </c>
    </row>
    <row r="567" customFormat="false" ht="15" hidden="false" customHeight="false" outlineLevel="0" collapsed="false">
      <c r="A567" s="12" t="n">
        <v>4.2</v>
      </c>
      <c r="B567" s="13" t="n">
        <f aca="false">IF(ISNUMBER(A567),ROUND(A567/Results!$C$5,0)*Results!$C$5,"")</f>
        <v>4.2</v>
      </c>
    </row>
    <row r="568" customFormat="false" ht="15" hidden="false" customHeight="false" outlineLevel="0" collapsed="false">
      <c r="A568" s="12" t="n">
        <v>4</v>
      </c>
      <c r="B568" s="13" t="n">
        <f aca="false">IF(ISNUMBER(A568),ROUND(A568/Results!$C$5,0)*Results!$C$5,"")</f>
        <v>4</v>
      </c>
    </row>
    <row r="569" customFormat="false" ht="15" hidden="false" customHeight="false" outlineLevel="0" collapsed="false">
      <c r="A569" s="12" t="n">
        <v>4.5</v>
      </c>
      <c r="B569" s="13" t="n">
        <f aca="false">IF(ISNUMBER(A569),ROUND(A569/Results!$C$5,0)*Results!$C$5,"")</f>
        <v>4.5</v>
      </c>
    </row>
    <row r="570" customFormat="false" ht="15" hidden="false" customHeight="false" outlineLevel="0" collapsed="false">
      <c r="A570" s="12" t="n">
        <v>4.1</v>
      </c>
      <c r="B570" s="13" t="n">
        <f aca="false">IF(ISNUMBER(A570),ROUND(A570/Results!$C$5,0)*Results!$C$5,"")</f>
        <v>4.1</v>
      </c>
    </row>
    <row r="571" customFormat="false" ht="15" hidden="false" customHeight="false" outlineLevel="0" collapsed="false">
      <c r="A571" s="12" t="n">
        <v>4.1</v>
      </c>
      <c r="B571" s="13" t="n">
        <f aca="false">IF(ISNUMBER(A571),ROUND(A571/Results!$C$5,0)*Results!$C$5,"")</f>
        <v>4.1</v>
      </c>
    </row>
    <row r="572" customFormat="false" ht="15" hidden="false" customHeight="false" outlineLevel="0" collapsed="false">
      <c r="A572" s="12" t="n">
        <v>4.3</v>
      </c>
      <c r="B572" s="13" t="n">
        <f aca="false">IF(ISNUMBER(A572),ROUND(A572/Results!$C$5,0)*Results!$C$5,"")</f>
        <v>4.3</v>
      </c>
    </row>
    <row r="573" customFormat="false" ht="15" hidden="false" customHeight="false" outlineLevel="0" collapsed="false">
      <c r="A573" s="12" t="n">
        <v>6.4</v>
      </c>
      <c r="B573" s="13" t="n">
        <f aca="false">IF(ISNUMBER(A573),ROUND(A573/Results!$C$5,0)*Results!$C$5,"")</f>
        <v>6.4</v>
      </c>
    </row>
    <row r="574" customFormat="false" ht="15" hidden="false" customHeight="false" outlineLevel="0" collapsed="false">
      <c r="A574" s="12" t="n">
        <v>4.1</v>
      </c>
      <c r="B574" s="13" t="n">
        <f aca="false">IF(ISNUMBER(A574),ROUND(A574/Results!$C$5,0)*Results!$C$5,"")</f>
        <v>4.1</v>
      </c>
    </row>
    <row r="575" customFormat="false" ht="15" hidden="false" customHeight="false" outlineLevel="0" collapsed="false">
      <c r="A575" s="12" t="n">
        <v>4.3</v>
      </c>
      <c r="B575" s="13" t="n">
        <f aca="false">IF(ISNUMBER(A575),ROUND(A575/Results!$C$5,0)*Results!$C$5,"")</f>
        <v>4.3</v>
      </c>
    </row>
    <row r="576" customFormat="false" ht="15" hidden="false" customHeight="false" outlineLevel="0" collapsed="false">
      <c r="A576" s="12" t="n">
        <v>4.9</v>
      </c>
      <c r="B576" s="13" t="n">
        <f aca="false">IF(ISNUMBER(A576),ROUND(A576/Results!$C$5,0)*Results!$C$5,"")</f>
        <v>4.9</v>
      </c>
    </row>
    <row r="577" customFormat="false" ht="15" hidden="false" customHeight="false" outlineLevel="0" collapsed="false">
      <c r="A577" s="12" t="n">
        <v>4.5</v>
      </c>
      <c r="B577" s="13" t="n">
        <f aca="false">IF(ISNUMBER(A577),ROUND(A577/Results!$C$5,0)*Results!$C$5,"")</f>
        <v>4.5</v>
      </c>
    </row>
    <row r="578" customFormat="false" ht="15" hidden="false" customHeight="false" outlineLevel="0" collapsed="false">
      <c r="A578" s="12" t="n">
        <v>4.1</v>
      </c>
      <c r="B578" s="13" t="n">
        <f aca="false">IF(ISNUMBER(A578),ROUND(A578/Results!$C$5,0)*Results!$C$5,"")</f>
        <v>4.1</v>
      </c>
    </row>
    <row r="579" customFormat="false" ht="15" hidden="false" customHeight="false" outlineLevel="0" collapsed="false">
      <c r="A579" s="12" t="n">
        <v>4</v>
      </c>
      <c r="B579" s="13" t="n">
        <f aca="false">IF(ISNUMBER(A579),ROUND(A579/Results!$C$5,0)*Results!$C$5,"")</f>
        <v>4</v>
      </c>
    </row>
    <row r="580" customFormat="false" ht="15" hidden="false" customHeight="false" outlineLevel="0" collapsed="false">
      <c r="A580" s="12" t="n">
        <v>4.4</v>
      </c>
      <c r="B580" s="13" t="n">
        <f aca="false">IF(ISNUMBER(A580),ROUND(A580/Results!$C$5,0)*Results!$C$5,"")</f>
        <v>4.4</v>
      </c>
    </row>
    <row r="581" customFormat="false" ht="15" hidden="false" customHeight="false" outlineLevel="0" collapsed="false">
      <c r="A581" s="12" t="n">
        <v>4</v>
      </c>
      <c r="B581" s="13" t="n">
        <f aca="false">IF(ISNUMBER(A581),ROUND(A581/Results!$C$5,0)*Results!$C$5,"")</f>
        <v>4</v>
      </c>
    </row>
    <row r="582" customFormat="false" ht="15" hidden="false" customHeight="false" outlineLevel="0" collapsed="false">
      <c r="A582" s="12" t="n">
        <v>4.2</v>
      </c>
      <c r="B582" s="13" t="n">
        <f aca="false">IF(ISNUMBER(A582),ROUND(A582/Results!$C$5,0)*Results!$C$5,"")</f>
        <v>4.2</v>
      </c>
    </row>
    <row r="583" customFormat="false" ht="15" hidden="false" customHeight="false" outlineLevel="0" collapsed="false">
      <c r="A583" s="12" t="n">
        <v>4</v>
      </c>
      <c r="B583" s="13" t="n">
        <f aca="false">IF(ISNUMBER(A583),ROUND(A583/Results!$C$5,0)*Results!$C$5,"")</f>
        <v>4</v>
      </c>
    </row>
    <row r="584" customFormat="false" ht="15" hidden="false" customHeight="false" outlineLevel="0" collapsed="false">
      <c r="A584" s="12" t="n">
        <v>4.2</v>
      </c>
      <c r="B584" s="13" t="n">
        <f aca="false">IF(ISNUMBER(A584),ROUND(A584/Results!$C$5,0)*Results!$C$5,"")</f>
        <v>4.2</v>
      </c>
    </row>
    <row r="585" customFormat="false" ht="15" hidden="false" customHeight="false" outlineLevel="0" collapsed="false">
      <c r="A585" s="12" t="n">
        <v>4.1</v>
      </c>
      <c r="B585" s="13" t="n">
        <f aca="false">IF(ISNUMBER(A585),ROUND(A585/Results!$C$5,0)*Results!$C$5,"")</f>
        <v>4.1</v>
      </c>
    </row>
    <row r="586" customFormat="false" ht="15" hidden="false" customHeight="false" outlineLevel="0" collapsed="false">
      <c r="A586" s="12" t="n">
        <v>4.1</v>
      </c>
      <c r="B586" s="13" t="n">
        <f aca="false">IF(ISNUMBER(A586),ROUND(A586/Results!$C$5,0)*Results!$C$5,"")</f>
        <v>4.1</v>
      </c>
    </row>
    <row r="587" customFormat="false" ht="15" hidden="false" customHeight="false" outlineLevel="0" collapsed="false">
      <c r="A587" s="12" t="n">
        <v>4</v>
      </c>
      <c r="B587" s="13" t="n">
        <f aca="false">IF(ISNUMBER(A587),ROUND(A587/Results!$C$5,0)*Results!$C$5,"")</f>
        <v>4</v>
      </c>
    </row>
    <row r="588" customFormat="false" ht="15" hidden="false" customHeight="false" outlineLevel="0" collapsed="false">
      <c r="A588" s="12" t="n">
        <v>4.5</v>
      </c>
      <c r="B588" s="13" t="n">
        <f aca="false">IF(ISNUMBER(A588),ROUND(A588/Results!$C$5,0)*Results!$C$5,"")</f>
        <v>4.5</v>
      </c>
    </row>
    <row r="589" customFormat="false" ht="15" hidden="false" customHeight="false" outlineLevel="0" collapsed="false">
      <c r="A589" s="12" t="n">
        <v>4.7</v>
      </c>
      <c r="B589" s="13" t="n">
        <f aca="false">IF(ISNUMBER(A589),ROUND(A589/Results!$C$5,0)*Results!$C$5,"")</f>
        <v>4.7</v>
      </c>
    </row>
    <row r="590" customFormat="false" ht="15" hidden="false" customHeight="false" outlineLevel="0" collapsed="false">
      <c r="A590" s="12" t="n">
        <v>5.1</v>
      </c>
      <c r="B590" s="13" t="n">
        <f aca="false">IF(ISNUMBER(A590),ROUND(A590/Results!$C$5,0)*Results!$C$5,"")</f>
        <v>5.1</v>
      </c>
    </row>
    <row r="591" customFormat="false" ht="15" hidden="false" customHeight="false" outlineLevel="0" collapsed="false">
      <c r="A591" s="12" t="n">
        <v>4.1</v>
      </c>
      <c r="B591" s="13" t="n">
        <f aca="false">IF(ISNUMBER(A591),ROUND(A591/Results!$C$5,0)*Results!$C$5,"")</f>
        <v>4.1</v>
      </c>
    </row>
    <row r="592" customFormat="false" ht="15" hidden="false" customHeight="false" outlineLevel="0" collapsed="false">
      <c r="A592" s="12" t="n">
        <v>4.6</v>
      </c>
      <c r="B592" s="13" t="n">
        <f aca="false">IF(ISNUMBER(A592),ROUND(A592/Results!$C$5,0)*Results!$C$5,"")</f>
        <v>4.6</v>
      </c>
    </row>
    <row r="593" customFormat="false" ht="15" hidden="false" customHeight="false" outlineLevel="0" collapsed="false">
      <c r="A593" s="12" t="n">
        <v>4.1</v>
      </c>
      <c r="B593" s="13" t="n">
        <f aca="false">IF(ISNUMBER(A593),ROUND(A593/Results!$C$5,0)*Results!$C$5,"")</f>
        <v>4.1</v>
      </c>
    </row>
    <row r="594" customFormat="false" ht="15" hidden="false" customHeight="false" outlineLevel="0" collapsed="false">
      <c r="A594" s="12" t="n">
        <v>4</v>
      </c>
      <c r="B594" s="13" t="n">
        <f aca="false">IF(ISNUMBER(A594),ROUND(A594/Results!$C$5,0)*Results!$C$5,"")</f>
        <v>4</v>
      </c>
    </row>
    <row r="595" customFormat="false" ht="15" hidden="false" customHeight="false" outlineLevel="0" collapsed="false">
      <c r="A595" s="12" t="n">
        <v>4.8</v>
      </c>
      <c r="B595" s="13" t="n">
        <f aca="false">IF(ISNUMBER(A595),ROUND(A595/Results!$C$5,0)*Results!$C$5,"")</f>
        <v>4.8</v>
      </c>
    </row>
    <row r="596" customFormat="false" ht="15" hidden="false" customHeight="false" outlineLevel="0" collapsed="false">
      <c r="A596" s="12" t="n">
        <v>4.6</v>
      </c>
      <c r="B596" s="13" t="n">
        <f aca="false">IF(ISNUMBER(A596),ROUND(A596/Results!$C$5,0)*Results!$C$5,"")</f>
        <v>4.6</v>
      </c>
    </row>
    <row r="597" customFormat="false" ht="15" hidden="false" customHeight="false" outlineLevel="0" collapsed="false">
      <c r="A597" s="12" t="n">
        <v>4.6</v>
      </c>
      <c r="B597" s="13" t="n">
        <f aca="false">IF(ISNUMBER(A597),ROUND(A597/Results!$C$5,0)*Results!$C$5,"")</f>
        <v>4.6</v>
      </c>
    </row>
    <row r="598" customFormat="false" ht="15" hidden="false" customHeight="false" outlineLevel="0" collapsed="false">
      <c r="A598" s="12" t="n">
        <v>4.2</v>
      </c>
      <c r="B598" s="13" t="n">
        <f aca="false">IF(ISNUMBER(A598),ROUND(A598/Results!$C$5,0)*Results!$C$5,"")</f>
        <v>4.2</v>
      </c>
    </row>
    <row r="599" customFormat="false" ht="15" hidden="false" customHeight="false" outlineLevel="0" collapsed="false">
      <c r="A599" s="12" t="n">
        <v>4.5</v>
      </c>
      <c r="B599" s="13" t="n">
        <f aca="false">IF(ISNUMBER(A599),ROUND(A599/Results!$C$5,0)*Results!$C$5,"")</f>
        <v>4.5</v>
      </c>
    </row>
    <row r="600" customFormat="false" ht="15" hidden="false" customHeight="false" outlineLevel="0" collapsed="false">
      <c r="A600" s="12" t="n">
        <v>4.6</v>
      </c>
      <c r="B600" s="13" t="n">
        <f aca="false">IF(ISNUMBER(A600),ROUND(A600/Results!$C$5,0)*Results!$C$5,"")</f>
        <v>4.6</v>
      </c>
    </row>
    <row r="601" customFormat="false" ht="15" hidden="false" customHeight="false" outlineLevel="0" collapsed="false">
      <c r="A601" s="12" t="n">
        <v>4.6</v>
      </c>
      <c r="B601" s="13" t="n">
        <f aca="false">IF(ISNUMBER(A601),ROUND(A601/Results!$C$5,0)*Results!$C$5,"")</f>
        <v>4.6</v>
      </c>
    </row>
    <row r="602" customFormat="false" ht="15" hidden="false" customHeight="false" outlineLevel="0" collapsed="false">
      <c r="A602" s="12" t="n">
        <v>4.2</v>
      </c>
      <c r="B602" s="13" t="n">
        <f aca="false">IF(ISNUMBER(A602),ROUND(A602/Results!$C$5,0)*Results!$C$5,"")</f>
        <v>4.2</v>
      </c>
    </row>
    <row r="603" customFormat="false" ht="15" hidden="false" customHeight="false" outlineLevel="0" collapsed="false">
      <c r="A603" s="12" t="n">
        <v>4</v>
      </c>
      <c r="B603" s="13" t="n">
        <f aca="false">IF(ISNUMBER(A603),ROUND(A603/Results!$C$5,0)*Results!$C$5,"")</f>
        <v>4</v>
      </c>
    </row>
    <row r="604" customFormat="false" ht="15" hidden="false" customHeight="false" outlineLevel="0" collapsed="false">
      <c r="A604" s="12" t="n">
        <v>4.4</v>
      </c>
      <c r="B604" s="13" t="n">
        <f aca="false">IF(ISNUMBER(A604),ROUND(A604/Results!$C$5,0)*Results!$C$5,"")</f>
        <v>4.4</v>
      </c>
    </row>
    <row r="605" customFormat="false" ht="15" hidden="false" customHeight="false" outlineLevel="0" collapsed="false">
      <c r="A605" s="12" t="n">
        <v>4</v>
      </c>
      <c r="B605" s="13" t="n">
        <f aca="false">IF(ISNUMBER(A605),ROUND(A605/Results!$C$5,0)*Results!$C$5,"")</f>
        <v>4</v>
      </c>
    </row>
    <row r="606" customFormat="false" ht="15" hidden="false" customHeight="false" outlineLevel="0" collapsed="false">
      <c r="A606" s="12" t="n">
        <v>4.2</v>
      </c>
      <c r="B606" s="13" t="n">
        <f aca="false">IF(ISNUMBER(A606),ROUND(A606/Results!$C$5,0)*Results!$C$5,"")</f>
        <v>4.2</v>
      </c>
    </row>
    <row r="607" customFormat="false" ht="15" hidden="false" customHeight="false" outlineLevel="0" collapsed="false">
      <c r="A607" s="12" t="n">
        <v>4.1</v>
      </c>
      <c r="B607" s="13" t="n">
        <f aca="false">IF(ISNUMBER(A607),ROUND(A607/Results!$C$5,0)*Results!$C$5,"")</f>
        <v>4.1</v>
      </c>
    </row>
    <row r="608" customFormat="false" ht="15" hidden="false" customHeight="false" outlineLevel="0" collapsed="false">
      <c r="A608" s="12" t="n">
        <v>4.8</v>
      </c>
      <c r="B608" s="13" t="n">
        <f aca="false">IF(ISNUMBER(A608),ROUND(A608/Results!$C$5,0)*Results!$C$5,"")</f>
        <v>4.8</v>
      </c>
    </row>
    <row r="609" customFormat="false" ht="15" hidden="false" customHeight="false" outlineLevel="0" collapsed="false">
      <c r="A609" s="12" t="n">
        <v>4</v>
      </c>
      <c r="B609" s="13" t="n">
        <f aca="false">IF(ISNUMBER(A609),ROUND(A609/Results!$C$5,0)*Results!$C$5,"")</f>
        <v>4</v>
      </c>
    </row>
    <row r="610" customFormat="false" ht="15" hidden="false" customHeight="false" outlineLevel="0" collapsed="false">
      <c r="A610" s="12" t="n">
        <v>4</v>
      </c>
      <c r="B610" s="13" t="n">
        <f aca="false">IF(ISNUMBER(A610),ROUND(A610/Results!$C$5,0)*Results!$C$5,"")</f>
        <v>4</v>
      </c>
    </row>
    <row r="611" customFormat="false" ht="15" hidden="false" customHeight="false" outlineLevel="0" collapsed="false">
      <c r="A611" s="12" t="n">
        <v>4.3</v>
      </c>
      <c r="B611" s="13" t="n">
        <f aca="false">IF(ISNUMBER(A611),ROUND(A611/Results!$C$5,0)*Results!$C$5,"")</f>
        <v>4.3</v>
      </c>
    </row>
    <row r="612" customFormat="false" ht="15" hidden="false" customHeight="false" outlineLevel="0" collapsed="false">
      <c r="A612" s="12" t="n">
        <v>4.2</v>
      </c>
      <c r="B612" s="13" t="n">
        <f aca="false">IF(ISNUMBER(A612),ROUND(A612/Results!$C$5,0)*Results!$C$5,"")</f>
        <v>4.2</v>
      </c>
    </row>
    <row r="613" customFormat="false" ht="15" hidden="false" customHeight="false" outlineLevel="0" collapsed="false">
      <c r="A613" s="12" t="n">
        <v>4.3</v>
      </c>
      <c r="B613" s="13" t="n">
        <f aca="false">IF(ISNUMBER(A613),ROUND(A613/Results!$C$5,0)*Results!$C$5,"")</f>
        <v>4.3</v>
      </c>
    </row>
    <row r="614" customFormat="false" ht="15" hidden="false" customHeight="false" outlineLevel="0" collapsed="false">
      <c r="A614" s="12" t="n">
        <v>4.3</v>
      </c>
      <c r="B614" s="13" t="n">
        <f aca="false">IF(ISNUMBER(A614),ROUND(A614/Results!$C$5,0)*Results!$C$5,"")</f>
        <v>4.3</v>
      </c>
    </row>
    <row r="615" customFormat="false" ht="15" hidden="false" customHeight="false" outlineLevel="0" collapsed="false">
      <c r="A615" s="12" t="n">
        <v>4.5</v>
      </c>
      <c r="B615" s="13" t="n">
        <f aca="false">IF(ISNUMBER(A615),ROUND(A615/Results!$C$5,0)*Results!$C$5,"")</f>
        <v>4.5</v>
      </c>
    </row>
    <row r="616" customFormat="false" ht="15" hidden="false" customHeight="false" outlineLevel="0" collapsed="false">
      <c r="A616" s="12" t="n">
        <v>4.3</v>
      </c>
      <c r="B616" s="13" t="n">
        <f aca="false">IF(ISNUMBER(A616),ROUND(A616/Results!$C$5,0)*Results!$C$5,"")</f>
        <v>4.3</v>
      </c>
    </row>
    <row r="617" customFormat="false" ht="15" hidden="false" customHeight="false" outlineLevel="0" collapsed="false">
      <c r="A617" s="12" t="n">
        <v>4</v>
      </c>
      <c r="B617" s="13" t="n">
        <f aca="false">IF(ISNUMBER(A617),ROUND(A617/Results!$C$5,0)*Results!$C$5,"")</f>
        <v>4</v>
      </c>
    </row>
    <row r="618" customFormat="false" ht="15" hidden="false" customHeight="false" outlineLevel="0" collapsed="false">
      <c r="A618" s="12" t="n">
        <v>4.7</v>
      </c>
      <c r="B618" s="13" t="n">
        <f aca="false">IF(ISNUMBER(A618),ROUND(A618/Results!$C$5,0)*Results!$C$5,"")</f>
        <v>4.7</v>
      </c>
    </row>
    <row r="619" customFormat="false" ht="15" hidden="false" customHeight="false" outlineLevel="0" collapsed="false">
      <c r="A619" s="12" t="n">
        <v>4.9</v>
      </c>
      <c r="B619" s="13" t="n">
        <f aca="false">IF(ISNUMBER(A619),ROUND(A619/Results!$C$5,0)*Results!$C$5,"")</f>
        <v>4.9</v>
      </c>
    </row>
    <row r="620" customFormat="false" ht="15" hidden="false" customHeight="false" outlineLevel="0" collapsed="false">
      <c r="A620" s="12" t="n">
        <v>4.6</v>
      </c>
      <c r="B620" s="13" t="n">
        <f aca="false">IF(ISNUMBER(A620),ROUND(A620/Results!$C$5,0)*Results!$C$5,"")</f>
        <v>4.6</v>
      </c>
    </row>
    <row r="621" customFormat="false" ht="15" hidden="false" customHeight="false" outlineLevel="0" collapsed="false">
      <c r="A621" s="12" t="n">
        <v>4.9</v>
      </c>
      <c r="B621" s="13" t="n">
        <f aca="false">IF(ISNUMBER(A621),ROUND(A621/Results!$C$5,0)*Results!$C$5,"")</f>
        <v>4.9</v>
      </c>
    </row>
    <row r="622" customFormat="false" ht="15" hidden="false" customHeight="false" outlineLevel="0" collapsed="false">
      <c r="A622" s="12" t="n">
        <v>4.3</v>
      </c>
      <c r="B622" s="13" t="n">
        <f aca="false">IF(ISNUMBER(A622),ROUND(A622/Results!$C$5,0)*Results!$C$5,"")</f>
        <v>4.3</v>
      </c>
    </row>
    <row r="623" customFormat="false" ht="15" hidden="false" customHeight="false" outlineLevel="0" collapsed="false">
      <c r="A623" s="12" t="n">
        <v>4</v>
      </c>
      <c r="B623" s="13" t="n">
        <f aca="false">IF(ISNUMBER(A623),ROUND(A623/Results!$C$5,0)*Results!$C$5,"")</f>
        <v>4</v>
      </c>
    </row>
    <row r="624" customFormat="false" ht="15" hidden="false" customHeight="false" outlineLevel="0" collapsed="false">
      <c r="A624" s="12" t="n">
        <v>4.2</v>
      </c>
      <c r="B624" s="13" t="n">
        <f aca="false">IF(ISNUMBER(A624),ROUND(A624/Results!$C$5,0)*Results!$C$5,"")</f>
        <v>4.2</v>
      </c>
    </row>
    <row r="625" customFormat="false" ht="15" hidden="false" customHeight="false" outlineLevel="0" collapsed="false">
      <c r="A625" s="12" t="n">
        <v>4.1</v>
      </c>
      <c r="B625" s="13" t="n">
        <f aca="false">IF(ISNUMBER(A625),ROUND(A625/Results!$C$5,0)*Results!$C$5,"")</f>
        <v>4.1</v>
      </c>
    </row>
    <row r="626" customFormat="false" ht="15" hidden="false" customHeight="false" outlineLevel="0" collapsed="false">
      <c r="A626" s="12" t="n">
        <v>4.7</v>
      </c>
      <c r="B626" s="13" t="n">
        <f aca="false">IF(ISNUMBER(A626),ROUND(A626/Results!$C$5,0)*Results!$C$5,"")</f>
        <v>4.7</v>
      </c>
    </row>
    <row r="627" customFormat="false" ht="15" hidden="false" customHeight="false" outlineLevel="0" collapsed="false">
      <c r="A627" s="12" t="n">
        <v>4.1</v>
      </c>
      <c r="B627" s="13" t="n">
        <f aca="false">IF(ISNUMBER(A627),ROUND(A627/Results!$C$5,0)*Results!$C$5,"")</f>
        <v>4.1</v>
      </c>
    </row>
    <row r="628" customFormat="false" ht="15" hidden="false" customHeight="false" outlineLevel="0" collapsed="false">
      <c r="A628" s="12" t="n">
        <v>4.4</v>
      </c>
      <c r="B628" s="13" t="n">
        <f aca="false">IF(ISNUMBER(A628),ROUND(A628/Results!$C$5,0)*Results!$C$5,"")</f>
        <v>4.4</v>
      </c>
    </row>
    <row r="629" customFormat="false" ht="15" hidden="false" customHeight="false" outlineLevel="0" collapsed="false">
      <c r="A629" s="12" t="n">
        <v>4</v>
      </c>
      <c r="B629" s="13" t="n">
        <f aca="false">IF(ISNUMBER(A629),ROUND(A629/Results!$C$5,0)*Results!$C$5,"")</f>
        <v>4</v>
      </c>
    </row>
    <row r="630" customFormat="false" ht="15" hidden="false" customHeight="false" outlineLevel="0" collapsed="false">
      <c r="A630" s="12" t="n">
        <v>4.3</v>
      </c>
      <c r="B630" s="13" t="n">
        <f aca="false">IF(ISNUMBER(A630),ROUND(A630/Results!$C$5,0)*Results!$C$5,"")</f>
        <v>4.3</v>
      </c>
    </row>
    <row r="631" customFormat="false" ht="15" hidden="false" customHeight="false" outlineLevel="0" collapsed="false">
      <c r="A631" s="12" t="n">
        <v>4.2</v>
      </c>
      <c r="B631" s="13" t="n">
        <f aca="false">IF(ISNUMBER(A631),ROUND(A631/Results!$C$5,0)*Results!$C$5,"")</f>
        <v>4.2</v>
      </c>
    </row>
    <row r="632" customFormat="false" ht="15" hidden="false" customHeight="false" outlineLevel="0" collapsed="false">
      <c r="A632" s="12" t="n">
        <v>4.4</v>
      </c>
      <c r="B632" s="13" t="n">
        <f aca="false">IF(ISNUMBER(A632),ROUND(A632/Results!$C$5,0)*Results!$C$5,"")</f>
        <v>4.4</v>
      </c>
    </row>
    <row r="633" customFormat="false" ht="15" hidden="false" customHeight="false" outlineLevel="0" collapsed="false">
      <c r="A633" s="12" t="n">
        <v>4.1</v>
      </c>
      <c r="B633" s="13" t="n">
        <f aca="false">IF(ISNUMBER(A633),ROUND(A633/Results!$C$5,0)*Results!$C$5,"")</f>
        <v>4.1</v>
      </c>
    </row>
    <row r="634" customFormat="false" ht="15" hidden="false" customHeight="false" outlineLevel="0" collapsed="false">
      <c r="A634" s="12" t="n">
        <v>4.2</v>
      </c>
      <c r="B634" s="13" t="n">
        <f aca="false">IF(ISNUMBER(A634),ROUND(A634/Results!$C$5,0)*Results!$C$5,"")</f>
        <v>4.2</v>
      </c>
    </row>
    <row r="635" customFormat="false" ht="15" hidden="false" customHeight="false" outlineLevel="0" collapsed="false">
      <c r="A635" s="12" t="n">
        <v>4.5</v>
      </c>
      <c r="B635" s="13" t="n">
        <f aca="false">IF(ISNUMBER(A635),ROUND(A635/Results!$C$5,0)*Results!$C$5,"")</f>
        <v>4.5</v>
      </c>
    </row>
    <row r="636" customFormat="false" ht="15" hidden="false" customHeight="false" outlineLevel="0" collapsed="false">
      <c r="A636" s="12" t="n">
        <v>4.1</v>
      </c>
      <c r="B636" s="13" t="n">
        <f aca="false">IF(ISNUMBER(A636),ROUND(A636/Results!$C$5,0)*Results!$C$5,"")</f>
        <v>4.1</v>
      </c>
    </row>
    <row r="637" customFormat="false" ht="15" hidden="false" customHeight="false" outlineLevel="0" collapsed="false">
      <c r="A637" s="12" t="n">
        <v>4</v>
      </c>
      <c r="B637" s="13" t="n">
        <f aca="false">IF(ISNUMBER(A637),ROUND(A637/Results!$C$5,0)*Results!$C$5,"")</f>
        <v>4</v>
      </c>
    </row>
    <row r="638" customFormat="false" ht="15" hidden="false" customHeight="false" outlineLevel="0" collapsed="false">
      <c r="A638" s="12" t="n">
        <v>4.4</v>
      </c>
      <c r="B638" s="13" t="n">
        <f aca="false">IF(ISNUMBER(A638),ROUND(A638/Results!$C$5,0)*Results!$C$5,"")</f>
        <v>4.4</v>
      </c>
    </row>
    <row r="639" customFormat="false" ht="15" hidden="false" customHeight="false" outlineLevel="0" collapsed="false">
      <c r="A639" s="12" t="n">
        <v>4.5</v>
      </c>
      <c r="B639" s="13" t="n">
        <f aca="false">IF(ISNUMBER(A639),ROUND(A639/Results!$C$5,0)*Results!$C$5,"")</f>
        <v>4.5</v>
      </c>
    </row>
    <row r="640" customFormat="false" ht="15" hidden="false" customHeight="false" outlineLevel="0" collapsed="false">
      <c r="A640" s="12" t="n">
        <v>4.9</v>
      </c>
      <c r="B640" s="13" t="n">
        <f aca="false">IF(ISNUMBER(A640),ROUND(A640/Results!$C$5,0)*Results!$C$5,"")</f>
        <v>4.9</v>
      </c>
    </row>
    <row r="641" customFormat="false" ht="15" hidden="false" customHeight="false" outlineLevel="0" collapsed="false">
      <c r="A641" s="12" t="n">
        <v>4.7</v>
      </c>
      <c r="B641" s="13" t="n">
        <f aca="false">IF(ISNUMBER(A641),ROUND(A641/Results!$C$5,0)*Results!$C$5,"")</f>
        <v>4.7</v>
      </c>
    </row>
    <row r="642" customFormat="false" ht="15" hidden="false" customHeight="false" outlineLevel="0" collapsed="false">
      <c r="A642" s="12" t="n">
        <v>4</v>
      </c>
      <c r="B642" s="13" t="n">
        <f aca="false">IF(ISNUMBER(A642),ROUND(A642/Results!$C$5,0)*Results!$C$5,"")</f>
        <v>4</v>
      </c>
    </row>
    <row r="643" customFormat="false" ht="15" hidden="false" customHeight="false" outlineLevel="0" collapsed="false">
      <c r="A643" s="12" t="n">
        <v>4</v>
      </c>
      <c r="B643" s="13" t="n">
        <f aca="false">IF(ISNUMBER(A643),ROUND(A643/Results!$C$5,0)*Results!$C$5,"")</f>
        <v>4</v>
      </c>
    </row>
    <row r="644" customFormat="false" ht="15" hidden="false" customHeight="false" outlineLevel="0" collapsed="false">
      <c r="A644" s="12" t="n">
        <v>4</v>
      </c>
      <c r="B644" s="13" t="n">
        <f aca="false">IF(ISNUMBER(A644),ROUND(A644/Results!$C$5,0)*Results!$C$5,"")</f>
        <v>4</v>
      </c>
    </row>
    <row r="645" customFormat="false" ht="15" hidden="false" customHeight="false" outlineLevel="0" collapsed="false">
      <c r="A645" s="12" t="n">
        <v>5.5</v>
      </c>
      <c r="B645" s="13" t="n">
        <f aca="false">IF(ISNUMBER(A645),ROUND(A645/Results!$C$5,0)*Results!$C$5,"")</f>
        <v>5.5</v>
      </c>
    </row>
    <row r="646" customFormat="false" ht="15" hidden="false" customHeight="false" outlineLevel="0" collapsed="false">
      <c r="A646" s="12" t="n">
        <v>4.1</v>
      </c>
      <c r="B646" s="13" t="n">
        <f aca="false">IF(ISNUMBER(A646),ROUND(A646/Results!$C$5,0)*Results!$C$5,"")</f>
        <v>4.1</v>
      </c>
    </row>
    <row r="647" customFormat="false" ht="15" hidden="false" customHeight="false" outlineLevel="0" collapsed="false">
      <c r="A647" s="12" t="n">
        <v>4.1</v>
      </c>
      <c r="B647" s="13" t="n">
        <f aca="false">IF(ISNUMBER(A647),ROUND(A647/Results!$C$5,0)*Results!$C$5,"")</f>
        <v>4.1</v>
      </c>
    </row>
    <row r="648" customFormat="false" ht="15" hidden="false" customHeight="false" outlineLevel="0" collapsed="false">
      <c r="A648" s="12" t="n">
        <v>4.3</v>
      </c>
      <c r="B648" s="13" t="n">
        <f aca="false">IF(ISNUMBER(A648),ROUND(A648/Results!$C$5,0)*Results!$C$5,"")</f>
        <v>4.3</v>
      </c>
    </row>
    <row r="649" customFormat="false" ht="15" hidden="false" customHeight="false" outlineLevel="0" collapsed="false">
      <c r="A649" s="12" t="n">
        <v>4.7</v>
      </c>
      <c r="B649" s="13" t="n">
        <f aca="false">IF(ISNUMBER(A649),ROUND(A649/Results!$C$5,0)*Results!$C$5,"")</f>
        <v>4.7</v>
      </c>
    </row>
    <row r="650" customFormat="false" ht="15" hidden="false" customHeight="false" outlineLevel="0" collapsed="false">
      <c r="A650" s="12" t="n">
        <v>4.4</v>
      </c>
      <c r="B650" s="13" t="n">
        <f aca="false">IF(ISNUMBER(A650),ROUND(A650/Results!$C$5,0)*Results!$C$5,"")</f>
        <v>4.4</v>
      </c>
    </row>
    <row r="651" customFormat="false" ht="15" hidden="false" customHeight="false" outlineLevel="0" collapsed="false">
      <c r="A651" s="12" t="n">
        <v>4.1</v>
      </c>
      <c r="B651" s="13" t="n">
        <f aca="false">IF(ISNUMBER(A651),ROUND(A651/Results!$C$5,0)*Results!$C$5,"")</f>
        <v>4.1</v>
      </c>
    </row>
    <row r="652" customFormat="false" ht="15" hidden="false" customHeight="false" outlineLevel="0" collapsed="false">
      <c r="A652" s="12" t="n">
        <v>4.1</v>
      </c>
      <c r="B652" s="13" t="n">
        <f aca="false">IF(ISNUMBER(A652),ROUND(A652/Results!$C$5,0)*Results!$C$5,"")</f>
        <v>4.1</v>
      </c>
    </row>
    <row r="653" customFormat="false" ht="15" hidden="false" customHeight="false" outlineLevel="0" collapsed="false">
      <c r="A653" s="12" t="n">
        <v>4</v>
      </c>
      <c r="B653" s="13" t="n">
        <f aca="false">IF(ISNUMBER(A653),ROUND(A653/Results!$C$5,0)*Results!$C$5,"")</f>
        <v>4</v>
      </c>
    </row>
    <row r="654" customFormat="false" ht="15" hidden="false" customHeight="false" outlineLevel="0" collapsed="false">
      <c r="A654" s="12" t="n">
        <v>4.1</v>
      </c>
      <c r="B654" s="13" t="n">
        <f aca="false">IF(ISNUMBER(A654),ROUND(A654/Results!$C$5,0)*Results!$C$5,"")</f>
        <v>4.1</v>
      </c>
    </row>
    <row r="655" customFormat="false" ht="15" hidden="false" customHeight="false" outlineLevel="0" collapsed="false">
      <c r="A655" s="12" t="n">
        <v>4.3</v>
      </c>
      <c r="B655" s="13" t="n">
        <f aca="false">IF(ISNUMBER(A655),ROUND(A655/Results!$C$5,0)*Results!$C$5,"")</f>
        <v>4.3</v>
      </c>
    </row>
    <row r="656" customFormat="false" ht="15" hidden="false" customHeight="false" outlineLevel="0" collapsed="false">
      <c r="A656" s="12" t="n">
        <v>4</v>
      </c>
      <c r="B656" s="13" t="n">
        <f aca="false">IF(ISNUMBER(A656),ROUND(A656/Results!$C$5,0)*Results!$C$5,"")</f>
        <v>4</v>
      </c>
    </row>
    <row r="657" customFormat="false" ht="15" hidden="false" customHeight="false" outlineLevel="0" collapsed="false">
      <c r="A657" s="12" t="n">
        <v>4.1</v>
      </c>
      <c r="B657" s="13" t="n">
        <f aca="false">IF(ISNUMBER(A657),ROUND(A657/Results!$C$5,0)*Results!$C$5,"")</f>
        <v>4.1</v>
      </c>
    </row>
    <row r="658" customFormat="false" ht="15" hidden="false" customHeight="false" outlineLevel="0" collapsed="false">
      <c r="A658" s="12" t="n">
        <v>4.1</v>
      </c>
      <c r="B658" s="13" t="n">
        <f aca="false">IF(ISNUMBER(A658),ROUND(A658/Results!$C$5,0)*Results!$C$5,"")</f>
        <v>4.1</v>
      </c>
    </row>
    <row r="659" customFormat="false" ht="15" hidden="false" customHeight="false" outlineLevel="0" collapsed="false">
      <c r="A659" s="12" t="n">
        <v>4.4</v>
      </c>
      <c r="B659" s="13" t="n">
        <f aca="false">IF(ISNUMBER(A659),ROUND(A659/Results!$C$5,0)*Results!$C$5,"")</f>
        <v>4.4</v>
      </c>
    </row>
    <row r="660" customFormat="false" ht="15" hidden="false" customHeight="false" outlineLevel="0" collapsed="false">
      <c r="A660" s="12" t="n">
        <v>4</v>
      </c>
      <c r="B660" s="13" t="n">
        <f aca="false">IF(ISNUMBER(A660),ROUND(A660/Results!$C$5,0)*Results!$C$5,"")</f>
        <v>4</v>
      </c>
    </row>
    <row r="661" customFormat="false" ht="15" hidden="false" customHeight="false" outlineLevel="0" collapsed="false">
      <c r="A661" s="12" t="n">
        <v>4.4</v>
      </c>
      <c r="B661" s="13" t="n">
        <f aca="false">IF(ISNUMBER(A661),ROUND(A661/Results!$C$5,0)*Results!$C$5,"")</f>
        <v>4.4</v>
      </c>
    </row>
    <row r="662" customFormat="false" ht="15" hidden="false" customHeight="false" outlineLevel="0" collapsed="false">
      <c r="A662" s="12" t="n">
        <v>4.3</v>
      </c>
      <c r="B662" s="13" t="n">
        <f aca="false">IF(ISNUMBER(A662),ROUND(A662/Results!$C$5,0)*Results!$C$5,"")</f>
        <v>4.3</v>
      </c>
    </row>
    <row r="663" customFormat="false" ht="15" hidden="false" customHeight="false" outlineLevel="0" collapsed="false">
      <c r="A663" s="12" t="n">
        <v>4.7</v>
      </c>
      <c r="B663" s="13" t="n">
        <f aca="false">IF(ISNUMBER(A663),ROUND(A663/Results!$C$5,0)*Results!$C$5,"")</f>
        <v>4.7</v>
      </c>
    </row>
    <row r="664" customFormat="false" ht="15" hidden="false" customHeight="false" outlineLevel="0" collapsed="false">
      <c r="A664" s="12" t="n">
        <v>4.5</v>
      </c>
      <c r="B664" s="13" t="n">
        <f aca="false">IF(ISNUMBER(A664),ROUND(A664/Results!$C$5,0)*Results!$C$5,"")</f>
        <v>4.5</v>
      </c>
    </row>
    <row r="665" customFormat="false" ht="15" hidden="false" customHeight="false" outlineLevel="0" collapsed="false">
      <c r="A665" s="12" t="n">
        <v>4.9</v>
      </c>
      <c r="B665" s="13" t="n">
        <f aca="false">IF(ISNUMBER(A665),ROUND(A665/Results!$C$5,0)*Results!$C$5,"")</f>
        <v>4.9</v>
      </c>
    </row>
    <row r="666" customFormat="false" ht="15" hidden="false" customHeight="false" outlineLevel="0" collapsed="false">
      <c r="A666" s="12" t="n">
        <v>4.1</v>
      </c>
      <c r="B666" s="13" t="n">
        <f aca="false">IF(ISNUMBER(A666),ROUND(A666/Results!$C$5,0)*Results!$C$5,"")</f>
        <v>4.1</v>
      </c>
    </row>
    <row r="667" customFormat="false" ht="15" hidden="false" customHeight="false" outlineLevel="0" collapsed="false">
      <c r="A667" s="12" t="n">
        <v>4.1</v>
      </c>
      <c r="B667" s="13" t="n">
        <f aca="false">IF(ISNUMBER(A667),ROUND(A667/Results!$C$5,0)*Results!$C$5,"")</f>
        <v>4.1</v>
      </c>
    </row>
    <row r="668" customFormat="false" ht="15" hidden="false" customHeight="false" outlineLevel="0" collapsed="false">
      <c r="A668" s="12" t="n">
        <v>4.5</v>
      </c>
      <c r="B668" s="13" t="n">
        <f aca="false">IF(ISNUMBER(A668),ROUND(A668/Results!$C$5,0)*Results!$C$5,"")</f>
        <v>4.5</v>
      </c>
    </row>
    <row r="669" customFormat="false" ht="15" hidden="false" customHeight="false" outlineLevel="0" collapsed="false">
      <c r="A669" s="12" t="n">
        <v>4.2</v>
      </c>
      <c r="B669" s="13" t="n">
        <f aca="false">IF(ISNUMBER(A669),ROUND(A669/Results!$C$5,0)*Results!$C$5,"")</f>
        <v>4.2</v>
      </c>
    </row>
    <row r="670" customFormat="false" ht="15" hidden="false" customHeight="false" outlineLevel="0" collapsed="false">
      <c r="A670" s="12" t="n">
        <v>4.1</v>
      </c>
      <c r="B670" s="13" t="n">
        <f aca="false">IF(ISNUMBER(A670),ROUND(A670/Results!$C$5,0)*Results!$C$5,"")</f>
        <v>4.1</v>
      </c>
    </row>
    <row r="671" customFormat="false" ht="15" hidden="false" customHeight="false" outlineLevel="0" collapsed="false">
      <c r="A671" s="12" t="n">
        <v>4</v>
      </c>
      <c r="B671" s="13" t="n">
        <f aca="false">IF(ISNUMBER(A671),ROUND(A671/Results!$C$5,0)*Results!$C$5,"")</f>
        <v>4</v>
      </c>
    </row>
    <row r="672" customFormat="false" ht="15" hidden="false" customHeight="false" outlineLevel="0" collapsed="false">
      <c r="A672" s="12" t="n">
        <v>4</v>
      </c>
      <c r="B672" s="13" t="n">
        <f aca="false">IF(ISNUMBER(A672),ROUND(A672/Results!$C$5,0)*Results!$C$5,"")</f>
        <v>4</v>
      </c>
    </row>
    <row r="673" customFormat="false" ht="15" hidden="false" customHeight="false" outlineLevel="0" collapsed="false">
      <c r="A673" s="12" t="n">
        <v>4.5</v>
      </c>
      <c r="B673" s="13" t="n">
        <f aca="false">IF(ISNUMBER(A673),ROUND(A673/Results!$C$5,0)*Results!$C$5,"")</f>
        <v>4.5</v>
      </c>
    </row>
    <row r="674" customFormat="false" ht="15" hidden="false" customHeight="false" outlineLevel="0" collapsed="false">
      <c r="A674" s="12" t="n">
        <v>4.4</v>
      </c>
      <c r="B674" s="13" t="n">
        <f aca="false">IF(ISNUMBER(A674),ROUND(A674/Results!$C$5,0)*Results!$C$5,"")</f>
        <v>4.4</v>
      </c>
    </row>
    <row r="675" customFormat="false" ht="15" hidden="false" customHeight="false" outlineLevel="0" collapsed="false">
      <c r="A675" s="12" t="n">
        <v>5.6</v>
      </c>
      <c r="B675" s="13" t="n">
        <f aca="false">IF(ISNUMBER(A675),ROUND(A675/Results!$C$5,0)*Results!$C$5,"")</f>
        <v>5.6</v>
      </c>
    </row>
    <row r="676" customFormat="false" ht="15" hidden="false" customHeight="false" outlineLevel="0" collapsed="false">
      <c r="A676" s="12" t="n">
        <v>4.2</v>
      </c>
      <c r="B676" s="13" t="n">
        <f aca="false">IF(ISNUMBER(A676),ROUND(A676/Results!$C$5,0)*Results!$C$5,"")</f>
        <v>4.2</v>
      </c>
    </row>
    <row r="677" customFormat="false" ht="15" hidden="false" customHeight="false" outlineLevel="0" collapsed="false">
      <c r="A677" s="12" t="n">
        <v>5.1</v>
      </c>
      <c r="B677" s="13" t="n">
        <f aca="false">IF(ISNUMBER(A677),ROUND(A677/Results!$C$5,0)*Results!$C$5,"")</f>
        <v>5.1</v>
      </c>
    </row>
    <row r="678" customFormat="false" ht="15" hidden="false" customHeight="false" outlineLevel="0" collapsed="false">
      <c r="A678" s="12" t="n">
        <v>4.5</v>
      </c>
      <c r="B678" s="13" t="n">
        <f aca="false">IF(ISNUMBER(A678),ROUND(A678/Results!$C$5,0)*Results!$C$5,"")</f>
        <v>4.5</v>
      </c>
    </row>
    <row r="679" customFormat="false" ht="15" hidden="false" customHeight="false" outlineLevel="0" collapsed="false">
      <c r="A679" s="12" t="n">
        <v>4.2</v>
      </c>
      <c r="B679" s="13" t="n">
        <f aca="false">IF(ISNUMBER(A679),ROUND(A679/Results!$C$5,0)*Results!$C$5,"")</f>
        <v>4.2</v>
      </c>
    </row>
    <row r="680" customFormat="false" ht="15" hidden="false" customHeight="false" outlineLevel="0" collapsed="false">
      <c r="A680" s="12" t="n">
        <v>4</v>
      </c>
      <c r="B680" s="13" t="n">
        <f aca="false">IF(ISNUMBER(A680),ROUND(A680/Results!$C$5,0)*Results!$C$5,"")</f>
        <v>4</v>
      </c>
    </row>
    <row r="681" customFormat="false" ht="15" hidden="false" customHeight="false" outlineLevel="0" collapsed="false">
      <c r="A681" s="12" t="n">
        <v>4.1</v>
      </c>
      <c r="B681" s="13" t="n">
        <f aca="false">IF(ISNUMBER(A681),ROUND(A681/Results!$C$5,0)*Results!$C$5,"")</f>
        <v>4.1</v>
      </c>
    </row>
    <row r="682" customFormat="false" ht="15" hidden="false" customHeight="false" outlineLevel="0" collapsed="false">
      <c r="A682" s="12" t="n">
        <v>4.6</v>
      </c>
      <c r="B682" s="13" t="n">
        <f aca="false">IF(ISNUMBER(A682),ROUND(A682/Results!$C$5,0)*Results!$C$5,"")</f>
        <v>4.6</v>
      </c>
    </row>
    <row r="683" customFormat="false" ht="15" hidden="false" customHeight="false" outlineLevel="0" collapsed="false">
      <c r="A683" s="12" t="n">
        <v>4.1</v>
      </c>
      <c r="B683" s="13" t="n">
        <f aca="false">IF(ISNUMBER(A683),ROUND(A683/Results!$C$5,0)*Results!$C$5,"")</f>
        <v>4.1</v>
      </c>
    </row>
    <row r="684" customFormat="false" ht="15" hidden="false" customHeight="false" outlineLevel="0" collapsed="false">
      <c r="A684" s="12" t="n">
        <v>4.2</v>
      </c>
      <c r="B684" s="13" t="n">
        <f aca="false">IF(ISNUMBER(A684),ROUND(A684/Results!$C$5,0)*Results!$C$5,"")</f>
        <v>4.2</v>
      </c>
    </row>
    <row r="685" customFormat="false" ht="15" hidden="false" customHeight="false" outlineLevel="0" collapsed="false">
      <c r="A685" s="12" t="n">
        <v>4.2</v>
      </c>
      <c r="B685" s="13" t="n">
        <f aca="false">IF(ISNUMBER(A685),ROUND(A685/Results!$C$5,0)*Results!$C$5,"")</f>
        <v>4.2</v>
      </c>
    </row>
    <row r="686" customFormat="false" ht="15" hidden="false" customHeight="false" outlineLevel="0" collapsed="false">
      <c r="A686" s="12" t="n">
        <v>4.1</v>
      </c>
      <c r="B686" s="13" t="n">
        <f aca="false">IF(ISNUMBER(A686),ROUND(A686/Results!$C$5,0)*Results!$C$5,"")</f>
        <v>4.1</v>
      </c>
    </row>
    <row r="687" customFormat="false" ht="15" hidden="false" customHeight="false" outlineLevel="0" collapsed="false">
      <c r="A687" s="12" t="n">
        <v>4</v>
      </c>
      <c r="B687" s="13" t="n">
        <f aca="false">IF(ISNUMBER(A687),ROUND(A687/Results!$C$5,0)*Results!$C$5,"")</f>
        <v>4</v>
      </c>
    </row>
    <row r="688" customFormat="false" ht="15" hidden="false" customHeight="false" outlineLevel="0" collapsed="false">
      <c r="A688" s="12" t="n">
        <v>4</v>
      </c>
      <c r="B688" s="13" t="n">
        <f aca="false">IF(ISNUMBER(A688),ROUND(A688/Results!$C$5,0)*Results!$C$5,"")</f>
        <v>4</v>
      </c>
    </row>
    <row r="689" customFormat="false" ht="15" hidden="false" customHeight="false" outlineLevel="0" collapsed="false">
      <c r="A689" s="12" t="n">
        <v>4.8</v>
      </c>
      <c r="B689" s="13" t="n">
        <f aca="false">IF(ISNUMBER(A689),ROUND(A689/Results!$C$5,0)*Results!$C$5,"")</f>
        <v>4.8</v>
      </c>
    </row>
    <row r="690" customFormat="false" ht="15" hidden="false" customHeight="false" outlineLevel="0" collapsed="false">
      <c r="A690" s="12" t="n">
        <v>4.1</v>
      </c>
      <c r="B690" s="13" t="n">
        <f aca="false">IF(ISNUMBER(A690),ROUND(A690/Results!$C$5,0)*Results!$C$5,"")</f>
        <v>4.1</v>
      </c>
    </row>
    <row r="691" customFormat="false" ht="15" hidden="false" customHeight="false" outlineLevel="0" collapsed="false">
      <c r="A691" s="12" t="n">
        <v>4</v>
      </c>
      <c r="B691" s="13" t="n">
        <f aca="false">IF(ISNUMBER(A691),ROUND(A691/Results!$C$5,0)*Results!$C$5,"")</f>
        <v>4</v>
      </c>
    </row>
    <row r="692" customFormat="false" ht="15" hidden="false" customHeight="false" outlineLevel="0" collapsed="false">
      <c r="A692" s="12" t="n">
        <v>4</v>
      </c>
      <c r="B692" s="13" t="n">
        <f aca="false">IF(ISNUMBER(A692),ROUND(A692/Results!$C$5,0)*Results!$C$5,"")</f>
        <v>4</v>
      </c>
    </row>
    <row r="693" customFormat="false" ht="15" hidden="false" customHeight="false" outlineLevel="0" collapsed="false">
      <c r="A693" s="12" t="n">
        <v>4.2</v>
      </c>
      <c r="B693" s="13" t="n">
        <f aca="false">IF(ISNUMBER(A693),ROUND(A693/Results!$C$5,0)*Results!$C$5,"")</f>
        <v>4.2</v>
      </c>
    </row>
    <row r="694" customFormat="false" ht="15" hidden="false" customHeight="false" outlineLevel="0" collapsed="false">
      <c r="A694" s="12" t="n">
        <v>4.5</v>
      </c>
      <c r="B694" s="13" t="n">
        <f aca="false">IF(ISNUMBER(A694),ROUND(A694/Results!$C$5,0)*Results!$C$5,"")</f>
        <v>4.5</v>
      </c>
    </row>
    <row r="695" customFormat="false" ht="15" hidden="false" customHeight="false" outlineLevel="0" collapsed="false">
      <c r="A695" s="12" t="n">
        <v>4.3</v>
      </c>
      <c r="B695" s="13" t="n">
        <f aca="false">IF(ISNUMBER(A695),ROUND(A695/Results!$C$5,0)*Results!$C$5,"")</f>
        <v>4.3</v>
      </c>
    </row>
    <row r="696" customFormat="false" ht="15" hidden="false" customHeight="false" outlineLevel="0" collapsed="false">
      <c r="A696" s="12" t="n">
        <v>4.2</v>
      </c>
      <c r="B696" s="13" t="n">
        <f aca="false">IF(ISNUMBER(A696),ROUND(A696/Results!$C$5,0)*Results!$C$5,"")</f>
        <v>4.2</v>
      </c>
    </row>
    <row r="697" customFormat="false" ht="15" hidden="false" customHeight="false" outlineLevel="0" collapsed="false">
      <c r="A697" s="12" t="n">
        <v>6.2</v>
      </c>
      <c r="B697" s="13" t="n">
        <f aca="false">IF(ISNUMBER(A697),ROUND(A697/Results!$C$5,0)*Results!$C$5,"")</f>
        <v>6.2</v>
      </c>
    </row>
    <row r="698" customFormat="false" ht="15" hidden="false" customHeight="false" outlineLevel="0" collapsed="false">
      <c r="A698" s="12" t="n">
        <v>5.4</v>
      </c>
      <c r="B698" s="13" t="n">
        <f aca="false">IF(ISNUMBER(A698),ROUND(A698/Results!$C$5,0)*Results!$C$5,"")</f>
        <v>5.4</v>
      </c>
    </row>
    <row r="699" customFormat="false" ht="15" hidden="false" customHeight="false" outlineLevel="0" collapsed="false">
      <c r="A699" s="12" t="n">
        <v>4</v>
      </c>
      <c r="B699" s="13" t="n">
        <f aca="false">IF(ISNUMBER(A699),ROUND(A699/Results!$C$5,0)*Results!$C$5,"")</f>
        <v>4</v>
      </c>
    </row>
    <row r="700" customFormat="false" ht="15" hidden="false" customHeight="false" outlineLevel="0" collapsed="false">
      <c r="A700" s="12" t="n">
        <v>4.1</v>
      </c>
      <c r="B700" s="13" t="n">
        <f aca="false">IF(ISNUMBER(A700),ROUND(A700/Results!$C$5,0)*Results!$C$5,"")</f>
        <v>4.1</v>
      </c>
    </row>
    <row r="701" customFormat="false" ht="15" hidden="false" customHeight="false" outlineLevel="0" collapsed="false">
      <c r="A701" s="12" t="n">
        <v>4</v>
      </c>
      <c r="B701" s="13" t="n">
        <f aca="false">IF(ISNUMBER(A701),ROUND(A701/Results!$C$5,0)*Results!$C$5,"")</f>
        <v>4</v>
      </c>
    </row>
    <row r="702" customFormat="false" ht="15" hidden="false" customHeight="false" outlineLevel="0" collapsed="false">
      <c r="A702" s="12" t="n">
        <v>4.1</v>
      </c>
      <c r="B702" s="13" t="n">
        <f aca="false">IF(ISNUMBER(A702),ROUND(A702/Results!$C$5,0)*Results!$C$5,"")</f>
        <v>4.1</v>
      </c>
    </row>
    <row r="703" customFormat="false" ht="15" hidden="false" customHeight="false" outlineLevel="0" collapsed="false">
      <c r="A703" s="12" t="n">
        <v>4.9</v>
      </c>
      <c r="B703" s="13" t="n">
        <f aca="false">IF(ISNUMBER(A703),ROUND(A703/Results!$C$5,0)*Results!$C$5,"")</f>
        <v>4.9</v>
      </c>
    </row>
    <row r="704" customFormat="false" ht="15" hidden="false" customHeight="false" outlineLevel="0" collapsed="false">
      <c r="A704" s="12" t="n">
        <v>4</v>
      </c>
      <c r="B704" s="13" t="n">
        <f aca="false">IF(ISNUMBER(A704),ROUND(A704/Results!$C$5,0)*Results!$C$5,"")</f>
        <v>4</v>
      </c>
    </row>
    <row r="705" customFormat="false" ht="15" hidden="false" customHeight="false" outlineLevel="0" collapsed="false">
      <c r="A705" s="12" t="n">
        <v>4.3</v>
      </c>
      <c r="B705" s="13" t="n">
        <f aca="false">IF(ISNUMBER(A705),ROUND(A705/Results!$C$5,0)*Results!$C$5,"")</f>
        <v>4.3</v>
      </c>
    </row>
    <row r="706" customFormat="false" ht="15" hidden="false" customHeight="false" outlineLevel="0" collapsed="false">
      <c r="A706" s="12" t="n">
        <v>4.3</v>
      </c>
      <c r="B706" s="13" t="n">
        <f aca="false">IF(ISNUMBER(A706),ROUND(A706/Results!$C$5,0)*Results!$C$5,"")</f>
        <v>4.3</v>
      </c>
    </row>
    <row r="707" customFormat="false" ht="15" hidden="false" customHeight="false" outlineLevel="0" collapsed="false">
      <c r="A707" s="12" t="n">
        <v>4.2</v>
      </c>
      <c r="B707" s="13" t="n">
        <f aca="false">IF(ISNUMBER(A707),ROUND(A707/Results!$C$5,0)*Results!$C$5,"")</f>
        <v>4.2</v>
      </c>
    </row>
    <row r="708" customFormat="false" ht="15" hidden="false" customHeight="false" outlineLevel="0" collapsed="false">
      <c r="A708" s="12" t="n">
        <v>4.2</v>
      </c>
      <c r="B708" s="13" t="n">
        <f aca="false">IF(ISNUMBER(A708),ROUND(A708/Results!$C$5,0)*Results!$C$5,"")</f>
        <v>4.2</v>
      </c>
    </row>
    <row r="709" customFormat="false" ht="15" hidden="false" customHeight="false" outlineLevel="0" collapsed="false">
      <c r="A709" s="12" t="n">
        <v>4.2</v>
      </c>
      <c r="B709" s="13" t="n">
        <f aca="false">IF(ISNUMBER(A709),ROUND(A709/Results!$C$5,0)*Results!$C$5,"")</f>
        <v>4.2</v>
      </c>
    </row>
    <row r="710" customFormat="false" ht="15" hidden="false" customHeight="false" outlineLevel="0" collapsed="false">
      <c r="A710" s="12" t="n">
        <v>4</v>
      </c>
      <c r="B710" s="13" t="n">
        <f aca="false">IF(ISNUMBER(A710),ROUND(A710/Results!$C$5,0)*Results!$C$5,"")</f>
        <v>4</v>
      </c>
    </row>
    <row r="711" customFormat="false" ht="15" hidden="false" customHeight="false" outlineLevel="0" collapsed="false">
      <c r="A711" s="12" t="n">
        <v>4.3</v>
      </c>
      <c r="B711" s="13" t="n">
        <f aca="false">IF(ISNUMBER(A711),ROUND(A711/Results!$C$5,0)*Results!$C$5,"")</f>
        <v>4.3</v>
      </c>
    </row>
    <row r="712" customFormat="false" ht="15" hidden="false" customHeight="false" outlineLevel="0" collapsed="false">
      <c r="A712" s="12" t="n">
        <v>4.2</v>
      </c>
      <c r="B712" s="13" t="n">
        <f aca="false">IF(ISNUMBER(A712),ROUND(A712/Results!$C$5,0)*Results!$C$5,"")</f>
        <v>4.2</v>
      </c>
    </row>
    <row r="713" customFormat="false" ht="15" hidden="false" customHeight="false" outlineLevel="0" collapsed="false">
      <c r="A713" s="12" t="n">
        <v>4.1</v>
      </c>
      <c r="B713" s="13" t="n">
        <f aca="false">IF(ISNUMBER(A713),ROUND(A713/Results!$C$5,0)*Results!$C$5,"")</f>
        <v>4.1</v>
      </c>
    </row>
    <row r="714" customFormat="false" ht="15" hidden="false" customHeight="false" outlineLevel="0" collapsed="false">
      <c r="A714" s="12" t="n">
        <v>4.1</v>
      </c>
      <c r="B714" s="13" t="n">
        <f aca="false">IF(ISNUMBER(A714),ROUND(A714/Results!$C$5,0)*Results!$C$5,"")</f>
        <v>4.1</v>
      </c>
    </row>
    <row r="715" customFormat="false" ht="15" hidden="false" customHeight="false" outlineLevel="0" collapsed="false">
      <c r="A715" s="12" t="n">
        <v>4</v>
      </c>
      <c r="B715" s="13" t="n">
        <f aca="false">IF(ISNUMBER(A715),ROUND(A715/Results!$C$5,0)*Results!$C$5,"")</f>
        <v>4</v>
      </c>
    </row>
    <row r="716" customFormat="false" ht="15" hidden="false" customHeight="false" outlineLevel="0" collapsed="false">
      <c r="A716" s="12" t="n">
        <v>4</v>
      </c>
      <c r="B716" s="13" t="n">
        <f aca="false">IF(ISNUMBER(A716),ROUND(A716/Results!$C$5,0)*Results!$C$5,"")</f>
        <v>4</v>
      </c>
    </row>
    <row r="717" customFormat="false" ht="15" hidden="false" customHeight="false" outlineLevel="0" collapsed="false">
      <c r="A717" s="12" t="n">
        <v>4</v>
      </c>
      <c r="B717" s="13" t="n">
        <f aca="false">IF(ISNUMBER(A717),ROUND(A717/Results!$C$5,0)*Results!$C$5,"")</f>
        <v>4</v>
      </c>
    </row>
    <row r="718" customFormat="false" ht="15" hidden="false" customHeight="false" outlineLevel="0" collapsed="false">
      <c r="A718" s="12" t="n">
        <v>4.9</v>
      </c>
      <c r="B718" s="13" t="n">
        <f aca="false">IF(ISNUMBER(A718),ROUND(A718/Results!$C$5,0)*Results!$C$5,"")</f>
        <v>4.9</v>
      </c>
    </row>
    <row r="719" customFormat="false" ht="15" hidden="false" customHeight="false" outlineLevel="0" collapsed="false">
      <c r="A719" s="12" t="n">
        <v>4.1</v>
      </c>
      <c r="B719" s="13" t="n">
        <f aca="false">IF(ISNUMBER(A719),ROUND(A719/Results!$C$5,0)*Results!$C$5,"")</f>
        <v>4.1</v>
      </c>
    </row>
    <row r="720" customFormat="false" ht="15" hidden="false" customHeight="false" outlineLevel="0" collapsed="false">
      <c r="A720" s="12" t="n">
        <v>4.8</v>
      </c>
      <c r="B720" s="13" t="n">
        <f aca="false">IF(ISNUMBER(A720),ROUND(A720/Results!$C$5,0)*Results!$C$5,"")</f>
        <v>4.8</v>
      </c>
    </row>
    <row r="721" customFormat="false" ht="15" hidden="false" customHeight="false" outlineLevel="0" collapsed="false">
      <c r="A721" s="12" t="n">
        <v>4.1</v>
      </c>
      <c r="B721" s="13" t="n">
        <f aca="false">IF(ISNUMBER(A721),ROUND(A721/Results!$C$5,0)*Results!$C$5,"")</f>
        <v>4.1</v>
      </c>
    </row>
    <row r="722" customFormat="false" ht="15" hidden="false" customHeight="false" outlineLevel="0" collapsed="false">
      <c r="A722" s="12" t="n">
        <v>4.6</v>
      </c>
      <c r="B722" s="13" t="n">
        <f aca="false">IF(ISNUMBER(A722),ROUND(A722/Results!$C$5,0)*Results!$C$5,"")</f>
        <v>4.6</v>
      </c>
    </row>
    <row r="723" customFormat="false" ht="15" hidden="false" customHeight="false" outlineLevel="0" collapsed="false">
      <c r="A723" s="12" t="n">
        <v>4.4</v>
      </c>
      <c r="B723" s="13" t="n">
        <f aca="false">IF(ISNUMBER(A723),ROUND(A723/Results!$C$5,0)*Results!$C$5,"")</f>
        <v>4.4</v>
      </c>
    </row>
    <row r="724" customFormat="false" ht="15" hidden="false" customHeight="false" outlineLevel="0" collapsed="false">
      <c r="A724" s="12" t="n">
        <v>5.1</v>
      </c>
      <c r="B724" s="13" t="n">
        <f aca="false">IF(ISNUMBER(A724),ROUND(A724/Results!$C$5,0)*Results!$C$5,"")</f>
        <v>5.1</v>
      </c>
    </row>
    <row r="725" customFormat="false" ht="15" hidden="false" customHeight="false" outlineLevel="0" collapsed="false">
      <c r="A725" s="12" t="n">
        <v>4</v>
      </c>
      <c r="B725" s="13" t="n">
        <f aca="false">IF(ISNUMBER(A725),ROUND(A725/Results!$C$5,0)*Results!$C$5,"")</f>
        <v>4</v>
      </c>
    </row>
    <row r="726" customFormat="false" ht="15" hidden="false" customHeight="false" outlineLevel="0" collapsed="false">
      <c r="A726" s="12" t="n">
        <v>4.9</v>
      </c>
      <c r="B726" s="13" t="n">
        <f aca="false">IF(ISNUMBER(A726),ROUND(A726/Results!$C$5,0)*Results!$C$5,"")</f>
        <v>4.9</v>
      </c>
    </row>
    <row r="727" customFormat="false" ht="15" hidden="false" customHeight="false" outlineLevel="0" collapsed="false">
      <c r="A727" s="12" t="n">
        <v>4.1</v>
      </c>
      <c r="B727" s="13" t="n">
        <f aca="false">IF(ISNUMBER(A727),ROUND(A727/Results!$C$5,0)*Results!$C$5,"")</f>
        <v>4.1</v>
      </c>
    </row>
    <row r="728" customFormat="false" ht="15" hidden="false" customHeight="false" outlineLevel="0" collapsed="false">
      <c r="A728" s="12" t="n">
        <v>4.1</v>
      </c>
      <c r="B728" s="13" t="n">
        <f aca="false">IF(ISNUMBER(A728),ROUND(A728/Results!$C$5,0)*Results!$C$5,"")</f>
        <v>4.1</v>
      </c>
    </row>
    <row r="729" customFormat="false" ht="15" hidden="false" customHeight="false" outlineLevel="0" collapsed="false">
      <c r="A729" s="12" t="n">
        <v>4.2</v>
      </c>
      <c r="B729" s="13" t="n">
        <f aca="false">IF(ISNUMBER(A729),ROUND(A729/Results!$C$5,0)*Results!$C$5,"")</f>
        <v>4.2</v>
      </c>
    </row>
    <row r="730" customFormat="false" ht="15" hidden="false" customHeight="false" outlineLevel="0" collapsed="false">
      <c r="A730" s="12" t="n">
        <v>4</v>
      </c>
      <c r="B730" s="13" t="n">
        <f aca="false">IF(ISNUMBER(A730),ROUND(A730/Results!$C$5,0)*Results!$C$5,"")</f>
        <v>4</v>
      </c>
    </row>
    <row r="731" customFormat="false" ht="15" hidden="false" customHeight="false" outlineLevel="0" collapsed="false">
      <c r="A731" s="12" t="n">
        <v>4.3</v>
      </c>
      <c r="B731" s="13" t="n">
        <f aca="false">IF(ISNUMBER(A731),ROUND(A731/Results!$C$5,0)*Results!$C$5,"")</f>
        <v>4.3</v>
      </c>
    </row>
    <row r="732" customFormat="false" ht="15" hidden="false" customHeight="false" outlineLevel="0" collapsed="false">
      <c r="A732" s="12" t="n">
        <v>4.2</v>
      </c>
      <c r="B732" s="13" t="n">
        <f aca="false">IF(ISNUMBER(A732),ROUND(A732/Results!$C$5,0)*Results!$C$5,"")</f>
        <v>4.2</v>
      </c>
    </row>
    <row r="733" customFormat="false" ht="15" hidden="false" customHeight="false" outlineLevel="0" collapsed="false">
      <c r="A733" s="12" t="n">
        <v>4.6</v>
      </c>
      <c r="B733" s="13" t="n">
        <f aca="false">IF(ISNUMBER(A733),ROUND(A733/Results!$C$5,0)*Results!$C$5,"")</f>
        <v>4.6</v>
      </c>
    </row>
    <row r="734" customFormat="false" ht="15" hidden="false" customHeight="false" outlineLevel="0" collapsed="false">
      <c r="A734" s="12" t="n">
        <v>4</v>
      </c>
      <c r="B734" s="13" t="n">
        <f aca="false">IF(ISNUMBER(A734),ROUND(A734/Results!$C$5,0)*Results!$C$5,"")</f>
        <v>4</v>
      </c>
    </row>
    <row r="735" customFormat="false" ht="15" hidden="false" customHeight="false" outlineLevel="0" collapsed="false">
      <c r="A735" s="12" t="n">
        <v>4.2</v>
      </c>
      <c r="B735" s="13" t="n">
        <f aca="false">IF(ISNUMBER(A735),ROUND(A735/Results!$C$5,0)*Results!$C$5,"")</f>
        <v>4.2</v>
      </c>
    </row>
    <row r="736" customFormat="false" ht="15" hidden="false" customHeight="false" outlineLevel="0" collapsed="false">
      <c r="A736" s="12" t="n">
        <v>4.1</v>
      </c>
      <c r="B736" s="13" t="n">
        <f aca="false">IF(ISNUMBER(A736),ROUND(A736/Results!$C$5,0)*Results!$C$5,"")</f>
        <v>4.1</v>
      </c>
    </row>
    <row r="737" customFormat="false" ht="15" hidden="false" customHeight="false" outlineLevel="0" collapsed="false">
      <c r="A737" s="12" t="n">
        <v>4</v>
      </c>
      <c r="B737" s="13" t="n">
        <f aca="false">IF(ISNUMBER(A737),ROUND(A737/Results!$C$5,0)*Results!$C$5,"")</f>
        <v>4</v>
      </c>
    </row>
    <row r="738" customFormat="false" ht="15" hidden="false" customHeight="false" outlineLevel="0" collapsed="false">
      <c r="A738" s="12" t="n">
        <v>4.2</v>
      </c>
      <c r="B738" s="13" t="n">
        <f aca="false">IF(ISNUMBER(A738),ROUND(A738/Results!$C$5,0)*Results!$C$5,"")</f>
        <v>4.2</v>
      </c>
    </row>
    <row r="739" customFormat="false" ht="15" hidden="false" customHeight="false" outlineLevel="0" collapsed="false">
      <c r="A739" s="12" t="n">
        <v>4.1</v>
      </c>
      <c r="B739" s="13" t="n">
        <f aca="false">IF(ISNUMBER(A739),ROUND(A739/Results!$C$5,0)*Results!$C$5,"")</f>
        <v>4.1</v>
      </c>
    </row>
    <row r="740" customFormat="false" ht="15" hidden="false" customHeight="false" outlineLevel="0" collapsed="false">
      <c r="A740" s="12" t="n">
        <v>4</v>
      </c>
      <c r="B740" s="13" t="n">
        <f aca="false">IF(ISNUMBER(A740),ROUND(A740/Results!$C$5,0)*Results!$C$5,"")</f>
        <v>4</v>
      </c>
    </row>
    <row r="741" customFormat="false" ht="15" hidden="false" customHeight="false" outlineLevel="0" collapsed="false">
      <c r="A741" s="12" t="n">
        <v>4.5</v>
      </c>
      <c r="B741" s="13" t="n">
        <f aca="false">IF(ISNUMBER(A741),ROUND(A741/Results!$C$5,0)*Results!$C$5,"")</f>
        <v>4.5</v>
      </c>
    </row>
    <row r="742" customFormat="false" ht="15" hidden="false" customHeight="false" outlineLevel="0" collapsed="false">
      <c r="A742" s="12" t="n">
        <v>4.6</v>
      </c>
      <c r="B742" s="13" t="n">
        <f aca="false">IF(ISNUMBER(A742),ROUND(A742/Results!$C$5,0)*Results!$C$5,"")</f>
        <v>4.6</v>
      </c>
    </row>
    <row r="743" customFormat="false" ht="15" hidden="false" customHeight="false" outlineLevel="0" collapsed="false">
      <c r="A743" s="12" t="n">
        <v>4.8</v>
      </c>
      <c r="B743" s="13" t="n">
        <f aca="false">IF(ISNUMBER(A743),ROUND(A743/Results!$C$5,0)*Results!$C$5,"")</f>
        <v>4.8</v>
      </c>
    </row>
    <row r="744" customFormat="false" ht="15" hidden="false" customHeight="false" outlineLevel="0" collapsed="false">
      <c r="A744" s="12" t="n">
        <v>4.1</v>
      </c>
      <c r="B744" s="13" t="n">
        <f aca="false">IF(ISNUMBER(A744),ROUND(A744/Results!$C$5,0)*Results!$C$5,"")</f>
        <v>4.1</v>
      </c>
    </row>
    <row r="745" customFormat="false" ht="15" hidden="false" customHeight="false" outlineLevel="0" collapsed="false">
      <c r="A745" s="12" t="n">
        <v>4.1</v>
      </c>
      <c r="B745" s="13" t="n">
        <f aca="false">IF(ISNUMBER(A745),ROUND(A745/Results!$C$5,0)*Results!$C$5,"")</f>
        <v>4.1</v>
      </c>
    </row>
    <row r="746" customFormat="false" ht="15" hidden="false" customHeight="false" outlineLevel="0" collapsed="false">
      <c r="A746" s="12" t="n">
        <v>4.4</v>
      </c>
      <c r="B746" s="13" t="n">
        <f aca="false">IF(ISNUMBER(A746),ROUND(A746/Results!$C$5,0)*Results!$C$5,"")</f>
        <v>4.4</v>
      </c>
    </row>
    <row r="747" customFormat="false" ht="15" hidden="false" customHeight="false" outlineLevel="0" collapsed="false">
      <c r="A747" s="12" t="n">
        <v>4.5</v>
      </c>
      <c r="B747" s="13" t="n">
        <f aca="false">IF(ISNUMBER(A747),ROUND(A747/Results!$C$5,0)*Results!$C$5,"")</f>
        <v>4.5</v>
      </c>
    </row>
    <row r="748" customFormat="false" ht="15" hidden="false" customHeight="false" outlineLevel="0" collapsed="false">
      <c r="A748" s="12" t="n">
        <v>4</v>
      </c>
      <c r="B748" s="13" t="n">
        <f aca="false">IF(ISNUMBER(A748),ROUND(A748/Results!$C$5,0)*Results!$C$5,"")</f>
        <v>4</v>
      </c>
    </row>
    <row r="749" customFormat="false" ht="15" hidden="false" customHeight="false" outlineLevel="0" collapsed="false">
      <c r="A749" s="12" t="n">
        <v>4</v>
      </c>
      <c r="B749" s="13" t="n">
        <f aca="false">IF(ISNUMBER(A749),ROUND(A749/Results!$C$5,0)*Results!$C$5,"")</f>
        <v>4</v>
      </c>
    </row>
    <row r="750" customFormat="false" ht="15" hidden="false" customHeight="false" outlineLevel="0" collapsed="false">
      <c r="A750" s="12" t="n">
        <v>4.1</v>
      </c>
      <c r="B750" s="13" t="n">
        <f aca="false">IF(ISNUMBER(A750),ROUND(A750/Results!$C$5,0)*Results!$C$5,"")</f>
        <v>4.1</v>
      </c>
    </row>
    <row r="751" customFormat="false" ht="15" hidden="false" customHeight="false" outlineLevel="0" collapsed="false">
      <c r="A751" s="12" t="n">
        <v>4.3</v>
      </c>
      <c r="B751" s="13" t="n">
        <f aca="false">IF(ISNUMBER(A751),ROUND(A751/Results!$C$5,0)*Results!$C$5,"")</f>
        <v>4.3</v>
      </c>
    </row>
    <row r="752" customFormat="false" ht="15" hidden="false" customHeight="false" outlineLevel="0" collapsed="false">
      <c r="A752" s="12" t="n">
        <v>4.2</v>
      </c>
      <c r="B752" s="13" t="n">
        <f aca="false">IF(ISNUMBER(A752),ROUND(A752/Results!$C$5,0)*Results!$C$5,"")</f>
        <v>4.2</v>
      </c>
    </row>
    <row r="753" customFormat="false" ht="15" hidden="false" customHeight="false" outlineLevel="0" collapsed="false">
      <c r="A753" s="12" t="n">
        <v>4.2</v>
      </c>
      <c r="B753" s="13" t="n">
        <f aca="false">IF(ISNUMBER(A753),ROUND(A753/Results!$C$5,0)*Results!$C$5,"")</f>
        <v>4.2</v>
      </c>
    </row>
    <row r="754" customFormat="false" ht="15" hidden="false" customHeight="false" outlineLevel="0" collapsed="false">
      <c r="A754" s="12" t="n">
        <v>4</v>
      </c>
      <c r="B754" s="13" t="n">
        <f aca="false">IF(ISNUMBER(A754),ROUND(A754/Results!$C$5,0)*Results!$C$5,"")</f>
        <v>4</v>
      </c>
    </row>
    <row r="755" customFormat="false" ht="15" hidden="false" customHeight="false" outlineLevel="0" collapsed="false">
      <c r="A755" s="12" t="n">
        <v>5</v>
      </c>
      <c r="B755" s="13" t="n">
        <f aca="false">IF(ISNUMBER(A755),ROUND(A755/Results!$C$5,0)*Results!$C$5,"")</f>
        <v>5</v>
      </c>
    </row>
    <row r="756" customFormat="false" ht="15" hidden="false" customHeight="false" outlineLevel="0" collapsed="false">
      <c r="A756" s="12" t="n">
        <v>4.3</v>
      </c>
      <c r="B756" s="13" t="n">
        <f aca="false">IF(ISNUMBER(A756),ROUND(A756/Results!$C$5,0)*Results!$C$5,"")</f>
        <v>4.3</v>
      </c>
    </row>
    <row r="757" customFormat="false" ht="15" hidden="false" customHeight="false" outlineLevel="0" collapsed="false">
      <c r="A757" s="12" t="n">
        <v>4.3</v>
      </c>
      <c r="B757" s="13" t="n">
        <f aca="false">IF(ISNUMBER(A757),ROUND(A757/Results!$C$5,0)*Results!$C$5,"")</f>
        <v>4.3</v>
      </c>
    </row>
    <row r="758" customFormat="false" ht="15" hidden="false" customHeight="false" outlineLevel="0" collapsed="false">
      <c r="A758" s="12" t="n">
        <v>4.4</v>
      </c>
      <c r="B758" s="13" t="n">
        <f aca="false">IF(ISNUMBER(A758),ROUND(A758/Results!$C$5,0)*Results!$C$5,"")</f>
        <v>4.4</v>
      </c>
    </row>
    <row r="759" customFormat="false" ht="15" hidden="false" customHeight="false" outlineLevel="0" collapsed="false">
      <c r="A759" s="12" t="n">
        <v>4</v>
      </c>
      <c r="B759" s="13" t="n">
        <f aca="false">IF(ISNUMBER(A759),ROUND(A759/Results!$C$5,0)*Results!$C$5,"")</f>
        <v>4</v>
      </c>
    </row>
    <row r="760" customFormat="false" ht="15" hidden="false" customHeight="false" outlineLevel="0" collapsed="false">
      <c r="A760" s="12" t="n">
        <v>4.5</v>
      </c>
      <c r="B760" s="13" t="n">
        <f aca="false">IF(ISNUMBER(A760),ROUND(A760/Results!$C$5,0)*Results!$C$5,"")</f>
        <v>4.5</v>
      </c>
    </row>
    <row r="761" customFormat="false" ht="15" hidden="false" customHeight="false" outlineLevel="0" collapsed="false">
      <c r="A761" s="12" t="n">
        <v>4.8</v>
      </c>
      <c r="B761" s="13" t="n">
        <f aca="false">IF(ISNUMBER(A761),ROUND(A761/Results!$C$5,0)*Results!$C$5,"")</f>
        <v>4.8</v>
      </c>
    </row>
    <row r="762" customFormat="false" ht="15" hidden="false" customHeight="false" outlineLevel="0" collapsed="false">
      <c r="A762" s="12" t="n">
        <v>5.4</v>
      </c>
      <c r="B762" s="13" t="n">
        <f aca="false">IF(ISNUMBER(A762),ROUND(A762/Results!$C$5,0)*Results!$C$5,"")</f>
        <v>5.4</v>
      </c>
    </row>
    <row r="763" customFormat="false" ht="15" hidden="false" customHeight="false" outlineLevel="0" collapsed="false">
      <c r="A763" s="12" t="n">
        <v>4.7</v>
      </c>
      <c r="B763" s="13" t="n">
        <f aca="false">IF(ISNUMBER(A763),ROUND(A763/Results!$C$5,0)*Results!$C$5,"")</f>
        <v>4.7</v>
      </c>
    </row>
    <row r="764" customFormat="false" ht="15" hidden="false" customHeight="false" outlineLevel="0" collapsed="false">
      <c r="A764" s="12" t="n">
        <v>4</v>
      </c>
      <c r="B764" s="13" t="n">
        <f aca="false">IF(ISNUMBER(A764),ROUND(A764/Results!$C$5,0)*Results!$C$5,"")</f>
        <v>4</v>
      </c>
    </row>
    <row r="765" customFormat="false" ht="15" hidden="false" customHeight="false" outlineLevel="0" collapsed="false">
      <c r="A765" s="12" t="n">
        <v>4.4</v>
      </c>
      <c r="B765" s="13" t="n">
        <f aca="false">IF(ISNUMBER(A765),ROUND(A765/Results!$C$5,0)*Results!$C$5,"")</f>
        <v>4.4</v>
      </c>
    </row>
    <row r="766" customFormat="false" ht="15" hidden="false" customHeight="false" outlineLevel="0" collapsed="false">
      <c r="A766" s="12" t="n">
        <v>4.1</v>
      </c>
      <c r="B766" s="13" t="n">
        <f aca="false">IF(ISNUMBER(A766),ROUND(A766/Results!$C$5,0)*Results!$C$5,"")</f>
        <v>4.1</v>
      </c>
    </row>
    <row r="767" customFormat="false" ht="15" hidden="false" customHeight="false" outlineLevel="0" collapsed="false">
      <c r="A767" s="12" t="n">
        <v>4.1</v>
      </c>
      <c r="B767" s="13" t="n">
        <f aca="false">IF(ISNUMBER(A767),ROUND(A767/Results!$C$5,0)*Results!$C$5,"")</f>
        <v>4.1</v>
      </c>
    </row>
    <row r="768" customFormat="false" ht="15" hidden="false" customHeight="false" outlineLevel="0" collapsed="false">
      <c r="A768" s="12" t="n">
        <v>4.5</v>
      </c>
      <c r="B768" s="13" t="n">
        <f aca="false">IF(ISNUMBER(A768),ROUND(A768/Results!$C$5,0)*Results!$C$5,"")</f>
        <v>4.5</v>
      </c>
    </row>
    <row r="769" customFormat="false" ht="15" hidden="false" customHeight="false" outlineLevel="0" collapsed="false">
      <c r="A769" s="12" t="n">
        <v>4.1</v>
      </c>
      <c r="B769" s="13" t="n">
        <f aca="false">IF(ISNUMBER(A769),ROUND(A769/Results!$C$5,0)*Results!$C$5,"")</f>
        <v>4.1</v>
      </c>
    </row>
    <row r="770" customFormat="false" ht="15" hidden="false" customHeight="false" outlineLevel="0" collapsed="false">
      <c r="A770" s="12" t="n">
        <v>4.4</v>
      </c>
      <c r="B770" s="13" t="n">
        <f aca="false">IF(ISNUMBER(A770),ROUND(A770/Results!$C$5,0)*Results!$C$5,"")</f>
        <v>4.4</v>
      </c>
    </row>
    <row r="771" customFormat="false" ht="15" hidden="false" customHeight="false" outlineLevel="0" collapsed="false">
      <c r="A771" s="12" t="n">
        <v>4.1</v>
      </c>
      <c r="B771" s="13" t="n">
        <f aca="false">IF(ISNUMBER(A771),ROUND(A771/Results!$C$5,0)*Results!$C$5,"")</f>
        <v>4.1</v>
      </c>
    </row>
    <row r="772" customFormat="false" ht="15" hidden="false" customHeight="false" outlineLevel="0" collapsed="false">
      <c r="A772" s="12" t="n">
        <v>5.3</v>
      </c>
      <c r="B772" s="13" t="n">
        <f aca="false">IF(ISNUMBER(A772),ROUND(A772/Results!$C$5,0)*Results!$C$5,"")</f>
        <v>5.3</v>
      </c>
    </row>
    <row r="773" customFormat="false" ht="15" hidden="false" customHeight="false" outlineLevel="0" collapsed="false">
      <c r="A773" s="12" t="n">
        <v>4.9</v>
      </c>
      <c r="B773" s="13" t="n">
        <f aca="false">IF(ISNUMBER(A773),ROUND(A773/Results!$C$5,0)*Results!$C$5,"")</f>
        <v>4.9</v>
      </c>
    </row>
    <row r="774" customFormat="false" ht="15" hidden="false" customHeight="false" outlineLevel="0" collapsed="false">
      <c r="A774" s="12" t="n">
        <v>4.5</v>
      </c>
      <c r="B774" s="13" t="n">
        <f aca="false">IF(ISNUMBER(A774),ROUND(A774/Results!$C$5,0)*Results!$C$5,"")</f>
        <v>4.5</v>
      </c>
    </row>
    <row r="775" customFormat="false" ht="15" hidden="false" customHeight="false" outlineLevel="0" collapsed="false">
      <c r="A775" s="12" t="n">
        <v>4.5</v>
      </c>
      <c r="B775" s="13" t="n">
        <f aca="false">IF(ISNUMBER(A775),ROUND(A775/Results!$C$5,0)*Results!$C$5,"")</f>
        <v>4.5</v>
      </c>
    </row>
    <row r="776" customFormat="false" ht="15" hidden="false" customHeight="false" outlineLevel="0" collapsed="false">
      <c r="A776" s="12" t="n">
        <v>4.1</v>
      </c>
      <c r="B776" s="13" t="n">
        <f aca="false">IF(ISNUMBER(A776),ROUND(A776/Results!$C$5,0)*Results!$C$5,"")</f>
        <v>4.1</v>
      </c>
    </row>
    <row r="777" customFormat="false" ht="15" hidden="false" customHeight="false" outlineLevel="0" collapsed="false">
      <c r="A777" s="12" t="n">
        <v>4.3</v>
      </c>
      <c r="B777" s="13" t="n">
        <f aca="false">IF(ISNUMBER(A777),ROUND(A777/Results!$C$5,0)*Results!$C$5,"")</f>
        <v>4.3</v>
      </c>
    </row>
    <row r="778" customFormat="false" ht="15" hidden="false" customHeight="false" outlineLevel="0" collapsed="false">
      <c r="A778" s="12" t="n">
        <v>4.7</v>
      </c>
      <c r="B778" s="13" t="n">
        <f aca="false">IF(ISNUMBER(A778),ROUND(A778/Results!$C$5,0)*Results!$C$5,"")</f>
        <v>4.7</v>
      </c>
    </row>
    <row r="779" customFormat="false" ht="15" hidden="false" customHeight="false" outlineLevel="0" collapsed="false">
      <c r="A779" s="12" t="n">
        <v>4.3</v>
      </c>
      <c r="B779" s="13" t="n">
        <f aca="false">IF(ISNUMBER(A779),ROUND(A779/Results!$C$5,0)*Results!$C$5,"")</f>
        <v>4.3</v>
      </c>
    </row>
    <row r="780" customFormat="false" ht="15" hidden="false" customHeight="false" outlineLevel="0" collapsed="false">
      <c r="A780" s="12" t="n">
        <v>4.3</v>
      </c>
      <c r="B780" s="13" t="n">
        <f aca="false">IF(ISNUMBER(A780),ROUND(A780/Results!$C$5,0)*Results!$C$5,"")</f>
        <v>4.3</v>
      </c>
    </row>
    <row r="781" customFormat="false" ht="15" hidden="false" customHeight="false" outlineLevel="0" collapsed="false">
      <c r="A781" s="12" t="n">
        <v>4.9</v>
      </c>
      <c r="B781" s="13" t="n">
        <f aca="false">IF(ISNUMBER(A781),ROUND(A781/Results!$C$5,0)*Results!$C$5,"")</f>
        <v>4.9</v>
      </c>
    </row>
    <row r="782" customFormat="false" ht="15" hidden="false" customHeight="false" outlineLevel="0" collapsed="false">
      <c r="A782" s="12" t="n">
        <v>4.1</v>
      </c>
      <c r="B782" s="13" t="n">
        <f aca="false">IF(ISNUMBER(A782),ROUND(A782/Results!$C$5,0)*Results!$C$5,"")</f>
        <v>4.1</v>
      </c>
    </row>
    <row r="783" customFormat="false" ht="15" hidden="false" customHeight="false" outlineLevel="0" collapsed="false">
      <c r="A783" s="12" t="n">
        <v>4.1</v>
      </c>
      <c r="B783" s="13" t="n">
        <f aca="false">IF(ISNUMBER(A783),ROUND(A783/Results!$C$5,0)*Results!$C$5,"")</f>
        <v>4.1</v>
      </c>
    </row>
    <row r="784" customFormat="false" ht="15" hidden="false" customHeight="false" outlineLevel="0" collapsed="false">
      <c r="A784" s="12" t="n">
        <v>5.4</v>
      </c>
      <c r="B784" s="13" t="n">
        <f aca="false">IF(ISNUMBER(A784),ROUND(A784/Results!$C$5,0)*Results!$C$5,"")</f>
        <v>5.4</v>
      </c>
    </row>
    <row r="785" customFormat="false" ht="15" hidden="false" customHeight="false" outlineLevel="0" collapsed="false">
      <c r="A785" s="12" t="n">
        <v>4.1</v>
      </c>
      <c r="B785" s="13" t="n">
        <f aca="false">IF(ISNUMBER(A785),ROUND(A785/Results!$C$5,0)*Results!$C$5,"")</f>
        <v>4.1</v>
      </c>
    </row>
    <row r="786" customFormat="false" ht="15" hidden="false" customHeight="false" outlineLevel="0" collapsed="false">
      <c r="A786" s="12" t="n">
        <v>4.5</v>
      </c>
      <c r="B786" s="13" t="n">
        <f aca="false">IF(ISNUMBER(A786),ROUND(A786/Results!$C$5,0)*Results!$C$5,"")</f>
        <v>4.5</v>
      </c>
    </row>
    <row r="787" customFormat="false" ht="15" hidden="false" customHeight="false" outlineLevel="0" collapsed="false">
      <c r="A787" s="12" t="n">
        <v>4</v>
      </c>
      <c r="B787" s="13" t="n">
        <f aca="false">IF(ISNUMBER(A787),ROUND(A787/Results!$C$5,0)*Results!$C$5,"")</f>
        <v>4</v>
      </c>
    </row>
    <row r="788" customFormat="false" ht="15" hidden="false" customHeight="false" outlineLevel="0" collapsed="false">
      <c r="A788" s="12" t="n">
        <v>4.3</v>
      </c>
      <c r="B788" s="13" t="n">
        <f aca="false">IF(ISNUMBER(A788),ROUND(A788/Results!$C$5,0)*Results!$C$5,"")</f>
        <v>4.3</v>
      </c>
    </row>
    <row r="789" customFormat="false" ht="15" hidden="false" customHeight="false" outlineLevel="0" collapsed="false">
      <c r="A789" s="12" t="n">
        <v>4</v>
      </c>
      <c r="B789" s="13" t="n">
        <f aca="false">IF(ISNUMBER(A789),ROUND(A789/Results!$C$5,0)*Results!$C$5,"")</f>
        <v>4</v>
      </c>
    </row>
    <row r="790" customFormat="false" ht="15" hidden="false" customHeight="false" outlineLevel="0" collapsed="false">
      <c r="A790" s="12" t="n">
        <v>4</v>
      </c>
      <c r="B790" s="13" t="n">
        <f aca="false">IF(ISNUMBER(A790),ROUND(A790/Results!$C$5,0)*Results!$C$5,"")</f>
        <v>4</v>
      </c>
    </row>
    <row r="791" customFormat="false" ht="15" hidden="false" customHeight="false" outlineLevel="0" collapsed="false">
      <c r="A791" s="12" t="n">
        <v>4.6</v>
      </c>
      <c r="B791" s="13" t="n">
        <f aca="false">IF(ISNUMBER(A791),ROUND(A791/Results!$C$5,0)*Results!$C$5,"")</f>
        <v>4.6</v>
      </c>
    </row>
    <row r="792" customFormat="false" ht="15" hidden="false" customHeight="false" outlineLevel="0" collapsed="false">
      <c r="A792" s="12" t="n">
        <v>4.5</v>
      </c>
      <c r="B792" s="13" t="n">
        <f aca="false">IF(ISNUMBER(A792),ROUND(A792/Results!$C$5,0)*Results!$C$5,"")</f>
        <v>4.5</v>
      </c>
    </row>
    <row r="793" customFormat="false" ht="15" hidden="false" customHeight="false" outlineLevel="0" collapsed="false">
      <c r="A793" s="12" t="n">
        <v>4.7</v>
      </c>
      <c r="B793" s="13" t="n">
        <f aca="false">IF(ISNUMBER(A793),ROUND(A793/Results!$C$5,0)*Results!$C$5,"")</f>
        <v>4.7</v>
      </c>
    </row>
    <row r="794" customFormat="false" ht="15" hidden="false" customHeight="false" outlineLevel="0" collapsed="false">
      <c r="A794" s="12" t="n">
        <v>6.2</v>
      </c>
      <c r="B794" s="13" t="n">
        <f aca="false">IF(ISNUMBER(A794),ROUND(A794/Results!$C$5,0)*Results!$C$5,"")</f>
        <v>6.2</v>
      </c>
    </row>
    <row r="795" customFormat="false" ht="15" hidden="false" customHeight="false" outlineLevel="0" collapsed="false">
      <c r="A795" s="12" t="n">
        <v>4.1</v>
      </c>
      <c r="B795" s="13" t="n">
        <f aca="false">IF(ISNUMBER(A795),ROUND(A795/Results!$C$5,0)*Results!$C$5,"")</f>
        <v>4.1</v>
      </c>
    </row>
    <row r="796" customFormat="false" ht="15" hidden="false" customHeight="false" outlineLevel="0" collapsed="false">
      <c r="A796" s="12" t="n">
        <v>4</v>
      </c>
      <c r="B796" s="13" t="n">
        <f aca="false">IF(ISNUMBER(A796),ROUND(A796/Results!$C$5,0)*Results!$C$5,"")</f>
        <v>4</v>
      </c>
    </row>
    <row r="797" customFormat="false" ht="15" hidden="false" customHeight="false" outlineLevel="0" collapsed="false">
      <c r="A797" s="12" t="n">
        <v>5.8</v>
      </c>
      <c r="B797" s="13" t="n">
        <f aca="false">IF(ISNUMBER(A797),ROUND(A797/Results!$C$5,0)*Results!$C$5,"")</f>
        <v>5.8</v>
      </c>
    </row>
    <row r="798" customFormat="false" ht="15" hidden="false" customHeight="false" outlineLevel="0" collapsed="false">
      <c r="A798" s="12" t="n">
        <v>6.1</v>
      </c>
      <c r="B798" s="13" t="n">
        <f aca="false">IF(ISNUMBER(A798),ROUND(A798/Results!$C$5,0)*Results!$C$5,"")</f>
        <v>6.1</v>
      </c>
    </row>
    <row r="799" customFormat="false" ht="15" hidden="false" customHeight="false" outlineLevel="0" collapsed="false">
      <c r="A799" s="12" t="n">
        <v>4.6</v>
      </c>
      <c r="B799" s="13" t="n">
        <f aca="false">IF(ISNUMBER(A799),ROUND(A799/Results!$C$5,0)*Results!$C$5,"")</f>
        <v>4.6</v>
      </c>
    </row>
    <row r="800" customFormat="false" ht="15" hidden="false" customHeight="false" outlineLevel="0" collapsed="false">
      <c r="A800" s="12" t="n">
        <v>4.1</v>
      </c>
      <c r="B800" s="13" t="n">
        <f aca="false">IF(ISNUMBER(A800),ROUND(A800/Results!$C$5,0)*Results!$C$5,"")</f>
        <v>4.1</v>
      </c>
    </row>
    <row r="801" customFormat="false" ht="15" hidden="false" customHeight="false" outlineLevel="0" collapsed="false">
      <c r="A801" s="12" t="n">
        <v>4.4</v>
      </c>
      <c r="B801" s="13" t="n">
        <f aca="false">IF(ISNUMBER(A801),ROUND(A801/Results!$C$5,0)*Results!$C$5,"")</f>
        <v>4.4</v>
      </c>
    </row>
    <row r="802" customFormat="false" ht="15" hidden="false" customHeight="false" outlineLevel="0" collapsed="false">
      <c r="A802" s="12" t="n">
        <v>4.8</v>
      </c>
      <c r="B802" s="13" t="n">
        <f aca="false">IF(ISNUMBER(A802),ROUND(A802/Results!$C$5,0)*Results!$C$5,"")</f>
        <v>4.8</v>
      </c>
    </row>
    <row r="803" customFormat="false" ht="15" hidden="false" customHeight="false" outlineLevel="0" collapsed="false">
      <c r="A803" s="12" t="n">
        <v>4.2</v>
      </c>
      <c r="B803" s="13" t="n">
        <f aca="false">IF(ISNUMBER(A803),ROUND(A803/Results!$C$5,0)*Results!$C$5,"")</f>
        <v>4.2</v>
      </c>
    </row>
    <row r="804" customFormat="false" ht="15" hidden="false" customHeight="false" outlineLevel="0" collapsed="false">
      <c r="A804" s="12" t="n">
        <v>4.3</v>
      </c>
      <c r="B804" s="13" t="n">
        <f aca="false">IF(ISNUMBER(A804),ROUND(A804/Results!$C$5,0)*Results!$C$5,"")</f>
        <v>4.3</v>
      </c>
    </row>
    <row r="805" customFormat="false" ht="15" hidden="false" customHeight="false" outlineLevel="0" collapsed="false">
      <c r="A805" s="12" t="n">
        <v>4.6</v>
      </c>
      <c r="B805" s="13" t="n">
        <f aca="false">IF(ISNUMBER(A805),ROUND(A805/Results!$C$5,0)*Results!$C$5,"")</f>
        <v>4.6</v>
      </c>
    </row>
    <row r="806" customFormat="false" ht="15" hidden="false" customHeight="false" outlineLevel="0" collapsed="false">
      <c r="A806" s="12" t="n">
        <v>4</v>
      </c>
      <c r="B806" s="13" t="n">
        <f aca="false">IF(ISNUMBER(A806),ROUND(A806/Results!$C$5,0)*Results!$C$5,"")</f>
        <v>4</v>
      </c>
    </row>
    <row r="807" customFormat="false" ht="15" hidden="false" customHeight="false" outlineLevel="0" collapsed="false">
      <c r="A807" s="12"/>
      <c r="B807" s="13" t="str">
        <f aca="false">IF(ISNUMBER(A807),ROUND(A807/Results!$C$5,0)*Results!$C$5,"")</f>
        <v/>
      </c>
    </row>
    <row r="808" customFormat="false" ht="15" hidden="false" customHeight="false" outlineLevel="0" collapsed="false">
      <c r="A808" s="12"/>
      <c r="B808" s="13" t="str">
        <f aca="false">IF(ISNUMBER(A808),ROUND(A808/Results!$C$5,0)*Results!$C$5,"")</f>
        <v/>
      </c>
    </row>
    <row r="809" customFormat="false" ht="15" hidden="false" customHeight="false" outlineLevel="0" collapsed="false">
      <c r="A809" s="12"/>
      <c r="B809" s="13" t="str">
        <f aca="false">IF(ISNUMBER(A809),ROUND(A809/Results!$C$5,0)*Results!$C$5,"")</f>
        <v/>
      </c>
    </row>
    <row r="810" customFormat="false" ht="15" hidden="false" customHeight="false" outlineLevel="0" collapsed="false">
      <c r="A810" s="12"/>
      <c r="B810" s="13" t="str">
        <f aca="false">IF(ISNUMBER(A810),ROUND(A810/Results!$C$5,0)*Results!$C$5,"")</f>
        <v/>
      </c>
    </row>
    <row r="811" customFormat="false" ht="15" hidden="false" customHeight="false" outlineLevel="0" collapsed="false">
      <c r="A811" s="12"/>
      <c r="B811" s="13" t="str">
        <f aca="false">IF(ISNUMBER(A811),ROUND(A811/Results!$C$5,0)*Results!$C$5,"")</f>
        <v/>
      </c>
    </row>
    <row r="812" customFormat="false" ht="15" hidden="false" customHeight="false" outlineLevel="0" collapsed="false">
      <c r="A812" s="12"/>
      <c r="B812" s="13" t="str">
        <f aca="false">IF(ISNUMBER(A812),ROUND(A812/Results!$C$5,0)*Results!$C$5,"")</f>
        <v/>
      </c>
    </row>
    <row r="813" customFormat="false" ht="15" hidden="false" customHeight="false" outlineLevel="0" collapsed="false">
      <c r="A813" s="12"/>
      <c r="B813" s="13" t="str">
        <f aca="false">IF(ISNUMBER(A813),ROUND(A813/Results!$C$5,0)*Results!$C$5,"")</f>
        <v/>
      </c>
    </row>
    <row r="814" customFormat="false" ht="15" hidden="false" customHeight="false" outlineLevel="0" collapsed="false">
      <c r="A814" s="12"/>
      <c r="B814" s="13" t="str">
        <f aca="false">IF(ISNUMBER(A814),ROUND(A814/Results!$C$5,0)*Results!$C$5,"")</f>
        <v/>
      </c>
    </row>
    <row r="815" customFormat="false" ht="15" hidden="false" customHeight="false" outlineLevel="0" collapsed="false">
      <c r="A815" s="12"/>
      <c r="B815" s="13" t="str">
        <f aca="false">IF(ISNUMBER(A815),ROUND(A815/Results!$C$5,0)*Results!$C$5,"")</f>
        <v/>
      </c>
    </row>
    <row r="816" customFormat="false" ht="15" hidden="false" customHeight="false" outlineLevel="0" collapsed="false">
      <c r="A816" s="12"/>
      <c r="B816" s="13" t="str">
        <f aca="false">IF(ISNUMBER(A816),ROUND(A816/Results!$C$5,0)*Results!$C$5,"")</f>
        <v/>
      </c>
    </row>
    <row r="817" customFormat="false" ht="15" hidden="false" customHeight="false" outlineLevel="0" collapsed="false">
      <c r="A817" s="12"/>
      <c r="B817" s="13" t="str">
        <f aca="false">IF(ISNUMBER(A817),ROUND(A817/Results!$C$5,0)*Results!$C$5,"")</f>
        <v/>
      </c>
    </row>
    <row r="818" customFormat="false" ht="15" hidden="false" customHeight="false" outlineLevel="0" collapsed="false">
      <c r="A818" s="12"/>
      <c r="B818" s="13" t="str">
        <f aca="false">IF(ISNUMBER(A818),ROUND(A818/Results!$C$5,0)*Results!$C$5,"")</f>
        <v/>
      </c>
    </row>
    <row r="819" customFormat="false" ht="15" hidden="false" customHeight="false" outlineLevel="0" collapsed="false">
      <c r="A819" s="12"/>
      <c r="B819" s="13" t="str">
        <f aca="false">IF(ISNUMBER(A819),ROUND(A819/Results!$C$5,0)*Results!$C$5,"")</f>
        <v/>
      </c>
    </row>
    <row r="820" customFormat="false" ht="15" hidden="false" customHeight="false" outlineLevel="0" collapsed="false">
      <c r="A820" s="12"/>
      <c r="B820" s="13" t="str">
        <f aca="false">IF(ISNUMBER(A820),ROUND(A820/Results!$C$5,0)*Results!$C$5,"")</f>
        <v/>
      </c>
    </row>
    <row r="821" customFormat="false" ht="15" hidden="false" customHeight="false" outlineLevel="0" collapsed="false">
      <c r="A821" s="12"/>
      <c r="B821" s="13" t="str">
        <f aca="false">IF(ISNUMBER(A821),ROUND(A821/Results!$C$5,0)*Results!$C$5,"")</f>
        <v/>
      </c>
    </row>
    <row r="822" customFormat="false" ht="15" hidden="false" customHeight="false" outlineLevel="0" collapsed="false">
      <c r="A822" s="12"/>
      <c r="B822" s="13" t="str">
        <f aca="false">IF(ISNUMBER(A822),ROUND(A822/Results!$C$5,0)*Results!$C$5,"")</f>
        <v/>
      </c>
    </row>
    <row r="823" customFormat="false" ht="15" hidden="false" customHeight="false" outlineLevel="0" collapsed="false">
      <c r="A823" s="12"/>
      <c r="B823" s="13" t="str">
        <f aca="false">IF(ISNUMBER(A823),ROUND(A823/Results!$C$5,0)*Results!$C$5,"")</f>
        <v/>
      </c>
    </row>
    <row r="824" customFormat="false" ht="15" hidden="false" customHeight="false" outlineLevel="0" collapsed="false">
      <c r="A824" s="12"/>
      <c r="B824" s="13" t="str">
        <f aca="false">IF(ISNUMBER(A824),ROUND(A824/Results!$C$5,0)*Results!$C$5,"")</f>
        <v/>
      </c>
    </row>
    <row r="825" customFormat="false" ht="15" hidden="false" customHeight="false" outlineLevel="0" collapsed="false">
      <c r="A825" s="12"/>
      <c r="B825" s="13" t="str">
        <f aca="false">IF(ISNUMBER(A825),ROUND(A825/Results!$C$5,0)*Results!$C$5,"")</f>
        <v/>
      </c>
    </row>
    <row r="826" customFormat="false" ht="15" hidden="false" customHeight="false" outlineLevel="0" collapsed="false">
      <c r="A826" s="12"/>
      <c r="B826" s="13" t="str">
        <f aca="false">IF(ISNUMBER(A826),ROUND(A826/Results!$C$5,0)*Results!$C$5,"")</f>
        <v/>
      </c>
    </row>
    <row r="827" customFormat="false" ht="15" hidden="false" customHeight="false" outlineLevel="0" collapsed="false">
      <c r="A827" s="12"/>
      <c r="B827" s="13" t="str">
        <f aca="false">IF(ISNUMBER(A827),ROUND(A827/Results!$C$5,0)*Results!$C$5,"")</f>
        <v/>
      </c>
    </row>
    <row r="828" customFormat="false" ht="15" hidden="false" customHeight="false" outlineLevel="0" collapsed="false">
      <c r="A828" s="12"/>
      <c r="B828" s="13" t="str">
        <f aca="false">IF(ISNUMBER(A828),ROUND(A828/Results!$C$5,0)*Results!$C$5,"")</f>
        <v/>
      </c>
    </row>
    <row r="829" customFormat="false" ht="15" hidden="false" customHeight="false" outlineLevel="0" collapsed="false">
      <c r="A829" s="12"/>
      <c r="B829" s="13" t="str">
        <f aca="false">IF(ISNUMBER(A829),ROUND(A829/Results!$C$5,0)*Results!$C$5,"")</f>
        <v/>
      </c>
    </row>
    <row r="830" customFormat="false" ht="15" hidden="false" customHeight="false" outlineLevel="0" collapsed="false">
      <c r="A830" s="12"/>
      <c r="B830" s="13" t="str">
        <f aca="false">IF(ISNUMBER(A830),ROUND(A830/Results!$C$5,0)*Results!$C$5,"")</f>
        <v/>
      </c>
    </row>
    <row r="831" customFormat="false" ht="15" hidden="false" customHeight="false" outlineLevel="0" collapsed="false">
      <c r="A831" s="12"/>
      <c r="B831" s="13" t="str">
        <f aca="false">IF(ISNUMBER(A831),ROUND(A831/Results!$C$5,0)*Results!$C$5,"")</f>
        <v/>
      </c>
    </row>
    <row r="832" customFormat="false" ht="15" hidden="false" customHeight="false" outlineLevel="0" collapsed="false">
      <c r="A832" s="12"/>
      <c r="B832" s="13" t="str">
        <f aca="false">IF(ISNUMBER(A832),ROUND(A832/Results!$C$5,0)*Results!$C$5,"")</f>
        <v/>
      </c>
    </row>
    <row r="833" customFormat="false" ht="15" hidden="false" customHeight="false" outlineLevel="0" collapsed="false">
      <c r="A833" s="12"/>
      <c r="B833" s="13" t="str">
        <f aca="false">IF(ISNUMBER(A833),ROUND(A833/Results!$C$5,0)*Results!$C$5,"")</f>
        <v/>
      </c>
    </row>
    <row r="834" customFormat="false" ht="15" hidden="false" customHeight="false" outlineLevel="0" collapsed="false">
      <c r="A834" s="12"/>
      <c r="B834" s="13" t="str">
        <f aca="false">IF(ISNUMBER(A834),ROUND(A834/Results!$C$5,0)*Results!$C$5,"")</f>
        <v/>
      </c>
    </row>
    <row r="835" customFormat="false" ht="15" hidden="false" customHeight="false" outlineLevel="0" collapsed="false">
      <c r="A835" s="12"/>
      <c r="B835" s="13" t="str">
        <f aca="false">IF(ISNUMBER(A835),ROUND(A835/Results!$C$5,0)*Results!$C$5,"")</f>
        <v/>
      </c>
    </row>
    <row r="836" customFormat="false" ht="15" hidden="false" customHeight="false" outlineLevel="0" collapsed="false">
      <c r="A836" s="12"/>
      <c r="B836" s="13" t="str">
        <f aca="false">IF(ISNUMBER(A836),ROUND(A836/Results!$C$5,0)*Results!$C$5,"")</f>
        <v/>
      </c>
    </row>
    <row r="837" customFormat="false" ht="15" hidden="false" customHeight="false" outlineLevel="0" collapsed="false">
      <c r="A837" s="12"/>
      <c r="B837" s="13" t="str">
        <f aca="false">IF(ISNUMBER(A837),ROUND(A837/Results!$C$5,0)*Results!$C$5,"")</f>
        <v/>
      </c>
    </row>
    <row r="838" customFormat="false" ht="15" hidden="false" customHeight="false" outlineLevel="0" collapsed="false">
      <c r="A838" s="12"/>
      <c r="B838" s="13" t="str">
        <f aca="false">IF(ISNUMBER(A838),ROUND(A838/Results!$C$5,0)*Results!$C$5,"")</f>
        <v/>
      </c>
    </row>
    <row r="839" customFormat="false" ht="15" hidden="false" customHeight="false" outlineLevel="0" collapsed="false">
      <c r="A839" s="12"/>
      <c r="B839" s="13" t="str">
        <f aca="false">IF(ISNUMBER(A839),ROUND(A839/Results!$C$5,0)*Results!$C$5,"")</f>
        <v/>
      </c>
    </row>
    <row r="840" customFormat="false" ht="15" hidden="false" customHeight="false" outlineLevel="0" collapsed="false">
      <c r="A840" s="12"/>
      <c r="B840" s="13" t="str">
        <f aca="false">IF(ISNUMBER(A840),ROUND(A840/Results!$C$5,0)*Results!$C$5,"")</f>
        <v/>
      </c>
    </row>
    <row r="841" customFormat="false" ht="15" hidden="false" customHeight="false" outlineLevel="0" collapsed="false">
      <c r="A841" s="12"/>
      <c r="B841" s="13" t="str">
        <f aca="false">IF(ISNUMBER(A841),ROUND(A841/Results!$C$5,0)*Results!$C$5,"")</f>
        <v/>
      </c>
    </row>
    <row r="842" customFormat="false" ht="15" hidden="false" customHeight="false" outlineLevel="0" collapsed="false">
      <c r="A842" s="12"/>
      <c r="B842" s="13" t="str">
        <f aca="false">IF(ISNUMBER(A842),ROUND(A842/Results!$C$5,0)*Results!$C$5,"")</f>
        <v/>
      </c>
    </row>
    <row r="843" customFormat="false" ht="15" hidden="false" customHeight="false" outlineLevel="0" collapsed="false">
      <c r="A843" s="12"/>
      <c r="B843" s="13" t="str">
        <f aca="false">IF(ISNUMBER(A843),ROUND(A843/Results!$C$5,0)*Results!$C$5,"")</f>
        <v/>
      </c>
    </row>
    <row r="844" customFormat="false" ht="15" hidden="false" customHeight="false" outlineLevel="0" collapsed="false">
      <c r="A844" s="12"/>
      <c r="B844" s="13" t="str">
        <f aca="false">IF(ISNUMBER(A844),ROUND(A844/Results!$C$5,0)*Results!$C$5,"")</f>
        <v/>
      </c>
    </row>
    <row r="845" customFormat="false" ht="15" hidden="false" customHeight="false" outlineLevel="0" collapsed="false">
      <c r="A845" s="12"/>
      <c r="B845" s="13" t="str">
        <f aca="false">IF(ISNUMBER(A845),ROUND(A845/Results!$C$5,0)*Results!$C$5,"")</f>
        <v/>
      </c>
    </row>
    <row r="846" customFormat="false" ht="15" hidden="false" customHeight="false" outlineLevel="0" collapsed="false">
      <c r="A846" s="12"/>
      <c r="B846" s="13" t="str">
        <f aca="false">IF(ISNUMBER(A846),ROUND(A846/Results!$C$5,0)*Results!$C$5,"")</f>
        <v/>
      </c>
    </row>
    <row r="847" customFormat="false" ht="15" hidden="false" customHeight="false" outlineLevel="0" collapsed="false">
      <c r="A847" s="12"/>
      <c r="B847" s="13" t="str">
        <f aca="false">IF(ISNUMBER(A847),ROUND(A847/Results!$C$5,0)*Results!$C$5,"")</f>
        <v/>
      </c>
    </row>
    <row r="848" customFormat="false" ht="15" hidden="false" customHeight="false" outlineLevel="0" collapsed="false">
      <c r="A848" s="12"/>
      <c r="B848" s="13" t="str">
        <f aca="false">IF(ISNUMBER(A848),ROUND(A848/Results!$C$5,0)*Results!$C$5,"")</f>
        <v/>
      </c>
    </row>
    <row r="849" customFormat="false" ht="15" hidden="false" customHeight="false" outlineLevel="0" collapsed="false">
      <c r="A849" s="12"/>
      <c r="B849" s="13" t="str">
        <f aca="false">IF(ISNUMBER(A849),ROUND(A849/Results!$C$5,0)*Results!$C$5,"")</f>
        <v/>
      </c>
    </row>
    <row r="850" customFormat="false" ht="15" hidden="false" customHeight="false" outlineLevel="0" collapsed="false">
      <c r="A850" s="12"/>
      <c r="B850" s="13" t="str">
        <f aca="false">IF(ISNUMBER(A850),ROUND(A850/Results!$C$5,0)*Results!$C$5,"")</f>
        <v/>
      </c>
    </row>
    <row r="851" customFormat="false" ht="15" hidden="false" customHeight="false" outlineLevel="0" collapsed="false">
      <c r="A851" s="12"/>
      <c r="B851" s="13" t="str">
        <f aca="false">IF(ISNUMBER(A851),ROUND(A851/Results!$C$5,0)*Results!$C$5,"")</f>
        <v/>
      </c>
    </row>
    <row r="852" customFormat="false" ht="15" hidden="false" customHeight="false" outlineLevel="0" collapsed="false">
      <c r="A852" s="12"/>
      <c r="B852" s="13" t="str">
        <f aca="false">IF(ISNUMBER(A852),ROUND(A852/Results!$C$5,0)*Results!$C$5,"")</f>
        <v/>
      </c>
    </row>
    <row r="853" customFormat="false" ht="15" hidden="false" customHeight="false" outlineLevel="0" collapsed="false">
      <c r="A853" s="12"/>
      <c r="B853" s="13" t="str">
        <f aca="false">IF(ISNUMBER(A853),ROUND(A853/Results!$C$5,0)*Results!$C$5,"")</f>
        <v/>
      </c>
    </row>
    <row r="854" customFormat="false" ht="15" hidden="false" customHeight="false" outlineLevel="0" collapsed="false">
      <c r="A854" s="12"/>
      <c r="B854" s="13" t="str">
        <f aca="false">IF(ISNUMBER(A854),ROUND(A854/Results!$C$5,0)*Results!$C$5,"")</f>
        <v/>
      </c>
    </row>
    <row r="855" customFormat="false" ht="15" hidden="false" customHeight="false" outlineLevel="0" collapsed="false">
      <c r="A855" s="12"/>
      <c r="B855" s="13" t="str">
        <f aca="false">IF(ISNUMBER(A855),ROUND(A855/Results!$C$5,0)*Results!$C$5,"")</f>
        <v/>
      </c>
    </row>
    <row r="856" customFormat="false" ht="15" hidden="false" customHeight="false" outlineLevel="0" collapsed="false">
      <c r="A856" s="12"/>
      <c r="B856" s="13" t="str">
        <f aca="false">IF(ISNUMBER(A856),ROUND(A856/Results!$C$5,0)*Results!$C$5,"")</f>
        <v/>
      </c>
    </row>
    <row r="857" customFormat="false" ht="15" hidden="false" customHeight="false" outlineLevel="0" collapsed="false">
      <c r="A857" s="12"/>
      <c r="B857" s="13" t="str">
        <f aca="false">IF(ISNUMBER(A857),ROUND(A857/Results!$C$5,0)*Results!$C$5,"")</f>
        <v/>
      </c>
    </row>
    <row r="858" customFormat="false" ht="15" hidden="false" customHeight="false" outlineLevel="0" collapsed="false">
      <c r="A858" s="12"/>
      <c r="B858" s="13" t="str">
        <f aca="false">IF(ISNUMBER(A858),ROUND(A858/Results!$C$5,0)*Results!$C$5,"")</f>
        <v/>
      </c>
    </row>
    <row r="859" customFormat="false" ht="15" hidden="false" customHeight="false" outlineLevel="0" collapsed="false">
      <c r="A859" s="12"/>
      <c r="B859" s="13" t="str">
        <f aca="false">IF(ISNUMBER(A859),ROUND(A859/Results!$C$5,0)*Results!$C$5,"")</f>
        <v/>
      </c>
    </row>
    <row r="860" customFormat="false" ht="15" hidden="false" customHeight="false" outlineLevel="0" collapsed="false">
      <c r="A860" s="12"/>
      <c r="B860" s="13" t="str">
        <f aca="false">IF(ISNUMBER(A860),ROUND(A860/Results!$C$5,0)*Results!$C$5,"")</f>
        <v/>
      </c>
    </row>
    <row r="861" customFormat="false" ht="15" hidden="false" customHeight="false" outlineLevel="0" collapsed="false">
      <c r="A861" s="12"/>
      <c r="B861" s="13" t="str">
        <f aca="false">IF(ISNUMBER(A861),ROUND(A861/Results!$C$5,0)*Results!$C$5,"")</f>
        <v/>
      </c>
    </row>
    <row r="862" customFormat="false" ht="15" hidden="false" customHeight="false" outlineLevel="0" collapsed="false">
      <c r="A862" s="12"/>
      <c r="B862" s="13" t="str">
        <f aca="false">IF(ISNUMBER(A862),ROUND(A862/Results!$C$5,0)*Results!$C$5,"")</f>
        <v/>
      </c>
    </row>
    <row r="863" customFormat="false" ht="15" hidden="false" customHeight="false" outlineLevel="0" collapsed="false">
      <c r="A863" s="12"/>
      <c r="B863" s="13" t="str">
        <f aca="false">IF(ISNUMBER(A863),ROUND(A863/Results!$C$5,0)*Results!$C$5,"")</f>
        <v/>
      </c>
    </row>
    <row r="864" customFormat="false" ht="15" hidden="false" customHeight="false" outlineLevel="0" collapsed="false">
      <c r="A864" s="12"/>
      <c r="B864" s="13" t="str">
        <f aca="false">IF(ISNUMBER(A864),ROUND(A864/Results!$C$5,0)*Results!$C$5,"")</f>
        <v/>
      </c>
    </row>
    <row r="865" customFormat="false" ht="15" hidden="false" customHeight="false" outlineLevel="0" collapsed="false">
      <c r="A865" s="12"/>
      <c r="B865" s="13" t="str">
        <f aca="false">IF(ISNUMBER(A865),ROUND(A865/Results!$C$5,0)*Results!$C$5,"")</f>
        <v/>
      </c>
    </row>
    <row r="866" customFormat="false" ht="15" hidden="false" customHeight="false" outlineLevel="0" collapsed="false">
      <c r="A866" s="12"/>
      <c r="B866" s="13" t="str">
        <f aca="false">IF(ISNUMBER(A866),ROUND(A866/Results!$C$5,0)*Results!$C$5,"")</f>
        <v/>
      </c>
    </row>
    <row r="867" customFormat="false" ht="15" hidden="false" customHeight="false" outlineLevel="0" collapsed="false">
      <c r="A867" s="12"/>
      <c r="B867" s="13" t="str">
        <f aca="false">IF(ISNUMBER(A867),ROUND(A867/Results!$C$5,0)*Results!$C$5,"")</f>
        <v/>
      </c>
    </row>
    <row r="868" customFormat="false" ht="15" hidden="false" customHeight="false" outlineLevel="0" collapsed="false">
      <c r="A868" s="12"/>
      <c r="B868" s="13" t="str">
        <f aca="false">IF(ISNUMBER(A868),ROUND(A868/Results!$C$5,0)*Results!$C$5,"")</f>
        <v/>
      </c>
    </row>
    <row r="869" customFormat="false" ht="15" hidden="false" customHeight="false" outlineLevel="0" collapsed="false">
      <c r="A869" s="12"/>
      <c r="B869" s="13" t="str">
        <f aca="false">IF(ISNUMBER(A869),ROUND(A869/Results!$C$5,0)*Results!$C$5,"")</f>
        <v/>
      </c>
    </row>
    <row r="870" customFormat="false" ht="15" hidden="false" customHeight="false" outlineLevel="0" collapsed="false">
      <c r="A870" s="12"/>
      <c r="B870" s="13" t="str">
        <f aca="false">IF(ISNUMBER(A870),ROUND(A870/Results!$C$5,0)*Results!$C$5,"")</f>
        <v/>
      </c>
    </row>
    <row r="871" customFormat="false" ht="15" hidden="false" customHeight="false" outlineLevel="0" collapsed="false">
      <c r="A871" s="12"/>
      <c r="B871" s="13" t="str">
        <f aca="false">IF(ISNUMBER(A871),ROUND(A871/Results!$C$5,0)*Results!$C$5,"")</f>
        <v/>
      </c>
    </row>
    <row r="872" customFormat="false" ht="15" hidden="false" customHeight="false" outlineLevel="0" collapsed="false">
      <c r="A872" s="12"/>
      <c r="B872" s="13" t="str">
        <f aca="false">IF(ISNUMBER(A872),ROUND(A872/Results!$C$5,0)*Results!$C$5,"")</f>
        <v/>
      </c>
    </row>
    <row r="873" customFormat="false" ht="15" hidden="false" customHeight="false" outlineLevel="0" collapsed="false">
      <c r="A873" s="12"/>
      <c r="B873" s="13" t="str">
        <f aca="false">IF(ISNUMBER(A873),ROUND(A873/Results!$C$5,0)*Results!$C$5,"")</f>
        <v/>
      </c>
    </row>
    <row r="874" customFormat="false" ht="15" hidden="false" customHeight="false" outlineLevel="0" collapsed="false">
      <c r="A874" s="12"/>
      <c r="B874" s="13" t="str">
        <f aca="false">IF(ISNUMBER(A874),ROUND(A874/Results!$C$5,0)*Results!$C$5,"")</f>
        <v/>
      </c>
    </row>
    <row r="875" customFormat="false" ht="15" hidden="false" customHeight="false" outlineLevel="0" collapsed="false">
      <c r="A875" s="12"/>
      <c r="B875" s="13" t="str">
        <f aca="false">IF(ISNUMBER(A875),ROUND(A875/Results!$C$5,0)*Results!$C$5,"")</f>
        <v/>
      </c>
    </row>
    <row r="876" customFormat="false" ht="15" hidden="false" customHeight="false" outlineLevel="0" collapsed="false">
      <c r="A876" s="12"/>
      <c r="B876" s="13" t="str">
        <f aca="false">IF(ISNUMBER(A876),ROUND(A876/Results!$C$5,0)*Results!$C$5,"")</f>
        <v/>
      </c>
    </row>
    <row r="877" customFormat="false" ht="15" hidden="false" customHeight="false" outlineLevel="0" collapsed="false">
      <c r="A877" s="12"/>
      <c r="B877" s="13" t="str">
        <f aca="false">IF(ISNUMBER(A877),ROUND(A877/Results!$C$5,0)*Results!$C$5,"")</f>
        <v/>
      </c>
    </row>
    <row r="878" customFormat="false" ht="15" hidden="false" customHeight="false" outlineLevel="0" collapsed="false">
      <c r="A878" s="12"/>
      <c r="B878" s="13" t="str">
        <f aca="false">IF(ISNUMBER(A878),ROUND(A878/Results!$C$5,0)*Results!$C$5,"")</f>
        <v/>
      </c>
    </row>
    <row r="879" customFormat="false" ht="15" hidden="false" customHeight="false" outlineLevel="0" collapsed="false">
      <c r="A879" s="12"/>
      <c r="B879" s="13" t="str">
        <f aca="false">IF(ISNUMBER(A879),ROUND(A879/Results!$C$5,0)*Results!$C$5,"")</f>
        <v/>
      </c>
    </row>
    <row r="880" customFormat="false" ht="15" hidden="false" customHeight="false" outlineLevel="0" collapsed="false">
      <c r="A880" s="12"/>
      <c r="B880" s="13" t="str">
        <f aca="false">IF(ISNUMBER(A880),ROUND(A880/Results!$C$5,0)*Results!$C$5,"")</f>
        <v/>
      </c>
    </row>
    <row r="881" customFormat="false" ht="15" hidden="false" customHeight="false" outlineLevel="0" collapsed="false">
      <c r="A881" s="12"/>
      <c r="B881" s="13" t="str">
        <f aca="false">IF(ISNUMBER(A881),ROUND(A881/Results!$C$5,0)*Results!$C$5,"")</f>
        <v/>
      </c>
    </row>
    <row r="882" customFormat="false" ht="15" hidden="false" customHeight="false" outlineLevel="0" collapsed="false">
      <c r="A882" s="12"/>
      <c r="B882" s="13" t="str">
        <f aca="false">IF(ISNUMBER(A882),ROUND(A882/Results!$C$5,0)*Results!$C$5,"")</f>
        <v/>
      </c>
    </row>
    <row r="883" customFormat="false" ht="15" hidden="false" customHeight="false" outlineLevel="0" collapsed="false">
      <c r="A883" s="12"/>
      <c r="B883" s="13" t="str">
        <f aca="false">IF(ISNUMBER(A883),ROUND(A883/Results!$C$5,0)*Results!$C$5,"")</f>
        <v/>
      </c>
    </row>
    <row r="884" customFormat="false" ht="15" hidden="false" customHeight="false" outlineLevel="0" collapsed="false">
      <c r="A884" s="12"/>
      <c r="B884" s="13" t="str">
        <f aca="false">IF(ISNUMBER(A884),ROUND(A884/Results!$C$5,0)*Results!$C$5,"")</f>
        <v/>
      </c>
    </row>
    <row r="885" customFormat="false" ht="15" hidden="false" customHeight="false" outlineLevel="0" collapsed="false">
      <c r="A885" s="12"/>
      <c r="B885" s="13" t="str">
        <f aca="false">IF(ISNUMBER(A885),ROUND(A885/Results!$C$5,0)*Results!$C$5,"")</f>
        <v/>
      </c>
    </row>
    <row r="886" customFormat="false" ht="15" hidden="false" customHeight="false" outlineLevel="0" collapsed="false">
      <c r="A886" s="12"/>
      <c r="B886" s="13" t="str">
        <f aca="false">IF(ISNUMBER(A886),ROUND(A886/Results!$C$5,0)*Results!$C$5,"")</f>
        <v/>
      </c>
    </row>
    <row r="887" customFormat="false" ht="15" hidden="false" customHeight="false" outlineLevel="0" collapsed="false">
      <c r="A887" s="12"/>
      <c r="B887" s="13" t="str">
        <f aca="false">IF(ISNUMBER(A887),ROUND(A887/Results!$C$5,0)*Results!$C$5,"")</f>
        <v/>
      </c>
    </row>
    <row r="888" customFormat="false" ht="15" hidden="false" customHeight="false" outlineLevel="0" collapsed="false">
      <c r="A888" s="12"/>
      <c r="B888" s="13" t="str">
        <f aca="false">IF(ISNUMBER(A888),ROUND(A888/Results!$C$5,0)*Results!$C$5,"")</f>
        <v/>
      </c>
    </row>
    <row r="889" customFormat="false" ht="15" hidden="false" customHeight="false" outlineLevel="0" collapsed="false">
      <c r="A889" s="12"/>
      <c r="B889" s="13" t="str">
        <f aca="false">IF(ISNUMBER(A889),ROUND(A889/Results!$C$5,0)*Results!$C$5,"")</f>
        <v/>
      </c>
    </row>
    <row r="890" customFormat="false" ht="15" hidden="false" customHeight="false" outlineLevel="0" collapsed="false">
      <c r="A890" s="12"/>
      <c r="B890" s="13" t="str">
        <f aca="false">IF(ISNUMBER(A890),ROUND(A890/Results!$C$5,0)*Results!$C$5,"")</f>
        <v/>
      </c>
    </row>
    <row r="891" customFormat="false" ht="15" hidden="false" customHeight="false" outlineLevel="0" collapsed="false">
      <c r="A891" s="12"/>
      <c r="B891" s="13" t="str">
        <f aca="false">IF(ISNUMBER(A891),ROUND(A891/Results!$C$5,0)*Results!$C$5,"")</f>
        <v/>
      </c>
    </row>
    <row r="892" customFormat="false" ht="15" hidden="false" customHeight="false" outlineLevel="0" collapsed="false">
      <c r="A892" s="12"/>
      <c r="B892" s="13" t="str">
        <f aca="false">IF(ISNUMBER(A892),ROUND(A892/Results!$C$5,0)*Results!$C$5,"")</f>
        <v/>
      </c>
    </row>
    <row r="893" customFormat="false" ht="15" hidden="false" customHeight="false" outlineLevel="0" collapsed="false">
      <c r="A893" s="12"/>
      <c r="B893" s="13" t="str">
        <f aca="false">IF(ISNUMBER(A893),ROUND(A893/Results!$C$5,0)*Results!$C$5,"")</f>
        <v/>
      </c>
    </row>
    <row r="894" customFormat="false" ht="15" hidden="false" customHeight="false" outlineLevel="0" collapsed="false">
      <c r="A894" s="12"/>
      <c r="B894" s="13" t="str">
        <f aca="false">IF(ISNUMBER(A894),ROUND(A894/Results!$C$5,0)*Results!$C$5,"")</f>
        <v/>
      </c>
    </row>
    <row r="895" customFormat="false" ht="15" hidden="false" customHeight="false" outlineLevel="0" collapsed="false">
      <c r="A895" s="12"/>
      <c r="B895" s="13" t="str">
        <f aca="false">IF(ISNUMBER(A895),ROUND(A895/Results!$C$5,0)*Results!$C$5,"")</f>
        <v/>
      </c>
    </row>
    <row r="896" customFormat="false" ht="15" hidden="false" customHeight="false" outlineLevel="0" collapsed="false">
      <c r="A896" s="12"/>
      <c r="B896" s="13" t="str">
        <f aca="false">IF(ISNUMBER(A896),ROUND(A896/Results!$C$5,0)*Results!$C$5,"")</f>
        <v/>
      </c>
    </row>
    <row r="897" customFormat="false" ht="15" hidden="false" customHeight="false" outlineLevel="0" collapsed="false">
      <c r="A897" s="12"/>
      <c r="B897" s="13" t="str">
        <f aca="false">IF(ISNUMBER(A897),ROUND(A897/Results!$C$5,0)*Results!$C$5,"")</f>
        <v/>
      </c>
    </row>
    <row r="898" customFormat="false" ht="15" hidden="false" customHeight="false" outlineLevel="0" collapsed="false">
      <c r="A898" s="12"/>
      <c r="B898" s="13" t="str">
        <f aca="false">IF(ISNUMBER(A898),ROUND(A898/Results!$C$5,0)*Results!$C$5,"")</f>
        <v/>
      </c>
    </row>
    <row r="899" customFormat="false" ht="15" hidden="false" customHeight="false" outlineLevel="0" collapsed="false">
      <c r="A899" s="12"/>
      <c r="B899" s="13" t="str">
        <f aca="false">IF(ISNUMBER(A899),ROUND(A899/Results!$C$5,0)*Results!$C$5,"")</f>
        <v/>
      </c>
    </row>
    <row r="900" customFormat="false" ht="15" hidden="false" customHeight="false" outlineLevel="0" collapsed="false">
      <c r="A900" s="12"/>
      <c r="B900" s="13" t="str">
        <f aca="false">IF(ISNUMBER(A900),ROUND(A900/Results!$C$5,0)*Results!$C$5,"")</f>
        <v/>
      </c>
    </row>
    <row r="901" customFormat="false" ht="15" hidden="false" customHeight="false" outlineLevel="0" collapsed="false">
      <c r="A901" s="12"/>
      <c r="B901" s="13" t="str">
        <f aca="false">IF(ISNUMBER(A901),ROUND(A901/Results!$C$5,0)*Results!$C$5,"")</f>
        <v/>
      </c>
    </row>
    <row r="902" customFormat="false" ht="15" hidden="false" customHeight="false" outlineLevel="0" collapsed="false">
      <c r="A902" s="12"/>
      <c r="B902" s="13" t="str">
        <f aca="false">IF(ISNUMBER(A902),ROUND(A902/Results!$C$5,0)*Results!$C$5,"")</f>
        <v/>
      </c>
    </row>
    <row r="903" customFormat="false" ht="15" hidden="false" customHeight="false" outlineLevel="0" collapsed="false">
      <c r="A903" s="12"/>
      <c r="B903" s="13" t="str">
        <f aca="false">IF(ISNUMBER(A903),ROUND(A903/Results!$C$5,0)*Results!$C$5,"")</f>
        <v/>
      </c>
    </row>
    <row r="904" customFormat="false" ht="15" hidden="false" customHeight="false" outlineLevel="0" collapsed="false">
      <c r="A904" s="12"/>
      <c r="B904" s="13" t="str">
        <f aca="false">IF(ISNUMBER(A904),ROUND(A904/Results!$C$5,0)*Results!$C$5,"")</f>
        <v/>
      </c>
    </row>
    <row r="905" customFormat="false" ht="15" hidden="false" customHeight="false" outlineLevel="0" collapsed="false">
      <c r="A905" s="12"/>
      <c r="B905" s="13" t="str">
        <f aca="false">IF(ISNUMBER(A905),ROUND(A905/Results!$C$5,0)*Results!$C$5,"")</f>
        <v/>
      </c>
    </row>
    <row r="906" customFormat="false" ht="15" hidden="false" customHeight="false" outlineLevel="0" collapsed="false">
      <c r="A906" s="12"/>
      <c r="B906" s="13" t="str">
        <f aca="false">IF(ISNUMBER(A906),ROUND(A906/Results!$C$5,0)*Results!$C$5,"")</f>
        <v/>
      </c>
    </row>
    <row r="907" customFormat="false" ht="15" hidden="false" customHeight="false" outlineLevel="0" collapsed="false">
      <c r="A907" s="12"/>
      <c r="B907" s="13" t="str">
        <f aca="false">IF(ISNUMBER(A907),ROUND(A907/Results!$C$5,0)*Results!$C$5,"")</f>
        <v/>
      </c>
    </row>
    <row r="908" customFormat="false" ht="15" hidden="false" customHeight="false" outlineLevel="0" collapsed="false">
      <c r="A908" s="12"/>
      <c r="B908" s="13" t="str">
        <f aca="false">IF(ISNUMBER(A908),ROUND(A908/Results!$C$5,0)*Results!$C$5,"")</f>
        <v/>
      </c>
    </row>
    <row r="909" customFormat="false" ht="15" hidden="false" customHeight="false" outlineLevel="0" collapsed="false">
      <c r="A909" s="12"/>
      <c r="B909" s="13" t="str">
        <f aca="false">IF(ISNUMBER(A909),ROUND(A909/Results!$C$5,0)*Results!$C$5,"")</f>
        <v/>
      </c>
    </row>
    <row r="910" customFormat="false" ht="15" hidden="false" customHeight="false" outlineLevel="0" collapsed="false">
      <c r="A910" s="12"/>
      <c r="B910" s="13" t="str">
        <f aca="false">IF(ISNUMBER(A910),ROUND(A910/Results!$C$5,0)*Results!$C$5,"")</f>
        <v/>
      </c>
    </row>
    <row r="911" customFormat="false" ht="15" hidden="false" customHeight="false" outlineLevel="0" collapsed="false">
      <c r="A911" s="12"/>
      <c r="B911" s="13" t="str">
        <f aca="false">IF(ISNUMBER(A911),ROUND(A911/Results!$C$5,0)*Results!$C$5,"")</f>
        <v/>
      </c>
    </row>
    <row r="912" customFormat="false" ht="15" hidden="false" customHeight="false" outlineLevel="0" collapsed="false">
      <c r="A912" s="12"/>
      <c r="B912" s="13" t="str">
        <f aca="false">IF(ISNUMBER(A912),ROUND(A912/Results!$C$5,0)*Results!$C$5,"")</f>
        <v/>
      </c>
    </row>
    <row r="913" customFormat="false" ht="15" hidden="false" customHeight="false" outlineLevel="0" collapsed="false">
      <c r="A913" s="12"/>
      <c r="B913" s="13" t="str">
        <f aca="false">IF(ISNUMBER(A913),ROUND(A913/Results!$C$5,0)*Results!$C$5,"")</f>
        <v/>
      </c>
    </row>
    <row r="914" customFormat="false" ht="15" hidden="false" customHeight="false" outlineLevel="0" collapsed="false">
      <c r="A914" s="12"/>
      <c r="B914" s="13" t="str">
        <f aca="false">IF(ISNUMBER(A914),ROUND(A914/Results!$C$5,0)*Results!$C$5,"")</f>
        <v/>
      </c>
    </row>
    <row r="915" customFormat="false" ht="15" hidden="false" customHeight="false" outlineLevel="0" collapsed="false">
      <c r="A915" s="12"/>
      <c r="B915" s="13" t="str">
        <f aca="false">IF(ISNUMBER(A915),ROUND(A915/Results!$C$5,0)*Results!$C$5,"")</f>
        <v/>
      </c>
    </row>
    <row r="916" customFormat="false" ht="15" hidden="false" customHeight="false" outlineLevel="0" collapsed="false">
      <c r="A916" s="12"/>
      <c r="B916" s="13" t="str">
        <f aca="false">IF(ISNUMBER(A916),ROUND(A916/Results!$C$5,0)*Results!$C$5,"")</f>
        <v/>
      </c>
    </row>
    <row r="917" customFormat="false" ht="15" hidden="false" customHeight="false" outlineLevel="0" collapsed="false">
      <c r="A917" s="12"/>
      <c r="B917" s="13" t="str">
        <f aca="false">IF(ISNUMBER(A917),ROUND(A917/Results!$C$5,0)*Results!$C$5,"")</f>
        <v/>
      </c>
    </row>
    <row r="918" customFormat="false" ht="15" hidden="false" customHeight="false" outlineLevel="0" collapsed="false">
      <c r="A918" s="12"/>
      <c r="B918" s="13" t="str">
        <f aca="false">IF(ISNUMBER(A918),ROUND(A918/Results!$C$5,0)*Results!$C$5,"")</f>
        <v/>
      </c>
    </row>
    <row r="919" customFormat="false" ht="15" hidden="false" customHeight="false" outlineLevel="0" collapsed="false">
      <c r="A919" s="12"/>
      <c r="B919" s="13" t="str">
        <f aca="false">IF(ISNUMBER(A919),ROUND(A919/Results!$C$5,0)*Results!$C$5,"")</f>
        <v/>
      </c>
    </row>
    <row r="920" customFormat="false" ht="15" hidden="false" customHeight="false" outlineLevel="0" collapsed="false">
      <c r="A920" s="12"/>
      <c r="B920" s="13" t="str">
        <f aca="false">IF(ISNUMBER(A920),ROUND(A920/Results!$C$5,0)*Results!$C$5,"")</f>
        <v/>
      </c>
    </row>
    <row r="921" customFormat="false" ht="15" hidden="false" customHeight="false" outlineLevel="0" collapsed="false">
      <c r="A921" s="12"/>
      <c r="B921" s="13" t="str">
        <f aca="false">IF(ISNUMBER(A921),ROUND(A921/Results!$C$5,0)*Results!$C$5,"")</f>
        <v/>
      </c>
    </row>
    <row r="922" customFormat="false" ht="15" hidden="false" customHeight="false" outlineLevel="0" collapsed="false">
      <c r="A922" s="12"/>
      <c r="B922" s="13" t="str">
        <f aca="false">IF(ISNUMBER(A922),ROUND(A922/Results!$C$5,0)*Results!$C$5,"")</f>
        <v/>
      </c>
    </row>
    <row r="923" customFormat="false" ht="15" hidden="false" customHeight="false" outlineLevel="0" collapsed="false">
      <c r="A923" s="12"/>
      <c r="B923" s="13" t="str">
        <f aca="false">IF(ISNUMBER(A923),ROUND(A923/Results!$C$5,0)*Results!$C$5,"")</f>
        <v/>
      </c>
    </row>
    <row r="924" customFormat="false" ht="15" hidden="false" customHeight="false" outlineLevel="0" collapsed="false">
      <c r="A924" s="12"/>
      <c r="B924" s="13" t="str">
        <f aca="false">IF(ISNUMBER(A924),ROUND(A924/Results!$C$5,0)*Results!$C$5,"")</f>
        <v/>
      </c>
    </row>
    <row r="925" customFormat="false" ht="15" hidden="false" customHeight="false" outlineLevel="0" collapsed="false">
      <c r="A925" s="12"/>
      <c r="B925" s="13" t="str">
        <f aca="false">IF(ISNUMBER(A925),ROUND(A925/Results!$C$5,0)*Results!$C$5,"")</f>
        <v/>
      </c>
    </row>
    <row r="926" customFormat="false" ht="15" hidden="false" customHeight="false" outlineLevel="0" collapsed="false">
      <c r="A926" s="12"/>
      <c r="B926" s="13" t="str">
        <f aca="false">IF(ISNUMBER(A926),ROUND(A926/Results!$C$5,0)*Results!$C$5,"")</f>
        <v/>
      </c>
    </row>
    <row r="927" customFormat="false" ht="15" hidden="false" customHeight="false" outlineLevel="0" collapsed="false">
      <c r="A927" s="12"/>
      <c r="B927" s="13" t="str">
        <f aca="false">IF(ISNUMBER(A927),ROUND(A927/Results!$C$5,0)*Results!$C$5,"")</f>
        <v/>
      </c>
    </row>
    <row r="928" customFormat="false" ht="15" hidden="false" customHeight="false" outlineLevel="0" collapsed="false">
      <c r="A928" s="12"/>
      <c r="B928" s="13" t="str">
        <f aca="false">IF(ISNUMBER(A928),ROUND(A928/Results!$C$5,0)*Results!$C$5,"")</f>
        <v/>
      </c>
    </row>
    <row r="929" customFormat="false" ht="15" hidden="false" customHeight="false" outlineLevel="0" collapsed="false">
      <c r="A929" s="12"/>
      <c r="B929" s="13" t="str">
        <f aca="false">IF(ISNUMBER(A929),ROUND(A929/Results!$C$5,0)*Results!$C$5,"")</f>
        <v/>
      </c>
    </row>
    <row r="930" customFormat="false" ht="15" hidden="false" customHeight="false" outlineLevel="0" collapsed="false">
      <c r="A930" s="12"/>
      <c r="B930" s="13" t="str">
        <f aca="false">IF(ISNUMBER(A930),ROUND(A930/Results!$C$5,0)*Results!$C$5,"")</f>
        <v/>
      </c>
    </row>
    <row r="931" customFormat="false" ht="15" hidden="false" customHeight="false" outlineLevel="0" collapsed="false">
      <c r="A931" s="12"/>
      <c r="B931" s="13" t="str">
        <f aca="false">IF(ISNUMBER(A931),ROUND(A931/Results!$C$5,0)*Results!$C$5,"")</f>
        <v/>
      </c>
    </row>
    <row r="932" customFormat="false" ht="15" hidden="false" customHeight="false" outlineLevel="0" collapsed="false">
      <c r="A932" s="12"/>
      <c r="B932" s="13" t="str">
        <f aca="false">IF(ISNUMBER(A932),ROUND(A932/Results!$C$5,0)*Results!$C$5,"")</f>
        <v/>
      </c>
    </row>
    <row r="933" customFormat="false" ht="15" hidden="false" customHeight="false" outlineLevel="0" collapsed="false">
      <c r="A933" s="12"/>
      <c r="B933" s="13" t="str">
        <f aca="false">IF(ISNUMBER(A933),ROUND(A933/Results!$C$5,0)*Results!$C$5,"")</f>
        <v/>
      </c>
    </row>
    <row r="934" customFormat="false" ht="15" hidden="false" customHeight="false" outlineLevel="0" collapsed="false">
      <c r="A934" s="12"/>
      <c r="B934" s="13" t="str">
        <f aca="false">IF(ISNUMBER(A934),ROUND(A934/Results!$C$5,0)*Results!$C$5,"")</f>
        <v/>
      </c>
    </row>
    <row r="935" customFormat="false" ht="15" hidden="false" customHeight="false" outlineLevel="0" collapsed="false">
      <c r="A935" s="12"/>
      <c r="B935" s="13" t="str">
        <f aca="false">IF(ISNUMBER(A935),ROUND(A935/Results!$C$5,0)*Results!$C$5,"")</f>
        <v/>
      </c>
    </row>
    <row r="936" customFormat="false" ht="15" hidden="false" customHeight="false" outlineLevel="0" collapsed="false">
      <c r="A936" s="12"/>
      <c r="B936" s="13" t="str">
        <f aca="false">IF(ISNUMBER(A936),ROUND(A936/Results!$C$5,0)*Results!$C$5,"")</f>
        <v/>
      </c>
    </row>
    <row r="937" customFormat="false" ht="15" hidden="false" customHeight="false" outlineLevel="0" collapsed="false">
      <c r="A937" s="12"/>
      <c r="B937" s="13" t="str">
        <f aca="false">IF(ISNUMBER(A937),ROUND(A937/Results!$C$5,0)*Results!$C$5,"")</f>
        <v/>
      </c>
    </row>
    <row r="938" customFormat="false" ht="15" hidden="false" customHeight="false" outlineLevel="0" collapsed="false">
      <c r="A938" s="12"/>
      <c r="B938" s="13" t="str">
        <f aca="false">IF(ISNUMBER(A938),ROUND(A938/Results!$C$5,0)*Results!$C$5,"")</f>
        <v/>
      </c>
    </row>
    <row r="939" customFormat="false" ht="15" hidden="false" customHeight="false" outlineLevel="0" collapsed="false">
      <c r="A939" s="12"/>
      <c r="B939" s="13" t="str">
        <f aca="false">IF(ISNUMBER(A939),ROUND(A939/Results!$C$5,0)*Results!$C$5,"")</f>
        <v/>
      </c>
    </row>
    <row r="940" customFormat="false" ht="15" hidden="false" customHeight="false" outlineLevel="0" collapsed="false">
      <c r="A940" s="12"/>
      <c r="B940" s="13" t="str">
        <f aca="false">IF(ISNUMBER(A940),ROUND(A940/Results!$C$5,0)*Results!$C$5,"")</f>
        <v/>
      </c>
    </row>
    <row r="941" customFormat="false" ht="15" hidden="false" customHeight="false" outlineLevel="0" collapsed="false">
      <c r="A941" s="12"/>
      <c r="B941" s="13" t="str">
        <f aca="false">IF(ISNUMBER(A941),ROUND(A941/Results!$C$5,0)*Results!$C$5,"")</f>
        <v/>
      </c>
    </row>
    <row r="942" customFormat="false" ht="15" hidden="false" customHeight="false" outlineLevel="0" collapsed="false">
      <c r="A942" s="12"/>
      <c r="B942" s="13" t="str">
        <f aca="false">IF(ISNUMBER(A942),ROUND(A942/Results!$C$5,0)*Results!$C$5,"")</f>
        <v/>
      </c>
    </row>
    <row r="943" customFormat="false" ht="15" hidden="false" customHeight="false" outlineLevel="0" collapsed="false">
      <c r="A943" s="12"/>
      <c r="B943" s="13" t="str">
        <f aca="false">IF(ISNUMBER(A943),ROUND(A943/Results!$C$5,0)*Results!$C$5,"")</f>
        <v/>
      </c>
    </row>
    <row r="944" customFormat="false" ht="15" hidden="false" customHeight="false" outlineLevel="0" collapsed="false">
      <c r="A944" s="12"/>
      <c r="B944" s="13" t="str">
        <f aca="false">IF(ISNUMBER(A944),ROUND(A944/Results!$C$5,0)*Results!$C$5,"")</f>
        <v/>
      </c>
    </row>
    <row r="945" customFormat="false" ht="15" hidden="false" customHeight="false" outlineLevel="0" collapsed="false">
      <c r="A945" s="12"/>
      <c r="B945" s="13" t="str">
        <f aca="false">IF(ISNUMBER(A945),ROUND(A945/Results!$C$5,0)*Results!$C$5,"")</f>
        <v/>
      </c>
    </row>
    <row r="946" customFormat="false" ht="15" hidden="false" customHeight="false" outlineLevel="0" collapsed="false">
      <c r="A946" s="12"/>
      <c r="B946" s="13" t="str">
        <f aca="false">IF(ISNUMBER(A946),ROUND(A946/Results!$C$5,0)*Results!$C$5,"")</f>
        <v/>
      </c>
    </row>
    <row r="947" customFormat="false" ht="15" hidden="false" customHeight="false" outlineLevel="0" collapsed="false">
      <c r="A947" s="12"/>
      <c r="B947" s="13" t="str">
        <f aca="false">IF(ISNUMBER(A947),ROUND(A947/Results!$C$5,0)*Results!$C$5,"")</f>
        <v/>
      </c>
    </row>
    <row r="948" customFormat="false" ht="15" hidden="false" customHeight="false" outlineLevel="0" collapsed="false">
      <c r="A948" s="12"/>
      <c r="B948" s="13" t="str">
        <f aca="false">IF(ISNUMBER(A948),ROUND(A948/Results!$C$5,0)*Results!$C$5,"")</f>
        <v/>
      </c>
    </row>
    <row r="949" customFormat="false" ht="15" hidden="false" customHeight="false" outlineLevel="0" collapsed="false">
      <c r="A949" s="12"/>
      <c r="B949" s="13" t="str">
        <f aca="false">IF(ISNUMBER(A949),ROUND(A949/Results!$C$5,0)*Results!$C$5,"")</f>
        <v/>
      </c>
    </row>
    <row r="950" customFormat="false" ht="15" hidden="false" customHeight="false" outlineLevel="0" collapsed="false">
      <c r="A950" s="12"/>
      <c r="B950" s="13" t="str">
        <f aca="false">IF(ISNUMBER(A950),ROUND(A950/Results!$C$5,0)*Results!$C$5,"")</f>
        <v/>
      </c>
    </row>
    <row r="951" customFormat="false" ht="15" hidden="false" customHeight="false" outlineLevel="0" collapsed="false">
      <c r="A951" s="12"/>
      <c r="B951" s="13" t="str">
        <f aca="false">IF(ISNUMBER(A951),ROUND(A951/Results!$C$5,0)*Results!$C$5,"")</f>
        <v/>
      </c>
    </row>
    <row r="952" customFormat="false" ht="15" hidden="false" customHeight="false" outlineLevel="0" collapsed="false">
      <c r="A952" s="12"/>
      <c r="B952" s="13" t="str">
        <f aca="false">IF(ISNUMBER(A952),ROUND(A952/Results!$C$5,0)*Results!$C$5,"")</f>
        <v/>
      </c>
    </row>
    <row r="953" customFormat="false" ht="15" hidden="false" customHeight="false" outlineLevel="0" collapsed="false">
      <c r="A953" s="12"/>
      <c r="B953" s="13" t="str">
        <f aca="false">IF(ISNUMBER(A953),ROUND(A953/Results!$C$5,0)*Results!$C$5,"")</f>
        <v/>
      </c>
    </row>
    <row r="954" customFormat="false" ht="15" hidden="false" customHeight="false" outlineLevel="0" collapsed="false">
      <c r="A954" s="12"/>
      <c r="B954" s="13" t="str">
        <f aca="false">IF(ISNUMBER(A954),ROUND(A954/Results!$C$5,0)*Results!$C$5,"")</f>
        <v/>
      </c>
    </row>
    <row r="955" customFormat="false" ht="15" hidden="false" customHeight="false" outlineLevel="0" collapsed="false">
      <c r="A955" s="12"/>
      <c r="B955" s="13" t="str">
        <f aca="false">IF(ISNUMBER(A955),ROUND(A955/Results!$C$5,0)*Results!$C$5,"")</f>
        <v/>
      </c>
    </row>
    <row r="956" customFormat="false" ht="15" hidden="false" customHeight="false" outlineLevel="0" collapsed="false">
      <c r="A956" s="12"/>
      <c r="B956" s="13" t="str">
        <f aca="false">IF(ISNUMBER(A956),ROUND(A956/Results!$C$5,0)*Results!$C$5,"")</f>
        <v/>
      </c>
    </row>
    <row r="957" customFormat="false" ht="15" hidden="false" customHeight="false" outlineLevel="0" collapsed="false">
      <c r="A957" s="12"/>
      <c r="B957" s="13" t="str">
        <f aca="false">IF(ISNUMBER(A957),ROUND(A957/Results!$C$5,0)*Results!$C$5,"")</f>
        <v/>
      </c>
    </row>
    <row r="958" customFormat="false" ht="15" hidden="false" customHeight="false" outlineLevel="0" collapsed="false">
      <c r="A958" s="12"/>
      <c r="B958" s="13" t="str">
        <f aca="false">IF(ISNUMBER(A958),ROUND(A958/Results!$C$5,0)*Results!$C$5,"")</f>
        <v/>
      </c>
    </row>
    <row r="959" customFormat="false" ht="15" hidden="false" customHeight="false" outlineLevel="0" collapsed="false">
      <c r="A959" s="12"/>
      <c r="B959" s="13" t="str">
        <f aca="false">IF(ISNUMBER(A959),ROUND(A959/Results!$C$5,0)*Results!$C$5,"")</f>
        <v/>
      </c>
    </row>
    <row r="960" customFormat="false" ht="15" hidden="false" customHeight="false" outlineLevel="0" collapsed="false">
      <c r="A960" s="12"/>
      <c r="B960" s="13" t="str">
        <f aca="false">IF(ISNUMBER(A960),ROUND(A960/Results!$C$5,0)*Results!$C$5,"")</f>
        <v/>
      </c>
    </row>
    <row r="961" customFormat="false" ht="15" hidden="false" customHeight="false" outlineLevel="0" collapsed="false">
      <c r="A961" s="12"/>
      <c r="B961" s="13" t="str">
        <f aca="false">IF(ISNUMBER(A961),ROUND(A961/Results!$C$5,0)*Results!$C$5,"")</f>
        <v/>
      </c>
    </row>
    <row r="962" customFormat="false" ht="15" hidden="false" customHeight="false" outlineLevel="0" collapsed="false">
      <c r="A962" s="12"/>
      <c r="B962" s="13" t="str">
        <f aca="false">IF(ISNUMBER(A962),ROUND(A962/Results!$C$5,0)*Results!$C$5,"")</f>
        <v/>
      </c>
    </row>
    <row r="963" customFormat="false" ht="15" hidden="false" customHeight="false" outlineLevel="0" collapsed="false">
      <c r="A963" s="12"/>
      <c r="B963" s="13" t="str">
        <f aca="false">IF(ISNUMBER(A963),ROUND(A963/Results!$C$5,0)*Results!$C$5,"")</f>
        <v/>
      </c>
    </row>
    <row r="964" customFormat="false" ht="15" hidden="false" customHeight="false" outlineLevel="0" collapsed="false">
      <c r="A964" s="12"/>
      <c r="B964" s="13" t="str">
        <f aca="false">IF(ISNUMBER(A964),ROUND(A964/Results!$C$5,0)*Results!$C$5,"")</f>
        <v/>
      </c>
    </row>
    <row r="965" customFormat="false" ht="15" hidden="false" customHeight="false" outlineLevel="0" collapsed="false">
      <c r="A965" s="12"/>
      <c r="B965" s="13" t="str">
        <f aca="false">IF(ISNUMBER(A965),ROUND(A965/Results!$C$5,0)*Results!$C$5,"")</f>
        <v/>
      </c>
    </row>
    <row r="966" customFormat="false" ht="15" hidden="false" customHeight="false" outlineLevel="0" collapsed="false">
      <c r="A966" s="12"/>
      <c r="B966" s="13" t="str">
        <f aca="false">IF(ISNUMBER(A966),ROUND(A966/Results!$C$5,0)*Results!$C$5,"")</f>
        <v/>
      </c>
    </row>
    <row r="967" customFormat="false" ht="15" hidden="false" customHeight="false" outlineLevel="0" collapsed="false">
      <c r="A967" s="12"/>
      <c r="B967" s="13" t="str">
        <f aca="false">IF(ISNUMBER(A967),ROUND(A967/Results!$C$5,0)*Results!$C$5,"")</f>
        <v/>
      </c>
    </row>
    <row r="968" customFormat="false" ht="15" hidden="false" customHeight="false" outlineLevel="0" collapsed="false">
      <c r="A968" s="12"/>
      <c r="B968" s="13" t="str">
        <f aca="false">IF(ISNUMBER(A968),ROUND(A968/Results!$C$5,0)*Results!$C$5,"")</f>
        <v/>
      </c>
    </row>
    <row r="969" customFormat="false" ht="15" hidden="false" customHeight="false" outlineLevel="0" collapsed="false">
      <c r="A969" s="12"/>
      <c r="B969" s="13" t="str">
        <f aca="false">IF(ISNUMBER(A969),ROUND(A969/Results!$C$5,0)*Results!$C$5,"")</f>
        <v/>
      </c>
    </row>
    <row r="970" customFormat="false" ht="15" hidden="false" customHeight="false" outlineLevel="0" collapsed="false">
      <c r="A970" s="12"/>
      <c r="B970" s="13" t="str">
        <f aca="false">IF(ISNUMBER(A970),ROUND(A970/Results!$C$5,0)*Results!$C$5,"")</f>
        <v/>
      </c>
    </row>
    <row r="971" customFormat="false" ht="15" hidden="false" customHeight="false" outlineLevel="0" collapsed="false">
      <c r="A971" s="12"/>
      <c r="B971" s="13" t="str">
        <f aca="false">IF(ISNUMBER(A971),ROUND(A971/Results!$C$5,0)*Results!$C$5,"")</f>
        <v/>
      </c>
    </row>
    <row r="972" customFormat="false" ht="15" hidden="false" customHeight="false" outlineLevel="0" collapsed="false">
      <c r="A972" s="12"/>
      <c r="B972" s="13" t="str">
        <f aca="false">IF(ISNUMBER(A972),ROUND(A972/Results!$C$5,0)*Results!$C$5,"")</f>
        <v/>
      </c>
    </row>
    <row r="973" customFormat="false" ht="15" hidden="false" customHeight="false" outlineLevel="0" collapsed="false">
      <c r="A973" s="12"/>
      <c r="B973" s="13" t="str">
        <f aca="false">IF(ISNUMBER(A973),ROUND(A973/Results!$C$5,0)*Results!$C$5,"")</f>
        <v/>
      </c>
    </row>
    <row r="974" customFormat="false" ht="15" hidden="false" customHeight="false" outlineLevel="0" collapsed="false">
      <c r="A974" s="12"/>
      <c r="B974" s="13" t="str">
        <f aca="false">IF(ISNUMBER(A974),ROUND(A974/Results!$C$5,0)*Results!$C$5,"")</f>
        <v/>
      </c>
    </row>
    <row r="975" customFormat="false" ht="15" hidden="false" customHeight="false" outlineLevel="0" collapsed="false">
      <c r="A975" s="12"/>
      <c r="B975" s="13" t="str">
        <f aca="false">IF(ISNUMBER(A975),ROUND(A975/Results!$C$5,0)*Results!$C$5,"")</f>
        <v/>
      </c>
    </row>
    <row r="976" customFormat="false" ht="15" hidden="false" customHeight="false" outlineLevel="0" collapsed="false">
      <c r="A976" s="12"/>
      <c r="B976" s="13" t="str">
        <f aca="false">IF(ISNUMBER(A976),ROUND(A976/Results!$C$5,0)*Results!$C$5,"")</f>
        <v/>
      </c>
    </row>
    <row r="977" customFormat="false" ht="15" hidden="false" customHeight="false" outlineLevel="0" collapsed="false">
      <c r="A977" s="12"/>
      <c r="B977" s="13" t="str">
        <f aca="false">IF(ISNUMBER(A977),ROUND(A977/Results!$C$5,0)*Results!$C$5,"")</f>
        <v/>
      </c>
    </row>
    <row r="978" customFormat="false" ht="15" hidden="false" customHeight="false" outlineLevel="0" collapsed="false">
      <c r="A978" s="12"/>
      <c r="B978" s="13" t="str">
        <f aca="false">IF(ISNUMBER(A978),ROUND(A978/Results!$C$5,0)*Results!$C$5,"")</f>
        <v/>
      </c>
    </row>
    <row r="979" customFormat="false" ht="15" hidden="false" customHeight="false" outlineLevel="0" collapsed="false">
      <c r="A979" s="12"/>
      <c r="B979" s="13" t="str">
        <f aca="false">IF(ISNUMBER(A979),ROUND(A979/Results!$C$5,0)*Results!$C$5,"")</f>
        <v/>
      </c>
    </row>
    <row r="980" customFormat="false" ht="15" hidden="false" customHeight="false" outlineLevel="0" collapsed="false">
      <c r="A980" s="12"/>
      <c r="B980" s="13" t="str">
        <f aca="false">IF(ISNUMBER(A980),ROUND(A980/Results!$C$5,0)*Results!$C$5,"")</f>
        <v/>
      </c>
    </row>
    <row r="981" customFormat="false" ht="15" hidden="false" customHeight="false" outlineLevel="0" collapsed="false">
      <c r="A981" s="12"/>
      <c r="B981" s="13" t="str">
        <f aca="false">IF(ISNUMBER(A981),ROUND(A981/Results!$C$5,0)*Results!$C$5,"")</f>
        <v/>
      </c>
    </row>
    <row r="982" customFormat="false" ht="15" hidden="false" customHeight="false" outlineLevel="0" collapsed="false">
      <c r="A982" s="12"/>
      <c r="B982" s="13" t="str">
        <f aca="false">IF(ISNUMBER(A982),ROUND(A982/Results!$C$5,0)*Results!$C$5,"")</f>
        <v/>
      </c>
    </row>
    <row r="983" customFormat="false" ht="15" hidden="false" customHeight="false" outlineLevel="0" collapsed="false">
      <c r="A983" s="12"/>
      <c r="B983" s="13" t="str">
        <f aca="false">IF(ISNUMBER(A983),ROUND(A983/Results!$C$5,0)*Results!$C$5,"")</f>
        <v/>
      </c>
    </row>
    <row r="984" customFormat="false" ht="15" hidden="false" customHeight="false" outlineLevel="0" collapsed="false">
      <c r="A984" s="12"/>
      <c r="B984" s="13" t="str">
        <f aca="false">IF(ISNUMBER(A984),ROUND(A984/Results!$C$5,0)*Results!$C$5,"")</f>
        <v/>
      </c>
    </row>
    <row r="985" customFormat="false" ht="15" hidden="false" customHeight="false" outlineLevel="0" collapsed="false">
      <c r="A985" s="12"/>
      <c r="B985" s="13" t="str">
        <f aca="false">IF(ISNUMBER(A985),ROUND(A985/Results!$C$5,0)*Results!$C$5,"")</f>
        <v/>
      </c>
    </row>
    <row r="986" customFormat="false" ht="15" hidden="false" customHeight="false" outlineLevel="0" collapsed="false">
      <c r="A986" s="12"/>
      <c r="B986" s="13" t="str">
        <f aca="false">IF(ISNUMBER(A986),ROUND(A986/Results!$C$5,0)*Results!$C$5,"")</f>
        <v/>
      </c>
    </row>
    <row r="987" customFormat="false" ht="15" hidden="false" customHeight="false" outlineLevel="0" collapsed="false">
      <c r="A987" s="12"/>
      <c r="B987" s="13" t="str">
        <f aca="false">IF(ISNUMBER(A987),ROUND(A987/Results!$C$5,0)*Results!$C$5,"")</f>
        <v/>
      </c>
    </row>
    <row r="988" customFormat="false" ht="15" hidden="false" customHeight="false" outlineLevel="0" collapsed="false">
      <c r="A988" s="12"/>
      <c r="B988" s="13" t="str">
        <f aca="false">IF(ISNUMBER(A988),ROUND(A988/Results!$C$5,0)*Results!$C$5,"")</f>
        <v/>
      </c>
    </row>
    <row r="989" customFormat="false" ht="15" hidden="false" customHeight="false" outlineLevel="0" collapsed="false">
      <c r="A989" s="12"/>
      <c r="B989" s="13" t="str">
        <f aca="false">IF(ISNUMBER(A989),ROUND(A989/Results!$C$5,0)*Results!$C$5,"")</f>
        <v/>
      </c>
    </row>
    <row r="990" customFormat="false" ht="15" hidden="false" customHeight="false" outlineLevel="0" collapsed="false">
      <c r="A990" s="12"/>
      <c r="B990" s="13" t="str">
        <f aca="false">IF(ISNUMBER(A990),ROUND(A990/Results!$C$5,0)*Results!$C$5,"")</f>
        <v/>
      </c>
    </row>
    <row r="991" customFormat="false" ht="15" hidden="false" customHeight="false" outlineLevel="0" collapsed="false">
      <c r="A991" s="12"/>
      <c r="B991" s="13" t="str">
        <f aca="false">IF(ISNUMBER(A991),ROUND(A991/Results!$C$5,0)*Results!$C$5,"")</f>
        <v/>
      </c>
    </row>
    <row r="992" customFormat="false" ht="15" hidden="false" customHeight="false" outlineLevel="0" collapsed="false">
      <c r="A992" s="12"/>
      <c r="B992" s="13" t="str">
        <f aca="false">IF(ISNUMBER(A992),ROUND(A992/Results!$C$5,0)*Results!$C$5,"")</f>
        <v/>
      </c>
    </row>
    <row r="993" customFormat="false" ht="15" hidden="false" customHeight="false" outlineLevel="0" collapsed="false">
      <c r="A993" s="12"/>
      <c r="B993" s="13" t="str">
        <f aca="false">IF(ISNUMBER(A993),ROUND(A993/Results!$C$5,0)*Results!$C$5,"")</f>
        <v/>
      </c>
    </row>
    <row r="994" customFormat="false" ht="15" hidden="false" customHeight="false" outlineLevel="0" collapsed="false">
      <c r="A994" s="12"/>
      <c r="B994" s="13" t="str">
        <f aca="false">IF(ISNUMBER(A994),ROUND(A994/Results!$C$5,0)*Results!$C$5,"")</f>
        <v/>
      </c>
    </row>
    <row r="995" customFormat="false" ht="15" hidden="false" customHeight="false" outlineLevel="0" collapsed="false">
      <c r="A995" s="12"/>
      <c r="B995" s="13" t="str">
        <f aca="false">IF(ISNUMBER(A995),ROUND(A995/Results!$C$5,0)*Results!$C$5,"")</f>
        <v/>
      </c>
    </row>
    <row r="996" customFormat="false" ht="15" hidden="false" customHeight="false" outlineLevel="0" collapsed="false">
      <c r="A996" s="12"/>
      <c r="B996" s="13" t="str">
        <f aca="false">IF(ISNUMBER(A996),ROUND(A996/Results!$C$5,0)*Results!$C$5,"")</f>
        <v/>
      </c>
    </row>
    <row r="997" customFormat="false" ht="15" hidden="false" customHeight="false" outlineLevel="0" collapsed="false">
      <c r="A997" s="12"/>
      <c r="B997" s="13" t="str">
        <f aca="false">IF(ISNUMBER(A997),ROUND(A997/Results!$C$5,0)*Results!$C$5,"")</f>
        <v/>
      </c>
    </row>
    <row r="998" customFormat="false" ht="15" hidden="false" customHeight="false" outlineLevel="0" collapsed="false">
      <c r="A998" s="12"/>
      <c r="B998" s="13" t="str">
        <f aca="false">IF(ISNUMBER(A998),ROUND(A998/Results!$C$5,0)*Results!$C$5,"")</f>
        <v/>
      </c>
    </row>
    <row r="999" customFormat="false" ht="15" hidden="false" customHeight="false" outlineLevel="0" collapsed="false">
      <c r="A999" s="12"/>
      <c r="B999" s="13" t="str">
        <f aca="false">IF(ISNUMBER(A999),ROUND(A999/Results!$C$5,0)*Results!$C$5,"")</f>
        <v/>
      </c>
    </row>
    <row r="1000" customFormat="false" ht="15" hidden="false" customHeight="false" outlineLevel="0" collapsed="false">
      <c r="A1000" s="12"/>
      <c r="B1000" s="13" t="str">
        <f aca="false">IF(ISNUMBER(A1000),ROUND(A1000/Results!$C$5,0)*Results!$C$5,"")</f>
        <v/>
      </c>
    </row>
    <row r="1001" customFormat="false" ht="15" hidden="false" customHeight="false" outlineLevel="0" collapsed="false">
      <c r="A1001" s="12"/>
      <c r="B1001" s="13" t="str">
        <f aca="false">IF(ISNUMBER(A1001),ROUND(A1001/Results!$C$5,0)*Results!$C$5,"")</f>
        <v/>
      </c>
    </row>
    <row r="1002" customFormat="false" ht="15" hidden="false" customHeight="false" outlineLevel="0" collapsed="false">
      <c r="A1002" s="12"/>
      <c r="B1002" s="13" t="str">
        <f aca="false">IF(ISNUMBER(A1002),ROUND(A1002/Results!$C$5,0)*Results!$C$5,"")</f>
        <v/>
      </c>
    </row>
    <row r="1003" customFormat="false" ht="15" hidden="false" customHeight="false" outlineLevel="0" collapsed="false">
      <c r="A1003" s="12"/>
      <c r="B1003" s="13" t="str">
        <f aca="false">IF(ISNUMBER(A1003),ROUND(A1003/Results!$C$5,0)*Results!$C$5,"")</f>
        <v/>
      </c>
    </row>
    <row r="1004" customFormat="false" ht="15" hidden="false" customHeight="false" outlineLevel="0" collapsed="false">
      <c r="A1004" s="12"/>
      <c r="B1004" s="13" t="str">
        <f aca="false">IF(ISNUMBER(A1004),ROUND(A1004/Results!$C$5,0)*Results!$C$5,"")</f>
        <v/>
      </c>
    </row>
    <row r="1005" customFormat="false" ht="15" hidden="false" customHeight="false" outlineLevel="0" collapsed="false">
      <c r="A1005" s="12"/>
      <c r="B1005" s="13" t="str">
        <f aca="false">IF(ISNUMBER(A1005),ROUND(A1005/Results!$C$5,0)*Results!$C$5,"")</f>
        <v/>
      </c>
    </row>
    <row r="1006" customFormat="false" ht="15" hidden="false" customHeight="false" outlineLevel="0" collapsed="false">
      <c r="A1006" s="12"/>
      <c r="B1006" s="13" t="str">
        <f aca="false">IF(ISNUMBER(A1006),ROUND(A1006/Results!$C$5,0)*Results!$C$5,"")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A10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21</v>
      </c>
    </row>
    <row r="2" customFormat="false" ht="15" hidden="false" customHeight="false" outlineLevel="0" collapsed="false">
      <c r="B2" s="8" t="s">
        <v>22</v>
      </c>
    </row>
    <row r="4" customFormat="false" ht="15" hidden="false" customHeight="false" outlineLevel="0" collapsed="false">
      <c r="B4" s="9" t="s">
        <v>23</v>
      </c>
    </row>
    <row r="5" customFormat="false" ht="15" hidden="false" customHeight="false" outlineLevel="0" collapsed="false">
      <c r="B5" s="14" t="s">
        <v>24</v>
      </c>
      <c r="C5" s="12" t="n">
        <v>0.1</v>
      </c>
      <c r="D5" s="8"/>
    </row>
    <row r="7" customFormat="false" ht="15" hidden="false" customHeight="false" outlineLevel="0" collapsed="false">
      <c r="B7" s="9" t="s">
        <v>25</v>
      </c>
    </row>
    <row r="8" customFormat="false" ht="15" hidden="false" customHeight="false" outlineLevel="0" collapsed="false">
      <c r="B8" s="14" t="s">
        <v>26</v>
      </c>
      <c r="C8" s="15" t="n">
        <f aca="false">IFERROR(COUNT('Enter data'!$A$7:$A$1006),"")</f>
        <v>800</v>
      </c>
    </row>
    <row r="9" customFormat="false" ht="15" hidden="false" customHeight="false" outlineLevel="0" collapsed="false">
      <c r="B9" s="14" t="s">
        <v>27</v>
      </c>
      <c r="C9" s="16" t="n">
        <f aca="false">IFERROR(MODE('Enter data'!$B$7:$B$1006),"")</f>
        <v>4</v>
      </c>
    </row>
    <row r="10" customFormat="false" ht="15" hidden="false" customHeight="false" outlineLevel="0" collapsed="false">
      <c r="B10" s="14" t="s">
        <v>28</v>
      </c>
      <c r="C10" s="15" t="n">
        <f aca="false">IFERROR(COUNTIF('Enter data'!$A$7:$A$1006,"&gt;="&amp;$C$9),"")</f>
        <v>800</v>
      </c>
    </row>
    <row r="11" customFormat="false" ht="15" hidden="false" customHeight="false" outlineLevel="0" collapsed="false">
      <c r="B11" s="14" t="s">
        <v>29</v>
      </c>
      <c r="C11" s="17" t="n">
        <f aca="false">IFERROR(AVERAGEIF('Enter data'!$A$7:$A$1006,"&gt;="&amp;$C$9),"")</f>
        <v>4.39275</v>
      </c>
    </row>
    <row r="12" customFormat="false" ht="15" hidden="false" customHeight="false" outlineLevel="0" collapsed="false">
      <c r="B12" s="14" t="s">
        <v>30</v>
      </c>
      <c r="C12" s="18" t="n">
        <f aca="false">IFERROR(LOG10(EXP(1))/($C$11-($C$9-Results!$C$5/2)),"")</f>
        <v>0.980902274202716</v>
      </c>
    </row>
    <row r="13" customFormat="false" ht="15" hidden="false" customHeight="false" outlineLevel="0" collapsed="false">
      <c r="B13" s="14" t="s">
        <v>31</v>
      </c>
      <c r="C13" s="18" t="n">
        <f aca="false">IFERROR($C$12/SQRT($C$10),"")</f>
        <v>0.0346801324885023</v>
      </c>
    </row>
    <row r="14" customFormat="false" ht="15" hidden="false" customHeight="false" outlineLevel="0" collapsed="false">
      <c r="B14" s="14" t="s">
        <v>32</v>
      </c>
      <c r="C14" s="18" t="n">
        <f aca="false">IFERROR($C$12-1.96*$C$13,"")</f>
        <v>0.912929214525251</v>
      </c>
    </row>
    <row r="15" customFormat="false" ht="15" hidden="false" customHeight="false" outlineLevel="0" collapsed="false">
      <c r="B15" s="14" t="s">
        <v>33</v>
      </c>
      <c r="C15" s="18" t="n">
        <f aca="false">IFERROR($C$12+1.96*$C$13,"")</f>
        <v>1.04887533388018</v>
      </c>
    </row>
    <row r="17" customFormat="false" ht="15" hidden="false" customHeight="false" outlineLevel="0" collapsed="false">
      <c r="B17" s="9" t="s">
        <v>34</v>
      </c>
    </row>
    <row r="18" customFormat="false" ht="30" hidden="false" customHeight="true" outlineLevel="0" collapsed="false">
      <c r="B18" s="10" t="s">
        <v>35</v>
      </c>
      <c r="C18" s="10" t="s">
        <v>26</v>
      </c>
      <c r="D18" s="10" t="s">
        <v>36</v>
      </c>
      <c r="E18" s="10" t="s">
        <v>37</v>
      </c>
      <c r="F18" s="10" t="s">
        <v>31</v>
      </c>
    </row>
    <row r="19" customFormat="false" ht="15" hidden="false" customHeight="false" outlineLevel="0" collapsed="false">
      <c r="B19" s="13" t="n">
        <f aca="false">IFERROR($C$9+0,"")</f>
        <v>4</v>
      </c>
      <c r="C19" s="19" t="n">
        <f aca="false">IFERROR(COUNTIF('Enter data'!$A$7:$A$1006,"&gt;="&amp;B19),"")</f>
        <v>800</v>
      </c>
      <c r="D19" s="20" t="n">
        <f aca="false">IFERROR(AVERAGEIF('Enter data'!$A$7:$A$1006,"&gt;="&amp;B19),"")</f>
        <v>4.39275</v>
      </c>
      <c r="E19" s="21" t="n">
        <f aca="false">IFERROR(LOG10(EXP(1))/(D19-(B19-Results!$C$5/2)),"")</f>
        <v>0.980902274202716</v>
      </c>
      <c r="F19" s="21" t="n">
        <f aca="false">IFERROR(E19/SQRT(C19),"")</f>
        <v>0.0346801324885023</v>
      </c>
    </row>
    <row r="20" customFormat="false" ht="15" hidden="false" customHeight="false" outlineLevel="0" collapsed="false">
      <c r="B20" s="13" t="n">
        <f aca="false">IFERROR($C$9+0.2,"")</f>
        <v>4.2</v>
      </c>
      <c r="C20" s="19" t="n">
        <f aca="false">IFERROR(COUNTIF('Enter data'!$A$7:$A$1006,"&gt;="&amp;B20),"")</f>
        <v>508</v>
      </c>
      <c r="D20" s="20" t="n">
        <f aca="false">IFERROR(AVERAGEIF('Enter data'!$A$7:$A$1006,"&gt;="&amp;B20),"")</f>
        <v>4.59173228346457</v>
      </c>
      <c r="E20" s="21" t="n">
        <f aca="false">IFERROR(LOG10(EXP(1))/(D20-(B20-Results!$C$5/2)),"")</f>
        <v>0.983162196108967</v>
      </c>
      <c r="F20" s="21" t="n">
        <f aca="false">IFERROR(E20/SQRT(C20),"")</f>
        <v>0.0436207687264567</v>
      </c>
    </row>
    <row r="21" customFormat="false" ht="15" hidden="false" customHeight="false" outlineLevel="0" collapsed="false">
      <c r="B21" s="13" t="n">
        <f aca="false">IFERROR($C$9+0.4,"")</f>
        <v>4.4</v>
      </c>
      <c r="C21" s="19" t="n">
        <f aca="false">IFERROR(COUNTIF('Enter data'!$A$7:$A$1006,"&gt;="&amp;B21),"")</f>
        <v>330</v>
      </c>
      <c r="D21" s="20" t="n">
        <f aca="false">IFERROR(AVERAGEIF('Enter data'!$A$7:$A$1006,"&gt;="&amp;B21),"")</f>
        <v>4.78</v>
      </c>
      <c r="E21" s="21" t="n">
        <f aca="false">IFERROR(LOG10(EXP(1))/(D21-(B21-Results!$C$5/2)),"")</f>
        <v>1.00998716721687</v>
      </c>
      <c r="F21" s="21" t="n">
        <f aca="false">IFERROR(E21/SQRT(C21),"")</f>
        <v>0.0555979637174194</v>
      </c>
    </row>
    <row r="22" customFormat="false" ht="15" hidden="false" customHeight="false" outlineLevel="0" collapsed="false">
      <c r="B22" s="13" t="n">
        <f aca="false">IFERROR($C$9+0.6,"")</f>
        <v>4.6</v>
      </c>
      <c r="C22" s="19" t="n">
        <f aca="false">IFERROR(COUNTIF('Enter data'!$A$7:$A$1006,"&gt;="&amp;B22),"")</f>
        <v>204</v>
      </c>
      <c r="D22" s="20" t="n">
        <f aca="false">IFERROR(AVERAGEIF('Enter data'!$A$7:$A$1006,"&gt;="&amp;B22),"")</f>
        <v>4.98235294117647</v>
      </c>
      <c r="E22" s="21" t="n">
        <f aca="false">IFERROR(LOG10(EXP(1))/(D22-(B22-Results!$C$5/2)),"")</f>
        <v>1.00449063841568</v>
      </c>
      <c r="F22" s="21" t="n">
        <f aca="false">IFERROR(E22/SQRT(C22),"")</f>
        <v>0.0703284117783032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2026-10-01T00:32:44Z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2026-10-01T00:32:45Z</dcterms:modified>
  <cp:revision>0</cp:revision>
  <dc:subject/>
  <dc:title>ENV-04 Earthquake magnitudes: the Gutenberg-Richter b-value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