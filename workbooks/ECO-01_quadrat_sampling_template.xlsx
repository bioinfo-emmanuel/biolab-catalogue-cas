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<sst xmlns="http://schemas.openxmlformats.org/spreadsheetml/2006/main" count="83" uniqueCount="71">
  <si>
    <t xml:space="preserve">ECO-01  Quadrat sampling: density, frequency, cover, importance value</t>
  </si>
  <si>
    <t xml:space="preserve">Excel version of the card. It does the same calculations as the R script eco01_quadrat_sampling.R.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</si>
  <si>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</si>
  <si>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</si>
  <si>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</si>
  <si>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</si>
  <si>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</si>
  <si>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</si>
  <si>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</si>
  <si>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</si>
  <si>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Density = individuals / (quadrats x quadrat area). Frequency = % of quadrats in which the species occurs. Cover = mean percent cover per quadrat. Importance value = relative density + relative frequency + relative cover (each as % of the total over species).</t>
  </si>
  <si>
    <t xml:space="preserve">Enter one row per species per quadrat (include species with a count of 0). Type the number of quadrats sampled in each habitat on the Results sheet. Place quadrats at random.</t>
  </si>
  <si>
    <t xml:space="preserve">Quadrats needed for a standard error of 10 percent of the mean = (sd / mean / 0.10)^2, from a pilot.</t>
  </si>
  <si>
    <t xml:space="preserve">Differences from the R script on the card</t>
  </si>
  <si>
    <t xml:space="preserve">The R script also compares with a Wilcoxon test and shows the effect of quadrat size by simulation. Here total density is compared with a Welch t test.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</si>
  <si>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</si>
  <si>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</si>
  <si>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</si>
  <si>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</si>
  <si>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Names: two habitats and up to 8 species</t>
  </si>
  <si>
    <t xml:space="preserve">Habitat 1</t>
  </si>
  <si>
    <t xml:space="preserve">Habitat 2</t>
  </si>
  <si>
    <t xml:space="preserve">Species 1</t>
  </si>
  <si>
    <t xml:space="preserve">Species 2</t>
  </si>
  <si>
    <t xml:space="preserve">Species 3</t>
  </si>
  <si>
    <t xml:space="preserve">Species 4</t>
  </si>
  <si>
    <t xml:space="preserve">Species 5</t>
  </si>
  <si>
    <t xml:space="preserve">Species 6</t>
  </si>
  <si>
    <t xml:space="preserve">Species 7</t>
  </si>
  <si>
    <t xml:space="preserve">Species 8</t>
  </si>
  <si>
    <t xml:space="preserve">2. Counts (one row per species per quadrat)</t>
  </si>
  <si>
    <t xml:space="preserve">Habitat</t>
  </si>
  <si>
    <t xml:space="preserve">Quadrat number</t>
  </si>
  <si>
    <t xml:space="preserve">Species</t>
  </si>
  <si>
    <t xml:space="preserve">Individuals counted</t>
  </si>
  <si>
    <t xml:space="preserve">Cover (%)</t>
  </si>
  <si>
    <t xml:space="preserve">grassland</t>
  </si>
  <si>
    <t xml:space="preserve">grass A</t>
  </si>
  <si>
    <t xml:space="preserve">Results</t>
  </si>
  <si>
    <t xml:space="preserve">Everything on this sheet is calculated. Change only the yellow settings.</t>
  </si>
  <si>
    <t xml:space="preserve">Settings</t>
  </si>
  <si>
    <t xml:space="preserve">Quadrat area (m2)</t>
  </si>
  <si>
    <t xml:space="preserve">Quadrats sampled in habitat 1</t>
  </si>
  <si>
    <t xml:space="preserve">Quadrats sampled in habitat 2</t>
  </si>
  <si>
    <t xml:space="preserve">Habitat 1: species measures</t>
  </si>
  <si>
    <t xml:space="preserve">Density (per m2)</t>
  </si>
  <si>
    <t xml:space="preserve">Frequency (%)</t>
  </si>
  <si>
    <t xml:space="preserve">Mean cover (%)</t>
  </si>
  <si>
    <t xml:space="preserve">Relative density (%)</t>
  </si>
  <si>
    <t xml:space="preserve">Relative frequency (%)</t>
  </si>
  <si>
    <t xml:space="preserve">Relative cover (%)</t>
  </si>
  <si>
    <t xml:space="preserve">Importance value (out of 300)</t>
  </si>
  <si>
    <t xml:space="preserve">Habitat 2: species measures</t>
  </si>
  <si>
    <t xml:space="preserve">Total individuals per quadrat</t>
  </si>
  <si>
    <t xml:space="preserve">Quadrat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</si>
  <si>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</si>
  <si>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</si>
  <si>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</si>
  <si>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</si>
  <si>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</si>
  <si>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</si>
  <si>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</si>
  <si>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</si>
  <si>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</si>
  <si>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</si>
  <si>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</si>
  <si>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</si>
  <si>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</si>
  <si>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</si>
  <si>
    <t xml:space="preserve">How many quadrats? (habitat 1 pilot)</t>
  </si>
  <si>
    <t xml:space="preserve">Quadrats needed for a standard error of 10% of the mean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</si>
</sst>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29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9" customFormat="false" ht="15" hidden="false" customHeight="false" outlineLevel="0" collapsed="false">
      <c r="A9" s="9" t="s">
        <v>30</v>
      </c>
    </row>
    <row r="10" customFormat="false" ht="31.5" hidden="false" customHeight="true" outlineLevel="0" collapsed="false">
      <c r="A10" s="10" t="s">
        <v>31</v>
      </c>
      <c r="B10" s="10" t="s">
        <v>32</v>
      </c>
      <c r="C10" s="10" t="s">
        <v>33</v>
      </c>
      <c r="D10" s="10" t="s">
        <v>34</v>
      </c>
      <c r="E10" s="10" t="s">
        <v>35</v>
      </c>
    </row>
    <row r="11" customFormat="false" ht="15" hidden="false" customHeight="false" outlineLevel="0" collapsed="false">
      <c r="A11" s="12" t="s">
        <v>36</v>
      </c>
      <c r="B11" s="12" t="n">
        <v>1</v>
      </c>
      <c r="C11" s="12" t="s">
        <v>37</v>
      </c>
      <c r="D11" s="12" t="n">
        <v>14</v>
      </c>
      <c r="E11" s="12" t="n">
        <v>30</v>
      </c>
    </row>
    <row r="12" customFormat="false" ht="15" hidden="false" customHeight="fals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5" hidden="false" customHeight="false" outlineLevel="0" collapsed="false">
      <c r="A14" s="11"/>
      <c r="B14" s="11"/>
      <c r="C14" s="11"/>
      <c r="D14" s="11"/>
      <c r="E14" s="11"/>
    </row>
    <row r="15" customFormat="false" ht="15" hidden="false" customHeight="false" outlineLevel="0" collapsed="false">
      <c r="A15" s="11"/>
      <c r="B15" s="11"/>
      <c r="C15" s="11"/>
      <c r="D15" s="11"/>
      <c r="E15" s="11"/>
    </row>
    <row r="16" customFormat="false" ht="15" hidden="false" customHeight="false" outlineLevel="0" collapsed="false">
      <c r="A16" s="11"/>
      <c r="B16" s="11"/>
      <c r="C16" s="11"/>
      <c r="D16" s="11"/>
      <c r="E16" s="11"/>
    </row>
    <row r="17" customFormat="false" ht="15" hidden="false" customHeight="false" outlineLevel="0" collapsed="false">
      <c r="A17" s="11"/>
      <c r="B17" s="11"/>
      <c r="C17" s="11"/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/>
      <c r="B24" s="11"/>
      <c r="C24" s="11"/>
      <c r="D24" s="11"/>
      <c r="E24" s="11"/>
    </row>
    <row r="25" customFormat="false" ht="15" hidden="false" customHeight="false" outlineLevel="0" collapsed="false">
      <c r="A25" s="11"/>
      <c r="B25" s="11"/>
      <c r="C25" s="11"/>
      <c r="D25" s="11"/>
      <c r="E25" s="11"/>
    </row>
    <row r="26" customFormat="false" ht="15" hidden="false" customHeight="false" outlineLevel="0" collapsed="false">
      <c r="A26" s="11"/>
      <c r="B26" s="11"/>
      <c r="C26" s="11"/>
      <c r="D26" s="11"/>
      <c r="E26" s="11"/>
    </row>
    <row r="27" customFormat="false" ht="15" hidden="false" customHeight="false" outlineLevel="0" collapsed="false">
      <c r="A27" s="11"/>
      <c r="B27" s="11"/>
      <c r="C27" s="11"/>
      <c r="D27" s="11"/>
      <c r="E27" s="11"/>
    </row>
    <row r="28" customFormat="false" ht="15" hidden="false" customHeight="false" outlineLevel="0" collapsed="false">
      <c r="A28" s="11"/>
      <c r="B28" s="11"/>
      <c r="C28" s="11"/>
      <c r="D28" s="11"/>
      <c r="E28" s="11"/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4" customFormat="false" ht="15" hidden="false" customHeight="false" outlineLevel="0" collapsed="false">
      <c r="A34" s="11"/>
      <c r="B34" s="11"/>
      <c r="C34" s="11"/>
      <c r="D34" s="11"/>
      <c r="E34" s="11"/>
    </row>
    <row r="35" customFormat="false" ht="15" hidden="false" customHeight="false" outlineLevel="0" collapsed="false">
      <c r="A35" s="11"/>
      <c r="B35" s="11"/>
      <c r="C35" s="11"/>
      <c r="D35" s="11"/>
      <c r="E35" s="11"/>
    </row>
    <row r="36" customFormat="false" ht="15" hidden="false" customHeight="false" outlineLevel="0" collapsed="false">
      <c r="A36" s="11"/>
      <c r="B36" s="11"/>
      <c r="C36" s="11"/>
      <c r="D36" s="11"/>
      <c r="E36" s="11"/>
    </row>
    <row r="37" customFormat="false" ht="15" hidden="false" customHeight="false" outlineLevel="0" collapsed="false">
      <c r="A37" s="11"/>
      <c r="B37" s="11"/>
      <c r="C37" s="11"/>
      <c r="D37" s="11"/>
      <c r="E37" s="11"/>
    </row>
    <row r="38" customFormat="false" ht="15" hidden="false" customHeight="false" outlineLevel="0" collapsed="false">
      <c r="A38" s="11"/>
      <c r="B38" s="11"/>
      <c r="C38" s="11"/>
      <c r="D38" s="11"/>
      <c r="E38" s="11"/>
    </row>
    <row r="39" customFormat="false" ht="15" hidden="false" customHeight="false" outlineLevel="0" collapsed="false">
      <c r="A39" s="11"/>
      <c r="B39" s="11"/>
      <c r="C39" s="11"/>
      <c r="D39" s="11"/>
      <c r="E39" s="11"/>
    </row>
    <row r="40" customFormat="false" ht="15" hidden="false" customHeight="false" outlineLevel="0" collapsed="false">
      <c r="A40" s="11"/>
      <c r="B40" s="11"/>
      <c r="C40" s="11"/>
      <c r="D40" s="11"/>
      <c r="E40" s="11"/>
    </row>
    <row r="41" customFormat="false" ht="15" hidden="false" customHeight="false" outlineLevel="0" collapsed="false">
      <c r="A41" s="11"/>
      <c r="B41" s="11"/>
      <c r="C41" s="11"/>
      <c r="D41" s="11"/>
      <c r="E41" s="11"/>
    </row>
    <row r="42" customFormat="false" ht="15" hidden="false" customHeight="false" outlineLevel="0" collapsed="false">
      <c r="A42" s="11"/>
      <c r="B42" s="11"/>
      <c r="C42" s="11"/>
      <c r="D42" s="11"/>
      <c r="E42" s="11"/>
    </row>
    <row r="43" customFormat="false" ht="15" hidden="false" customHeight="false" outlineLevel="0" collapsed="false">
      <c r="A43" s="11"/>
      <c r="B43" s="11"/>
      <c r="C43" s="11"/>
      <c r="D43" s="11"/>
      <c r="E43" s="11"/>
    </row>
    <row r="44" customFormat="false" ht="15" hidden="false" customHeight="false" outlineLevel="0" collapsed="false">
      <c r="A44" s="11"/>
      <c r="B44" s="11"/>
      <c r="C44" s="11"/>
      <c r="D44" s="11"/>
      <c r="E44" s="11"/>
    </row>
    <row r="45" customFormat="false" ht="15" hidden="false" customHeight="false" outlineLevel="0" collapsed="false">
      <c r="A45" s="11"/>
      <c r="B45" s="11"/>
      <c r="C45" s="11"/>
      <c r="D45" s="11"/>
      <c r="E45" s="11"/>
    </row>
    <row r="46" customFormat="false" ht="15" hidden="false" customHeight="false" outlineLevel="0" collapsed="false">
      <c r="A46" s="11"/>
      <c r="B46" s="11"/>
      <c r="C46" s="11"/>
      <c r="D46" s="11"/>
      <c r="E46" s="11"/>
    </row>
    <row r="47" customFormat="false" ht="15" hidden="false" customHeight="false" outlineLevel="0" collapsed="false">
      <c r="A47" s="11"/>
      <c r="B47" s="11"/>
      <c r="C47" s="11"/>
      <c r="D47" s="11"/>
      <c r="E47" s="11"/>
    </row>
    <row r="48" customFormat="false" ht="15" hidden="false" customHeight="false" outlineLevel="0" collapsed="false">
      <c r="A48" s="11"/>
      <c r="B48" s="11"/>
      <c r="C48" s="11"/>
      <c r="D48" s="11"/>
      <c r="E48" s="11"/>
    </row>
    <row r="49" customFormat="false" ht="15" hidden="false" customHeight="false" outlineLevel="0" collapsed="false">
      <c r="A49" s="11"/>
      <c r="B49" s="11"/>
      <c r="C49" s="11"/>
      <c r="D49" s="11"/>
      <c r="E49" s="11"/>
    </row>
    <row r="50" customFormat="false" ht="15" hidden="false" customHeight="false" outlineLevel="0" collapsed="false">
      <c r="A50" s="11"/>
      <c r="B50" s="11"/>
      <c r="C50" s="11"/>
      <c r="D50" s="11"/>
      <c r="E50" s="11"/>
    </row>
    <row r="51" customFormat="false" ht="15" hidden="false" customHeight="false" outlineLevel="0" collapsed="false">
      <c r="A51" s="11"/>
      <c r="B51" s="11"/>
      <c r="C51" s="11"/>
      <c r="D51" s="11"/>
      <c r="E51" s="11"/>
    </row>
    <row r="52" customFormat="false" ht="15" hidden="false" customHeight="false" outlineLevel="0" collapsed="false">
      <c r="A52" s="11"/>
      <c r="B52" s="11"/>
      <c r="C52" s="11"/>
      <c r="D52" s="11"/>
      <c r="E52" s="11"/>
    </row>
    <row r="53" customFormat="false" ht="15" hidden="false" customHeight="false" outlineLevel="0" collapsed="false">
      <c r="A53" s="11"/>
      <c r="B53" s="11"/>
      <c r="C53" s="11"/>
      <c r="D53" s="11"/>
      <c r="E53" s="11"/>
    </row>
    <row r="54" customFormat="false" ht="15" hidden="false" customHeight="false" outlineLevel="0" collapsed="false">
      <c r="A54" s="11"/>
      <c r="B54" s="11"/>
      <c r="C54" s="11"/>
      <c r="D54" s="11"/>
      <c r="E54" s="11"/>
    </row>
    <row r="55" customFormat="false" ht="15" hidden="false" customHeight="false" outlineLevel="0" collapsed="false">
      <c r="A55" s="11"/>
      <c r="B55" s="11"/>
      <c r="C55" s="11"/>
      <c r="D55" s="11"/>
      <c r="E55" s="11"/>
    </row>
    <row r="56" customFormat="false" ht="15" hidden="false" customHeight="false" outlineLevel="0" collapsed="false">
      <c r="A56" s="11"/>
      <c r="B56" s="11"/>
      <c r="C56" s="11"/>
      <c r="D56" s="11"/>
      <c r="E56" s="11"/>
    </row>
    <row r="57" customFormat="false" ht="15" hidden="false" customHeight="false" outlineLevel="0" collapsed="false">
      <c r="A57" s="11"/>
      <c r="B57" s="11"/>
      <c r="C57" s="11"/>
      <c r="D57" s="11"/>
      <c r="E57" s="11"/>
    </row>
    <row r="58" customFormat="false" ht="15" hidden="false" customHeight="false" outlineLevel="0" collapsed="false">
      <c r="A58" s="11"/>
      <c r="B58" s="11"/>
      <c r="C58" s="11"/>
      <c r="D58" s="11"/>
      <c r="E58" s="11"/>
    </row>
    <row r="59" customFormat="false" ht="15" hidden="false" customHeight="false" outlineLevel="0" collapsed="false">
      <c r="A59" s="11"/>
      <c r="B59" s="11"/>
      <c r="C59" s="11"/>
      <c r="D59" s="11"/>
      <c r="E59" s="11"/>
    </row>
    <row r="60" customFormat="false" ht="15" hidden="false" customHeight="false" outlineLevel="0" collapsed="false">
      <c r="A60" s="11"/>
      <c r="B60" s="11"/>
      <c r="C60" s="11"/>
      <c r="D60" s="11"/>
      <c r="E60" s="11"/>
    </row>
    <row r="61" customFormat="false" ht="15" hidden="false" customHeight="false" outlineLevel="0" collapsed="false">
      <c r="A61" s="11"/>
      <c r="B61" s="11"/>
      <c r="C61" s="11"/>
      <c r="D61" s="11"/>
      <c r="E61" s="11"/>
    </row>
    <row r="62" customFormat="false" ht="15" hidden="false" customHeight="false" outlineLevel="0" collapsed="false">
      <c r="A62" s="11"/>
      <c r="B62" s="11"/>
      <c r="C62" s="11"/>
      <c r="D62" s="11"/>
      <c r="E62" s="11"/>
    </row>
    <row r="63" customFormat="false" ht="15" hidden="false" customHeight="false" outlineLevel="0" collapsed="false">
      <c r="A63" s="11"/>
      <c r="B63" s="11"/>
      <c r="C63" s="11"/>
      <c r="D63" s="11"/>
      <c r="E63" s="11"/>
    </row>
    <row r="64" customFormat="false" ht="15" hidden="false" customHeight="false" outlineLevel="0" collapsed="false">
      <c r="A64" s="11"/>
      <c r="B64" s="11"/>
      <c r="C64" s="11"/>
      <c r="D64" s="11"/>
      <c r="E64" s="11"/>
    </row>
    <row r="65" customFormat="false" ht="15" hidden="false" customHeight="false" outlineLevel="0" collapsed="false">
      <c r="A65" s="11"/>
      <c r="B65" s="11"/>
      <c r="C65" s="11"/>
      <c r="D65" s="11"/>
      <c r="E65" s="11"/>
    </row>
    <row r="66" customFormat="false" ht="15" hidden="false" customHeight="false" outlineLevel="0" collapsed="false">
      <c r="A66" s="11"/>
      <c r="B66" s="11"/>
      <c r="C66" s="11"/>
      <c r="D66" s="11"/>
      <c r="E66" s="11"/>
    </row>
    <row r="67" customFormat="false" ht="15" hidden="false" customHeight="false" outlineLevel="0" collapsed="false">
      <c r="A67" s="11"/>
      <c r="B67" s="11"/>
      <c r="C67" s="11"/>
      <c r="D67" s="11"/>
      <c r="E67" s="11"/>
    </row>
    <row r="68" customFormat="false" ht="15" hidden="false" customHeight="false" outlineLevel="0" collapsed="false">
      <c r="A68" s="11"/>
      <c r="B68" s="11"/>
      <c r="C68" s="11"/>
      <c r="D68" s="11"/>
      <c r="E68" s="11"/>
    </row>
    <row r="69" customFormat="false" ht="15" hidden="false" customHeight="false" outlineLevel="0" collapsed="false">
      <c r="A69" s="11"/>
      <c r="B69" s="11"/>
      <c r="C69" s="11"/>
      <c r="D69" s="11"/>
      <c r="E69" s="11"/>
    </row>
    <row r="70" customFormat="false" ht="15" hidden="false" customHeight="false" outlineLevel="0" collapsed="false">
      <c r="A70" s="11"/>
      <c r="B70" s="11"/>
      <c r="C70" s="11"/>
      <c r="D70" s="11"/>
      <c r="E70" s="11"/>
    </row>
    <row r="71" customFormat="false" ht="15" hidden="false" customHeight="false" outlineLevel="0" collapsed="false">
      <c r="A71" s="11"/>
      <c r="B71" s="11"/>
      <c r="C71" s="11"/>
      <c r="D71" s="11"/>
      <c r="E71" s="11"/>
    </row>
    <row r="72" customFormat="false" ht="15" hidden="false" customHeight="false" outlineLevel="0" collapsed="false">
      <c r="A72" s="11"/>
      <c r="B72" s="11"/>
      <c r="C72" s="11"/>
      <c r="D72" s="11"/>
      <c r="E72" s="11"/>
    </row>
    <row r="73" customFormat="false" ht="15" hidden="false" customHeight="false" outlineLevel="0" collapsed="false">
      <c r="A73" s="11"/>
      <c r="B73" s="11"/>
      <c r="C73" s="11"/>
      <c r="D73" s="11"/>
      <c r="E73" s="11"/>
    </row>
    <row r="74" customFormat="false" ht="15" hidden="false" customHeight="false" outlineLevel="0" collapsed="false">
      <c r="A74" s="11"/>
      <c r="B74" s="11"/>
      <c r="C74" s="11"/>
      <c r="D74" s="11"/>
      <c r="E74" s="11"/>
    </row>
    <row r="75" customFormat="false" ht="15" hidden="false" customHeight="false" outlineLevel="0" collapsed="false">
      <c r="A75" s="11"/>
      <c r="B75" s="11"/>
      <c r="C75" s="11"/>
      <c r="D75" s="11"/>
      <c r="E75" s="11"/>
    </row>
    <row r="76" customFormat="false" ht="15" hidden="false" customHeight="false" outlineLevel="0" collapsed="false">
      <c r="A76" s="11"/>
      <c r="B76" s="11"/>
      <c r="C76" s="11"/>
      <c r="D76" s="11"/>
      <c r="E76" s="11"/>
    </row>
    <row r="77" customFormat="false" ht="15" hidden="false" customHeight="false" outlineLevel="0" collapsed="false">
      <c r="A77" s="11"/>
      <c r="B77" s="11"/>
      <c r="C77" s="11"/>
      <c r="D77" s="11"/>
      <c r="E77" s="11"/>
    </row>
    <row r="78" customFormat="false" ht="15" hidden="false" customHeight="false" outlineLevel="0" collapsed="false">
      <c r="A78" s="11"/>
      <c r="B78" s="11"/>
      <c r="C78" s="11"/>
      <c r="D78" s="11"/>
      <c r="E78" s="11"/>
    </row>
    <row r="79" customFormat="false" ht="15" hidden="false" customHeight="false" outlineLevel="0" collapsed="false">
      <c r="A79" s="11"/>
      <c r="B79" s="11"/>
      <c r="C79" s="11"/>
      <c r="D79" s="11"/>
      <c r="E79" s="11"/>
    </row>
    <row r="80" customFormat="false" ht="15" hidden="false" customHeight="false" outlineLevel="0" collapsed="false">
      <c r="A80" s="11"/>
      <c r="B80" s="11"/>
      <c r="C80" s="11"/>
      <c r="D80" s="11"/>
      <c r="E80" s="11"/>
    </row>
    <row r="81" customFormat="false" ht="15" hidden="false" customHeight="false" outlineLevel="0" collapsed="false">
      <c r="A81" s="11"/>
      <c r="B81" s="11"/>
      <c r="C81" s="11"/>
      <c r="D81" s="11"/>
      <c r="E81" s="11"/>
    </row>
    <row r="82" customFormat="false" ht="15" hidden="false" customHeight="false" outlineLevel="0" collapsed="false">
      <c r="A82" s="11"/>
      <c r="B82" s="11"/>
      <c r="C82" s="11"/>
      <c r="D82" s="11"/>
      <c r="E82" s="11"/>
    </row>
    <row r="83" customFormat="false" ht="15" hidden="false" customHeight="false" outlineLevel="0" collapsed="false">
      <c r="A83" s="11"/>
      <c r="B83" s="11"/>
      <c r="C83" s="11"/>
      <c r="D83" s="11"/>
      <c r="E83" s="11"/>
    </row>
    <row r="84" customFormat="false" ht="15" hidden="false" customHeight="false" outlineLevel="0" collapsed="false">
      <c r="A84" s="11"/>
      <c r="B84" s="11"/>
      <c r="C84" s="11"/>
      <c r="D84" s="11"/>
      <c r="E84" s="11"/>
    </row>
    <row r="85" customFormat="false" ht="15" hidden="false" customHeight="false" outlineLevel="0" collapsed="false">
      <c r="A85" s="11"/>
      <c r="B85" s="11"/>
      <c r="C85" s="11"/>
      <c r="D85" s="11"/>
      <c r="E85" s="11"/>
    </row>
    <row r="86" customFormat="false" ht="15" hidden="false" customHeight="false" outlineLevel="0" collapsed="false">
      <c r="A86" s="11"/>
      <c r="B86" s="11"/>
      <c r="C86" s="11"/>
      <c r="D86" s="11"/>
      <c r="E86" s="11"/>
    </row>
    <row r="87" customFormat="false" ht="15" hidden="false" customHeight="false" outlineLevel="0" collapsed="false">
      <c r="A87" s="11"/>
      <c r="B87" s="11"/>
      <c r="C87" s="11"/>
      <c r="D87" s="11"/>
      <c r="E87" s="11"/>
    </row>
    <row r="88" customFormat="false" ht="15" hidden="false" customHeight="false" outlineLevel="0" collapsed="false">
      <c r="A88" s="11"/>
      <c r="B88" s="11"/>
      <c r="C88" s="11"/>
      <c r="D88" s="11"/>
      <c r="E88" s="11"/>
    </row>
    <row r="89" customFormat="false" ht="15" hidden="false" customHeight="false" outlineLevel="0" collapsed="false">
      <c r="A89" s="11"/>
      <c r="B89" s="11"/>
      <c r="C89" s="11"/>
      <c r="D89" s="11"/>
      <c r="E89" s="11"/>
    </row>
    <row r="90" customFormat="false" ht="15" hidden="false" customHeight="false" outlineLevel="0" collapsed="false">
      <c r="A90" s="11"/>
      <c r="B90" s="11"/>
      <c r="C90" s="11"/>
      <c r="D90" s="11"/>
      <c r="E90" s="11"/>
    </row>
    <row r="91" customFormat="false" ht="15" hidden="false" customHeight="false" outlineLevel="0" collapsed="false">
      <c r="A91" s="11"/>
      <c r="B91" s="11"/>
      <c r="C91" s="11"/>
      <c r="D91" s="11"/>
      <c r="E91" s="11"/>
    </row>
    <row r="92" customFormat="false" ht="15" hidden="false" customHeight="false" outlineLevel="0" collapsed="false">
      <c r="A92" s="11"/>
      <c r="B92" s="11"/>
      <c r="C92" s="11"/>
      <c r="D92" s="11"/>
      <c r="E92" s="11"/>
    </row>
    <row r="93" customFormat="false" ht="15" hidden="false" customHeight="false" outlineLevel="0" collapsed="false">
      <c r="A93" s="11"/>
      <c r="B93" s="11"/>
      <c r="C93" s="11"/>
      <c r="D93" s="11"/>
      <c r="E93" s="11"/>
    </row>
    <row r="94" customFormat="false" ht="15" hidden="false" customHeight="false" outlineLevel="0" collapsed="false">
      <c r="A94" s="11"/>
      <c r="B94" s="11"/>
      <c r="C94" s="11"/>
      <c r="D94" s="11"/>
      <c r="E94" s="11"/>
    </row>
    <row r="95" customFormat="false" ht="15" hidden="false" customHeight="false" outlineLevel="0" collapsed="false">
      <c r="A95" s="11"/>
      <c r="B95" s="11"/>
      <c r="C95" s="11"/>
      <c r="D95" s="11"/>
      <c r="E95" s="11"/>
    </row>
    <row r="96" customFormat="false" ht="15" hidden="false" customHeight="false" outlineLevel="0" collapsed="false">
      <c r="A96" s="11"/>
      <c r="B96" s="11"/>
      <c r="C96" s="11"/>
      <c r="D96" s="11"/>
      <c r="E96" s="11"/>
    </row>
    <row r="97" customFormat="false" ht="15" hidden="false" customHeight="false" outlineLevel="0" collapsed="false">
      <c r="A97" s="11"/>
      <c r="B97" s="11"/>
      <c r="C97" s="11"/>
      <c r="D97" s="11"/>
      <c r="E97" s="11"/>
    </row>
    <row r="98" customFormat="false" ht="15" hidden="false" customHeight="false" outlineLevel="0" collapsed="false">
      <c r="A98" s="11"/>
      <c r="B98" s="11"/>
      <c r="C98" s="11"/>
      <c r="D98" s="11"/>
      <c r="E98" s="11"/>
    </row>
    <row r="99" customFormat="false" ht="15" hidden="false" customHeight="false" outlineLevel="0" collapsed="false">
      <c r="A99" s="11"/>
      <c r="B99" s="11"/>
      <c r="C99" s="11"/>
      <c r="D99" s="11"/>
      <c r="E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</row>
    <row r="202" customFormat="false" ht="15" hidden="false" customHeight="false" outlineLevel="0" collapsed="false">
      <c r="A202" s="11"/>
      <c r="B202" s="11"/>
      <c r="C202" s="11"/>
      <c r="D202" s="11"/>
      <c r="E202" s="11"/>
    </row>
    <row r="203" customFormat="false" ht="15" hidden="false" customHeight="false" outlineLevel="0" collapsed="false">
      <c r="A203" s="11"/>
      <c r="B203" s="11"/>
      <c r="C203" s="11"/>
      <c r="D203" s="11"/>
      <c r="E203" s="11"/>
    </row>
    <row r="204" customFormat="false" ht="15" hidden="false" customHeight="false" outlineLevel="0" collapsed="false">
      <c r="A204" s="11"/>
      <c r="B204" s="11"/>
      <c r="C204" s="11"/>
      <c r="D204" s="11"/>
      <c r="E204" s="11"/>
    </row>
    <row r="205" customFormat="false" ht="15" hidden="false" customHeight="false" outlineLevel="0" collapsed="false">
      <c r="A205" s="11"/>
      <c r="B205" s="11"/>
      <c r="C205" s="11"/>
      <c r="D205" s="11"/>
      <c r="E205" s="11"/>
    </row>
    <row r="206" customFormat="false" ht="15" hidden="false" customHeight="false" outlineLevel="0" collapsed="false">
      <c r="A206" s="11"/>
      <c r="B206" s="11"/>
      <c r="C206" s="11"/>
      <c r="D206" s="11"/>
      <c r="E206" s="11"/>
    </row>
    <row r="207" customFormat="false" ht="15" hidden="false" customHeight="false" outlineLevel="0" collapsed="false">
      <c r="A207" s="11"/>
      <c r="B207" s="11"/>
      <c r="C207" s="11"/>
      <c r="D207" s="11"/>
      <c r="E207" s="11"/>
    </row>
    <row r="208" customFormat="false" ht="15" hidden="false" customHeight="false" outlineLevel="0" collapsed="false">
      <c r="A208" s="11"/>
      <c r="B208" s="11"/>
      <c r="C208" s="11"/>
      <c r="D208" s="11"/>
      <c r="E208" s="11"/>
    </row>
    <row r="209" customFormat="false" ht="15" hidden="false" customHeight="false" outlineLevel="0" collapsed="false">
      <c r="A209" s="11"/>
      <c r="B209" s="11"/>
      <c r="C209" s="11"/>
      <c r="D209" s="11"/>
      <c r="E209" s="11"/>
    </row>
    <row r="210" customFormat="false" ht="15" hidden="false" customHeight="false" outlineLevel="0" collapsed="false">
      <c r="A210" s="11"/>
      <c r="B210" s="11"/>
      <c r="C210" s="11"/>
      <c r="D210" s="11"/>
      <c r="E210" s="11"/>
    </row>
    <row r="211" customFormat="false" ht="15" hidden="false" customHeight="false" outlineLevel="0" collapsed="false">
      <c r="A211" s="11"/>
      <c r="B211" s="11"/>
      <c r="C211" s="11"/>
      <c r="D211" s="11"/>
      <c r="E211" s="11"/>
    </row>
    <row r="212" customFormat="false" ht="15" hidden="false" customHeight="false" outlineLevel="0" collapsed="false">
      <c r="A212" s="11"/>
      <c r="B212" s="11"/>
      <c r="C212" s="11"/>
      <c r="D212" s="11"/>
      <c r="E212" s="11"/>
    </row>
    <row r="213" customFormat="false" ht="15" hidden="false" customHeight="false" outlineLevel="0" collapsed="false">
      <c r="A213" s="11"/>
      <c r="B213" s="11"/>
      <c r="C213" s="11"/>
      <c r="D213" s="11"/>
      <c r="E213" s="11"/>
    </row>
    <row r="214" customFormat="false" ht="15" hidden="false" customHeight="false" outlineLevel="0" collapsed="false">
      <c r="A214" s="11"/>
      <c r="B214" s="11"/>
      <c r="C214" s="11"/>
      <c r="D214" s="11"/>
      <c r="E214" s="11"/>
    </row>
    <row r="215" customFormat="false" ht="15" hidden="false" customHeight="false" outlineLevel="0" collapsed="false">
      <c r="A215" s="11"/>
      <c r="B215" s="11"/>
      <c r="C215" s="11"/>
      <c r="D215" s="11"/>
      <c r="E215" s="11"/>
    </row>
    <row r="216" customFormat="false" ht="15" hidden="false" customHeight="false" outlineLevel="0" collapsed="false">
      <c r="A216" s="11"/>
      <c r="B216" s="11"/>
      <c r="C216" s="11"/>
      <c r="D216" s="11"/>
      <c r="E216" s="11"/>
    </row>
    <row r="217" customFormat="false" ht="15" hidden="false" customHeight="false" outlineLevel="0" collapsed="false">
      <c r="A217" s="11"/>
      <c r="B217" s="11"/>
      <c r="C217" s="11"/>
      <c r="D217" s="11"/>
      <c r="E217" s="11"/>
    </row>
    <row r="218" customFormat="false" ht="15" hidden="false" customHeight="false" outlineLevel="0" collapsed="false">
      <c r="A218" s="11"/>
      <c r="B218" s="11"/>
      <c r="C218" s="11"/>
      <c r="D218" s="11"/>
      <c r="E218" s="11"/>
    </row>
    <row r="219" customFormat="false" ht="15" hidden="false" customHeight="false" outlineLevel="0" collapsed="false">
      <c r="A219" s="11"/>
      <c r="B219" s="11"/>
      <c r="C219" s="11"/>
      <c r="D219" s="11"/>
      <c r="E219" s="11"/>
    </row>
    <row r="220" customFormat="false" ht="15" hidden="false" customHeight="false" outlineLevel="0" collapsed="false">
      <c r="A220" s="11"/>
      <c r="B220" s="11"/>
      <c r="C220" s="11"/>
      <c r="D220" s="11"/>
      <c r="E220" s="11"/>
    </row>
    <row r="221" customFormat="false" ht="15" hidden="false" customHeight="false" outlineLevel="0" collapsed="false">
      <c r="A221" s="11"/>
      <c r="B221" s="11"/>
      <c r="C221" s="11"/>
      <c r="D221" s="11"/>
      <c r="E221" s="11"/>
    </row>
    <row r="222" customFormat="false" ht="15" hidden="false" customHeight="false" outlineLevel="0" collapsed="false">
      <c r="A222" s="11"/>
      <c r="B222" s="11"/>
      <c r="C222" s="11"/>
      <c r="D222" s="11"/>
      <c r="E222" s="11"/>
    </row>
    <row r="223" customFormat="false" ht="15" hidden="false" customHeight="false" outlineLevel="0" collapsed="false">
      <c r="A223" s="11"/>
      <c r="B223" s="11"/>
      <c r="C223" s="11"/>
      <c r="D223" s="11"/>
      <c r="E223" s="11"/>
    </row>
    <row r="224" customFormat="false" ht="15" hidden="false" customHeight="false" outlineLevel="0" collapsed="false">
      <c r="A224" s="11"/>
      <c r="B224" s="11"/>
      <c r="C224" s="11"/>
      <c r="D224" s="11"/>
      <c r="E224" s="11"/>
    </row>
    <row r="225" customFormat="false" ht="15" hidden="false" customHeight="false" outlineLevel="0" collapsed="false">
      <c r="A225" s="11"/>
      <c r="B225" s="11"/>
      <c r="C225" s="11"/>
      <c r="D225" s="11"/>
      <c r="E225" s="11"/>
    </row>
    <row r="226" customFormat="false" ht="15" hidden="false" customHeight="false" outlineLevel="0" collapsed="false">
      <c r="A226" s="11"/>
      <c r="B226" s="11"/>
      <c r="C226" s="11"/>
      <c r="D226" s="11"/>
      <c r="E226" s="11"/>
    </row>
    <row r="227" customFormat="false" ht="15" hidden="false" customHeight="false" outlineLevel="0" collapsed="false">
      <c r="A227" s="11"/>
      <c r="B227" s="11"/>
      <c r="C227" s="11"/>
      <c r="D227" s="11"/>
      <c r="E227" s="11"/>
    </row>
    <row r="228" customFormat="false" ht="15" hidden="false" customHeight="false" outlineLevel="0" collapsed="false">
      <c r="A228" s="11"/>
      <c r="B228" s="11"/>
      <c r="C228" s="11"/>
      <c r="D228" s="11"/>
      <c r="E228" s="11"/>
    </row>
    <row r="229" customFormat="false" ht="15" hidden="false" customHeight="false" outlineLevel="0" collapsed="false">
      <c r="A229" s="11"/>
      <c r="B229" s="11"/>
      <c r="C229" s="11"/>
      <c r="D229" s="11"/>
      <c r="E229" s="11"/>
    </row>
    <row r="230" customFormat="false" ht="15" hidden="false" customHeight="false" outlineLevel="0" collapsed="false">
      <c r="A230" s="11"/>
      <c r="B230" s="11"/>
      <c r="C230" s="11"/>
      <c r="D230" s="11"/>
      <c r="E230" s="11"/>
    </row>
    <row r="231" customFormat="false" ht="15" hidden="false" customHeight="false" outlineLevel="0" collapsed="false">
      <c r="A231" s="11"/>
      <c r="B231" s="11"/>
      <c r="C231" s="11"/>
      <c r="D231" s="11"/>
      <c r="E231" s="11"/>
    </row>
    <row r="232" customFormat="false" ht="15" hidden="false" customHeight="false" outlineLevel="0" collapsed="false">
      <c r="A232" s="11"/>
      <c r="B232" s="11"/>
      <c r="C232" s="11"/>
      <c r="D232" s="11"/>
      <c r="E232" s="11"/>
    </row>
    <row r="233" customFormat="false" ht="15" hidden="false" customHeight="false" outlineLevel="0" collapsed="false">
      <c r="A233" s="11"/>
      <c r="B233" s="11"/>
      <c r="C233" s="11"/>
      <c r="D233" s="11"/>
      <c r="E233" s="11"/>
    </row>
    <row r="234" customFormat="false" ht="15" hidden="false" customHeight="false" outlineLevel="0" collapsed="false">
      <c r="A234" s="11"/>
      <c r="B234" s="11"/>
      <c r="C234" s="11"/>
      <c r="D234" s="11"/>
      <c r="E234" s="11"/>
    </row>
    <row r="235" customFormat="false" ht="15" hidden="false" customHeight="false" outlineLevel="0" collapsed="false">
      <c r="A235" s="11"/>
      <c r="B235" s="11"/>
      <c r="C235" s="11"/>
      <c r="D235" s="11"/>
      <c r="E235" s="11"/>
    </row>
    <row r="236" customFormat="false" ht="15" hidden="false" customHeight="false" outlineLevel="0" collapsed="false">
      <c r="A236" s="11"/>
      <c r="B236" s="11"/>
      <c r="C236" s="11"/>
      <c r="D236" s="11"/>
      <c r="E236" s="11"/>
    </row>
    <row r="237" customFormat="false" ht="15" hidden="false" customHeight="false" outlineLevel="0" collapsed="false">
      <c r="A237" s="11"/>
      <c r="B237" s="11"/>
      <c r="C237" s="11"/>
      <c r="D237" s="11"/>
      <c r="E237" s="11"/>
    </row>
    <row r="238" customFormat="false" ht="15" hidden="false" customHeight="false" outlineLevel="0" collapsed="false">
      <c r="A238" s="11"/>
      <c r="B238" s="11"/>
      <c r="C238" s="11"/>
      <c r="D238" s="11"/>
      <c r="E238" s="11"/>
    </row>
    <row r="239" customFormat="false" ht="15" hidden="false" customHeight="false" outlineLevel="0" collapsed="false">
      <c r="A239" s="11"/>
      <c r="B239" s="11"/>
      <c r="C239" s="11"/>
      <c r="D239" s="11"/>
      <c r="E239" s="11"/>
    </row>
    <row r="240" customFormat="false" ht="15" hidden="false" customHeight="false" outlineLevel="0" collapsed="false">
      <c r="A240" s="11"/>
      <c r="B240" s="11"/>
      <c r="C240" s="11"/>
      <c r="D240" s="11"/>
      <c r="E240" s="11"/>
    </row>
    <row r="241" customFormat="false" ht="15" hidden="false" customHeight="false" outlineLevel="0" collapsed="false">
      <c r="A241" s="11"/>
      <c r="B241" s="11"/>
      <c r="C241" s="11"/>
      <c r="D241" s="11"/>
      <c r="E241" s="11"/>
    </row>
    <row r="242" customFormat="false" ht="15" hidden="false" customHeight="false" outlineLevel="0" collapsed="false">
      <c r="A242" s="11"/>
      <c r="B242" s="11"/>
      <c r="C242" s="11"/>
      <c r="D242" s="11"/>
      <c r="E242" s="11"/>
    </row>
    <row r="243" customFormat="false" ht="15" hidden="false" customHeight="false" outlineLevel="0" collapsed="false">
      <c r="A243" s="11"/>
      <c r="B243" s="11"/>
      <c r="C243" s="11"/>
      <c r="D243" s="11"/>
      <c r="E243" s="11"/>
    </row>
    <row r="244" customFormat="false" ht="15" hidden="false" customHeight="false" outlineLevel="0" collapsed="false">
      <c r="A244" s="11"/>
      <c r="B244" s="11"/>
      <c r="C244" s="11"/>
      <c r="D244" s="11"/>
      <c r="E244" s="11"/>
    </row>
    <row r="245" customFormat="false" ht="15" hidden="false" customHeight="false" outlineLevel="0" collapsed="false">
      <c r="A245" s="11"/>
      <c r="B245" s="11"/>
      <c r="C245" s="11"/>
      <c r="D245" s="11"/>
      <c r="E245" s="11"/>
    </row>
    <row r="246" customFormat="false" ht="15" hidden="false" customHeight="false" outlineLevel="0" collapsed="false">
      <c r="A246" s="11"/>
      <c r="B246" s="11"/>
      <c r="C246" s="11"/>
      <c r="D246" s="11"/>
      <c r="E246" s="11"/>
    </row>
    <row r="247" customFormat="false" ht="15" hidden="false" customHeight="false" outlineLevel="0" collapsed="false">
      <c r="A247" s="11"/>
      <c r="B247" s="11"/>
      <c r="C247" s="11"/>
      <c r="D247" s="11"/>
      <c r="E247" s="11"/>
    </row>
    <row r="248" customFormat="false" ht="15" hidden="false" customHeight="false" outlineLevel="0" collapsed="false">
      <c r="A248" s="11"/>
      <c r="B248" s="11"/>
      <c r="C248" s="11"/>
      <c r="D248" s="11"/>
      <c r="E248" s="11"/>
    </row>
    <row r="249" customFormat="false" ht="15" hidden="false" customHeight="false" outlineLevel="0" collapsed="false">
      <c r="A249" s="11"/>
      <c r="B249" s="11"/>
      <c r="C249" s="11"/>
      <c r="D249" s="11"/>
      <c r="E249" s="11"/>
    </row>
    <row r="250" customFormat="false" ht="15" hidden="false" customHeight="false" outlineLevel="0" collapsed="false">
      <c r="A250" s="11"/>
      <c r="B250" s="11"/>
      <c r="C250" s="11"/>
      <c r="D250" s="11"/>
      <c r="E250" s="11"/>
    </row>
    <row r="251" customFormat="false" ht="15" hidden="false" customHeight="false" outlineLevel="0" collapsed="false">
      <c r="A251" s="11"/>
      <c r="B251" s="11"/>
      <c r="C251" s="11"/>
      <c r="D251" s="11"/>
      <c r="E251" s="11"/>
    </row>
    <row r="252" customFormat="false" ht="15" hidden="false" customHeight="false" outlineLevel="0" collapsed="false">
      <c r="A252" s="11"/>
      <c r="B252" s="11"/>
      <c r="C252" s="11"/>
      <c r="D252" s="11"/>
      <c r="E252" s="11"/>
    </row>
    <row r="253" customFormat="false" ht="15" hidden="false" customHeight="false" outlineLevel="0" collapsed="false">
      <c r="A253" s="11"/>
      <c r="B253" s="11"/>
      <c r="C253" s="11"/>
      <c r="D253" s="11"/>
      <c r="E253" s="11"/>
    </row>
    <row r="254" customFormat="false" ht="15" hidden="false" customHeight="false" outlineLevel="0" collapsed="false">
      <c r="A254" s="11"/>
      <c r="B254" s="11"/>
      <c r="C254" s="11"/>
      <c r="D254" s="11"/>
      <c r="E254" s="11"/>
    </row>
    <row r="255" customFormat="false" ht="15" hidden="false" customHeight="false" outlineLevel="0" collapsed="false">
      <c r="A255" s="11"/>
      <c r="B255" s="11"/>
      <c r="C255" s="11"/>
      <c r="D255" s="11"/>
      <c r="E255" s="11"/>
    </row>
    <row r="256" customFormat="false" ht="15" hidden="false" customHeight="false" outlineLevel="0" collapsed="false">
      <c r="A256" s="11"/>
      <c r="B256" s="11"/>
      <c r="C256" s="11"/>
      <c r="D256" s="11"/>
      <c r="E256" s="11"/>
    </row>
    <row r="257" customFormat="false" ht="15" hidden="false" customHeight="false" outlineLevel="0" collapsed="false">
      <c r="A257" s="11"/>
      <c r="B257" s="11"/>
      <c r="C257" s="11"/>
      <c r="D257" s="11"/>
      <c r="E257" s="11"/>
    </row>
    <row r="258" customFormat="false" ht="15" hidden="false" customHeight="false" outlineLevel="0" collapsed="false">
      <c r="A258" s="11"/>
      <c r="B258" s="11"/>
      <c r="C258" s="11"/>
      <c r="D258" s="11"/>
      <c r="E258" s="11"/>
    </row>
    <row r="259" customFormat="false" ht="15" hidden="false" customHeight="false" outlineLevel="0" collapsed="false">
      <c r="A259" s="11"/>
      <c r="B259" s="11"/>
      <c r="C259" s="11"/>
      <c r="D259" s="11"/>
      <c r="E259" s="11"/>
    </row>
    <row r="260" customFormat="false" ht="15" hidden="false" customHeight="false" outlineLevel="0" collapsed="false">
      <c r="A260" s="11"/>
      <c r="B260" s="11"/>
      <c r="C260" s="11"/>
      <c r="D260" s="11"/>
      <c r="E260" s="11"/>
    </row>
    <row r="261" customFormat="false" ht="15" hidden="false" customHeight="false" outlineLevel="0" collapsed="false">
      <c r="A261" s="11"/>
      <c r="B261" s="11"/>
      <c r="C261" s="11"/>
      <c r="D261" s="11"/>
      <c r="E261" s="11"/>
    </row>
    <row r="262" customFormat="false" ht="15" hidden="false" customHeight="false" outlineLevel="0" collapsed="false">
      <c r="A262" s="11"/>
      <c r="B262" s="11"/>
      <c r="C262" s="11"/>
      <c r="D262" s="11"/>
      <c r="E262" s="11"/>
    </row>
    <row r="263" customFormat="false" ht="15" hidden="false" customHeight="false" outlineLevel="0" collapsed="false">
      <c r="A263" s="11"/>
      <c r="B263" s="11"/>
      <c r="C263" s="11"/>
      <c r="D263" s="11"/>
      <c r="E263" s="11"/>
    </row>
    <row r="264" customFormat="false" ht="15" hidden="false" customHeight="false" outlineLevel="0" collapsed="false">
      <c r="A264" s="11"/>
      <c r="B264" s="11"/>
      <c r="C264" s="11"/>
      <c r="D264" s="11"/>
      <c r="E264" s="11"/>
    </row>
    <row r="265" customFormat="false" ht="15" hidden="false" customHeight="false" outlineLevel="0" collapsed="false">
      <c r="A265" s="11"/>
      <c r="B265" s="11"/>
      <c r="C265" s="11"/>
      <c r="D265" s="11"/>
      <c r="E265" s="11"/>
    </row>
    <row r="266" customFormat="false" ht="15" hidden="false" customHeight="false" outlineLevel="0" collapsed="false">
      <c r="A266" s="11"/>
      <c r="B266" s="11"/>
      <c r="C266" s="11"/>
      <c r="D266" s="11"/>
      <c r="E266" s="11"/>
    </row>
    <row r="267" customFormat="false" ht="15" hidden="false" customHeight="false" outlineLevel="0" collapsed="false">
      <c r="A267" s="11"/>
      <c r="B267" s="11"/>
      <c r="C267" s="11"/>
      <c r="D267" s="11"/>
      <c r="E267" s="11"/>
    </row>
    <row r="268" customFormat="false" ht="15" hidden="false" customHeight="false" outlineLevel="0" collapsed="false">
      <c r="A268" s="11"/>
      <c r="B268" s="11"/>
      <c r="C268" s="11"/>
      <c r="D268" s="11"/>
      <c r="E268" s="11"/>
    </row>
    <row r="269" customFormat="false" ht="15" hidden="false" customHeight="false" outlineLevel="0" collapsed="false">
      <c r="A269" s="11"/>
      <c r="B269" s="11"/>
      <c r="C269" s="11"/>
      <c r="D269" s="11"/>
      <c r="E269" s="11"/>
    </row>
    <row r="270" customFormat="false" ht="15" hidden="false" customHeight="false" outlineLevel="0" collapsed="false">
      <c r="A270" s="11"/>
      <c r="B270" s="11"/>
      <c r="C270" s="11"/>
      <c r="D270" s="11"/>
      <c r="E270" s="11"/>
    </row>
    <row r="271" customFormat="false" ht="15" hidden="false" customHeight="false" outlineLevel="0" collapsed="false">
      <c r="A271" s="11"/>
      <c r="B271" s="11"/>
      <c r="C271" s="11"/>
      <c r="D271" s="11"/>
      <c r="E271" s="11"/>
    </row>
    <row r="272" customFormat="false" ht="15" hidden="false" customHeight="false" outlineLevel="0" collapsed="false">
      <c r="A272" s="11"/>
      <c r="B272" s="11"/>
      <c r="C272" s="11"/>
      <c r="D272" s="11"/>
      <c r="E272" s="11"/>
    </row>
    <row r="273" customFormat="false" ht="15" hidden="false" customHeight="false" outlineLevel="0" collapsed="false">
      <c r="A273" s="11"/>
      <c r="B273" s="11"/>
      <c r="C273" s="11"/>
      <c r="D273" s="11"/>
      <c r="E273" s="11"/>
    </row>
    <row r="274" customFormat="false" ht="15" hidden="false" customHeight="false" outlineLevel="0" collapsed="false">
      <c r="A274" s="11"/>
      <c r="B274" s="11"/>
      <c r="C274" s="11"/>
      <c r="D274" s="11"/>
      <c r="E274" s="11"/>
    </row>
    <row r="275" customFormat="false" ht="15" hidden="false" customHeight="false" outlineLevel="0" collapsed="false">
      <c r="A275" s="11"/>
      <c r="B275" s="11"/>
      <c r="C275" s="11"/>
      <c r="D275" s="11"/>
      <c r="E275" s="11"/>
    </row>
    <row r="276" customFormat="false" ht="15" hidden="false" customHeight="false" outlineLevel="0" collapsed="false">
      <c r="A276" s="11"/>
      <c r="B276" s="11"/>
      <c r="C276" s="11"/>
      <c r="D276" s="11"/>
      <c r="E276" s="11"/>
    </row>
    <row r="277" customFormat="false" ht="15" hidden="false" customHeight="false" outlineLevel="0" collapsed="false">
      <c r="A277" s="11"/>
      <c r="B277" s="11"/>
      <c r="C277" s="11"/>
      <c r="D277" s="11"/>
      <c r="E277" s="11"/>
    </row>
    <row r="278" customFormat="false" ht="15" hidden="false" customHeight="false" outlineLevel="0" collapsed="false">
      <c r="A278" s="11"/>
      <c r="B278" s="11"/>
      <c r="C278" s="11"/>
      <c r="D278" s="11"/>
      <c r="E278" s="11"/>
    </row>
    <row r="279" customFormat="false" ht="15" hidden="false" customHeight="false" outlineLevel="0" collapsed="false">
      <c r="A279" s="11"/>
      <c r="B279" s="11"/>
      <c r="C279" s="11"/>
      <c r="D279" s="11"/>
      <c r="E279" s="11"/>
    </row>
    <row r="280" customFormat="false" ht="15" hidden="false" customHeight="false" outlineLevel="0" collapsed="false">
      <c r="A280" s="11"/>
      <c r="B280" s="11"/>
      <c r="C280" s="11"/>
      <c r="D280" s="11"/>
      <c r="E280" s="11"/>
    </row>
    <row r="281" customFormat="false" ht="15" hidden="false" customHeight="false" outlineLevel="0" collapsed="false">
      <c r="A281" s="11"/>
      <c r="B281" s="11"/>
      <c r="C281" s="11"/>
      <c r="D281" s="11"/>
      <c r="E281" s="11"/>
    </row>
    <row r="282" customFormat="false" ht="15" hidden="false" customHeight="false" outlineLevel="0" collapsed="false">
      <c r="A282" s="11"/>
      <c r="B282" s="11"/>
      <c r="C282" s="11"/>
      <c r="D282" s="11"/>
      <c r="E282" s="11"/>
    </row>
    <row r="283" customFormat="false" ht="15" hidden="false" customHeight="false" outlineLevel="0" collapsed="false">
      <c r="A283" s="11"/>
      <c r="B283" s="11"/>
      <c r="C283" s="11"/>
      <c r="D283" s="11"/>
      <c r="E283" s="11"/>
    </row>
    <row r="284" customFormat="false" ht="15" hidden="false" customHeight="false" outlineLevel="0" collapsed="false">
      <c r="A284" s="11"/>
      <c r="B284" s="11"/>
      <c r="C284" s="11"/>
      <c r="D284" s="11"/>
      <c r="E284" s="11"/>
    </row>
    <row r="285" customFormat="false" ht="15" hidden="false" customHeight="false" outlineLevel="0" collapsed="false">
      <c r="A285" s="11"/>
      <c r="B285" s="11"/>
      <c r="C285" s="11"/>
      <c r="D285" s="11"/>
      <c r="E285" s="11"/>
    </row>
    <row r="286" customFormat="false" ht="15" hidden="false" customHeight="false" outlineLevel="0" collapsed="false">
      <c r="A286" s="11"/>
      <c r="B286" s="11"/>
      <c r="C286" s="11"/>
      <c r="D286" s="11"/>
      <c r="E286" s="11"/>
    </row>
    <row r="287" customFormat="false" ht="15" hidden="false" customHeight="false" outlineLevel="0" collapsed="false">
      <c r="A287" s="11"/>
      <c r="B287" s="11"/>
      <c r="C287" s="11"/>
      <c r="D287" s="11"/>
      <c r="E287" s="11"/>
    </row>
    <row r="288" customFormat="false" ht="15" hidden="false" customHeight="false" outlineLevel="0" collapsed="false">
      <c r="A288" s="11"/>
      <c r="B288" s="11"/>
      <c r="C288" s="11"/>
      <c r="D288" s="11"/>
      <c r="E288" s="11"/>
    </row>
    <row r="289" customFormat="false" ht="15" hidden="false" customHeight="false" outlineLevel="0" collapsed="false">
      <c r="A289" s="11"/>
      <c r="B289" s="11"/>
      <c r="C289" s="11"/>
      <c r="D289" s="11"/>
      <c r="E289" s="11"/>
    </row>
    <row r="290" customFormat="false" ht="15" hidden="false" customHeight="false" outlineLevel="0" collapsed="false">
      <c r="A290" s="11"/>
      <c r="B290" s="11"/>
      <c r="C290" s="11"/>
      <c r="D290" s="11"/>
      <c r="E290" s="11"/>
    </row>
    <row r="291" customFormat="false" ht="15" hidden="false" customHeight="false" outlineLevel="0" collapsed="false">
      <c r="A291" s="11"/>
      <c r="B291" s="11"/>
      <c r="C291" s="11"/>
      <c r="D291" s="11"/>
      <c r="E291" s="11"/>
    </row>
    <row r="292" customFormat="false" ht="15" hidden="false" customHeight="false" outlineLevel="0" collapsed="false">
      <c r="A292" s="11"/>
      <c r="B292" s="11"/>
      <c r="C292" s="11"/>
      <c r="D292" s="11"/>
      <c r="E292" s="11"/>
    </row>
    <row r="293" customFormat="false" ht="15" hidden="false" customHeight="false" outlineLevel="0" collapsed="false">
      <c r="A293" s="11"/>
      <c r="B293" s="11"/>
      <c r="C293" s="11"/>
      <c r="D293" s="11"/>
      <c r="E293" s="11"/>
    </row>
    <row r="294" customFormat="false" ht="15" hidden="false" customHeight="false" outlineLevel="0" collapsed="false">
      <c r="A294" s="11"/>
      <c r="B294" s="11"/>
      <c r="C294" s="11"/>
      <c r="D294" s="11"/>
      <c r="E294" s="11"/>
    </row>
    <row r="295" customFormat="false" ht="15" hidden="false" customHeight="false" outlineLevel="0" collapsed="false">
      <c r="A295" s="11"/>
      <c r="B295" s="11"/>
      <c r="C295" s="11"/>
      <c r="D295" s="11"/>
      <c r="E295" s="11"/>
    </row>
    <row r="296" customFormat="false" ht="15" hidden="false" customHeight="false" outlineLevel="0" collapsed="false">
      <c r="A296" s="11"/>
      <c r="B296" s="11"/>
      <c r="C296" s="11"/>
      <c r="D296" s="11"/>
      <c r="E296" s="11"/>
    </row>
    <row r="297" customFormat="false" ht="15" hidden="false" customHeight="false" outlineLevel="0" collapsed="false">
      <c r="A297" s="11"/>
      <c r="B297" s="11"/>
      <c r="C297" s="11"/>
      <c r="D297" s="11"/>
      <c r="E297" s="11"/>
    </row>
    <row r="298" customFormat="false" ht="15" hidden="false" customHeight="false" outlineLevel="0" collapsed="false">
      <c r="A298" s="11"/>
      <c r="B298" s="11"/>
      <c r="C298" s="11"/>
      <c r="D298" s="11"/>
      <c r="E298" s="11"/>
    </row>
    <row r="299" customFormat="false" ht="15" hidden="false" customHeight="false" outlineLevel="0" collapsed="false">
      <c r="A299" s="11"/>
      <c r="B299" s="11"/>
      <c r="C299" s="11"/>
      <c r="D299" s="11"/>
      <c r="E299" s="11"/>
    </row>
    <row r="300" customFormat="false" ht="15" hidden="false" customHeight="false" outlineLevel="0" collapsed="false">
      <c r="A300" s="11"/>
      <c r="B300" s="11"/>
      <c r="C300" s="11"/>
      <c r="D300" s="11"/>
      <c r="E300" s="11"/>
    </row>
    <row r="301" customFormat="false" ht="15" hidden="false" customHeight="false" outlineLevel="0" collapsed="false">
      <c r="A301" s="11"/>
      <c r="B301" s="11"/>
      <c r="C301" s="11"/>
      <c r="D301" s="11"/>
      <c r="E301" s="11"/>
    </row>
    <row r="302" customFormat="false" ht="15" hidden="false" customHeight="false" outlineLevel="0" collapsed="false">
      <c r="A302" s="11"/>
      <c r="B302" s="11"/>
      <c r="C302" s="11"/>
      <c r="D302" s="11"/>
      <c r="E302" s="11"/>
    </row>
    <row r="303" customFormat="false" ht="15" hidden="false" customHeight="false" outlineLevel="0" collapsed="false">
      <c r="A303" s="11"/>
      <c r="B303" s="11"/>
      <c r="C303" s="11"/>
      <c r="D303" s="11"/>
      <c r="E303" s="11"/>
    </row>
    <row r="304" customFormat="false" ht="15" hidden="false" customHeight="false" outlineLevel="0" collapsed="false">
      <c r="A304" s="11"/>
      <c r="B304" s="11"/>
      <c r="C304" s="11"/>
      <c r="D304" s="11"/>
      <c r="E304" s="11"/>
    </row>
    <row r="305" customFormat="false" ht="15" hidden="false" customHeight="false" outlineLevel="0" collapsed="false">
      <c r="A305" s="11"/>
      <c r="B305" s="11"/>
      <c r="C305" s="11"/>
      <c r="D305" s="11"/>
      <c r="E305" s="11"/>
    </row>
    <row r="306" customFormat="false" ht="15" hidden="false" customHeight="false" outlineLevel="0" collapsed="false">
      <c r="A306" s="11"/>
      <c r="B306" s="11"/>
      <c r="C306" s="11"/>
      <c r="D306" s="11"/>
      <c r="E306" s="11"/>
    </row>
    <row r="307" customFormat="false" ht="15" hidden="false" customHeight="false" outlineLevel="0" collapsed="false">
      <c r="A307" s="11"/>
      <c r="B307" s="11"/>
      <c r="C307" s="11"/>
      <c r="D307" s="11"/>
      <c r="E307" s="11"/>
    </row>
    <row r="308" customFormat="false" ht="15" hidden="false" customHeight="false" outlineLevel="0" collapsed="false">
      <c r="A308" s="11"/>
      <c r="B308" s="11"/>
      <c r="C308" s="11"/>
      <c r="D308" s="11"/>
      <c r="E308" s="11"/>
    </row>
    <row r="309" customFormat="false" ht="15" hidden="false" customHeight="false" outlineLevel="0" collapsed="false">
      <c r="A309" s="11"/>
      <c r="B309" s="11"/>
      <c r="C309" s="11"/>
      <c r="D309" s="11"/>
      <c r="E309" s="11"/>
    </row>
    <row r="310" customFormat="false" ht="15" hidden="false" customHeight="false" outlineLevel="0" collapsed="false">
      <c r="A310" s="11"/>
      <c r="B310" s="11"/>
      <c r="C310" s="11"/>
      <c r="D310" s="11"/>
      <c r="E310" s="11"/>
    </row>
    <row r="311" customFormat="false" ht="15" hidden="false" customHeight="false" outlineLevel="0" collapsed="false">
      <c r="A311" s="11"/>
      <c r="B311" s="11"/>
      <c r="C311" s="11"/>
      <c r="D311" s="11"/>
      <c r="E311" s="11"/>
    </row>
    <row r="312" customFormat="false" ht="15" hidden="false" customHeight="false" outlineLevel="0" collapsed="false">
      <c r="A312" s="11"/>
      <c r="B312" s="11"/>
      <c r="C312" s="11"/>
      <c r="D312" s="11"/>
      <c r="E312" s="11"/>
    </row>
    <row r="313" customFormat="false" ht="15" hidden="false" customHeight="false" outlineLevel="0" collapsed="false">
      <c r="A313" s="11"/>
      <c r="B313" s="11"/>
      <c r="C313" s="11"/>
      <c r="D313" s="11"/>
      <c r="E313" s="11"/>
    </row>
    <row r="314" customFormat="false" ht="15" hidden="false" customHeight="false" outlineLevel="0" collapsed="false">
      <c r="A314" s="11"/>
      <c r="B314" s="11"/>
      <c r="C314" s="11"/>
      <c r="D314" s="11"/>
      <c r="E314" s="11"/>
    </row>
    <row r="315" customFormat="false" ht="15" hidden="false" customHeight="false" outlineLevel="0" collapsed="false">
      <c r="A315" s="11"/>
      <c r="B315" s="11"/>
      <c r="C315" s="11"/>
      <c r="D315" s="11"/>
      <c r="E315" s="11"/>
    </row>
    <row r="316" customFormat="false" ht="15" hidden="false" customHeight="false" outlineLevel="0" collapsed="false">
      <c r="A316" s="11"/>
      <c r="B316" s="11"/>
      <c r="C316" s="11"/>
      <c r="D316" s="11"/>
      <c r="E316" s="11"/>
    </row>
    <row r="317" customFormat="false" ht="15" hidden="false" customHeight="false" outlineLevel="0" collapsed="false">
      <c r="A317" s="11"/>
      <c r="B317" s="11"/>
      <c r="C317" s="11"/>
      <c r="D317" s="11"/>
      <c r="E317" s="11"/>
    </row>
    <row r="318" customFormat="false" ht="15" hidden="false" customHeight="false" outlineLevel="0" collapsed="false">
      <c r="A318" s="11"/>
      <c r="B318" s="11"/>
      <c r="C318" s="11"/>
      <c r="D318" s="11"/>
      <c r="E318" s="11"/>
    </row>
    <row r="319" customFormat="false" ht="15" hidden="false" customHeight="false" outlineLevel="0" collapsed="false">
      <c r="A319" s="11"/>
      <c r="B319" s="11"/>
      <c r="C319" s="11"/>
      <c r="D319" s="11"/>
      <c r="E319" s="11"/>
    </row>
    <row r="320" customFormat="false" ht="15" hidden="false" customHeight="false" outlineLevel="0" collapsed="false">
      <c r="A320" s="11"/>
      <c r="B320" s="11"/>
      <c r="C320" s="11"/>
      <c r="D320" s="11"/>
      <c r="E320" s="11"/>
    </row>
    <row r="321" customFormat="false" ht="15" hidden="false" customHeight="false" outlineLevel="0" collapsed="false">
      <c r="A321" s="11"/>
      <c r="B321" s="11"/>
      <c r="C321" s="11"/>
      <c r="D321" s="11"/>
      <c r="E321" s="11"/>
    </row>
    <row r="322" customFormat="false" ht="15" hidden="false" customHeight="false" outlineLevel="0" collapsed="false">
      <c r="A322" s="11"/>
      <c r="B322" s="11"/>
      <c r="C322" s="11"/>
      <c r="D322" s="11"/>
      <c r="E322" s="11"/>
    </row>
    <row r="323" customFormat="false" ht="15" hidden="false" customHeight="false" outlineLevel="0" collapsed="false">
      <c r="A323" s="11"/>
      <c r="B323" s="11"/>
      <c r="C323" s="11"/>
      <c r="D323" s="11"/>
      <c r="E323" s="11"/>
    </row>
    <row r="324" customFormat="false" ht="15" hidden="false" customHeight="false" outlineLevel="0" collapsed="false">
      <c r="A324" s="11"/>
      <c r="B324" s="11"/>
      <c r="C324" s="11"/>
      <c r="D324" s="11"/>
      <c r="E324" s="11"/>
    </row>
    <row r="325" customFormat="false" ht="15" hidden="false" customHeight="false" outlineLevel="0" collapsed="false">
      <c r="A325" s="11"/>
      <c r="B325" s="11"/>
      <c r="C325" s="11"/>
      <c r="D325" s="11"/>
      <c r="E325" s="11"/>
    </row>
    <row r="326" customFormat="false" ht="15" hidden="false" customHeight="false" outlineLevel="0" collapsed="false">
      <c r="A326" s="11"/>
      <c r="B326" s="11"/>
      <c r="C326" s="11"/>
      <c r="D326" s="11"/>
      <c r="E326" s="11"/>
    </row>
    <row r="327" customFormat="false" ht="15" hidden="false" customHeight="false" outlineLevel="0" collapsed="false">
      <c r="A327" s="11"/>
      <c r="B327" s="11"/>
      <c r="C327" s="11"/>
      <c r="D327" s="11"/>
      <c r="E327" s="11"/>
    </row>
    <row r="328" customFormat="false" ht="15" hidden="false" customHeight="false" outlineLevel="0" collapsed="false">
      <c r="A328" s="11"/>
      <c r="B328" s="11"/>
      <c r="C328" s="11"/>
      <c r="D328" s="11"/>
      <c r="E328" s="11"/>
    </row>
    <row r="329" customFormat="false" ht="15" hidden="false" customHeight="false" outlineLevel="0" collapsed="false">
      <c r="A329" s="11"/>
      <c r="B329" s="11"/>
      <c r="C329" s="11"/>
      <c r="D329" s="11"/>
      <c r="E329" s="11"/>
    </row>
    <row r="330" customFormat="false" ht="15" hidden="false" customHeight="false" outlineLevel="0" collapsed="false">
      <c r="A330" s="11"/>
      <c r="B330" s="11"/>
      <c r="C330" s="11"/>
      <c r="D330" s="11"/>
      <c r="E330" s="11"/>
    </row>
    <row r="331" customFormat="false" ht="15" hidden="false" customHeight="false" outlineLevel="0" collapsed="false">
      <c r="A331" s="11"/>
      <c r="B331" s="11"/>
      <c r="C331" s="11"/>
      <c r="D331" s="11"/>
      <c r="E331" s="11"/>
    </row>
    <row r="332" customFormat="false" ht="15" hidden="false" customHeight="false" outlineLevel="0" collapsed="false">
      <c r="A332" s="11"/>
      <c r="B332" s="11"/>
      <c r="C332" s="11"/>
      <c r="D332" s="11"/>
      <c r="E332" s="11"/>
    </row>
    <row r="333" customFormat="false" ht="15" hidden="false" customHeight="false" outlineLevel="0" collapsed="false">
      <c r="A333" s="11"/>
      <c r="B333" s="11"/>
      <c r="C333" s="11"/>
      <c r="D333" s="11"/>
      <c r="E333" s="11"/>
    </row>
    <row r="334" customFormat="false" ht="15" hidden="false" customHeight="false" outlineLevel="0" collapsed="false">
      <c r="A334" s="11"/>
      <c r="B334" s="11"/>
      <c r="C334" s="11"/>
      <c r="D334" s="11"/>
      <c r="E334" s="11"/>
    </row>
    <row r="335" customFormat="false" ht="15" hidden="false" customHeight="false" outlineLevel="0" collapsed="false">
      <c r="A335" s="11"/>
      <c r="B335" s="11"/>
      <c r="C335" s="11"/>
      <c r="D335" s="11"/>
      <c r="E335" s="11"/>
    </row>
    <row r="336" customFormat="false" ht="15" hidden="false" customHeight="false" outlineLevel="0" collapsed="false">
      <c r="A336" s="11"/>
      <c r="B336" s="11"/>
      <c r="C336" s="11"/>
      <c r="D336" s="11"/>
      <c r="E336" s="11"/>
    </row>
    <row r="337" customFormat="false" ht="15" hidden="false" customHeight="false" outlineLevel="0" collapsed="false">
      <c r="A337" s="11"/>
      <c r="B337" s="11"/>
      <c r="C337" s="11"/>
      <c r="D337" s="11"/>
      <c r="E337" s="11"/>
    </row>
    <row r="338" customFormat="false" ht="15" hidden="false" customHeight="false" outlineLevel="0" collapsed="false">
      <c r="A338" s="11"/>
      <c r="B338" s="11"/>
      <c r="C338" s="11"/>
      <c r="D338" s="11"/>
      <c r="E338" s="11"/>
    </row>
    <row r="339" customFormat="false" ht="15" hidden="false" customHeight="false" outlineLevel="0" collapsed="false">
      <c r="A339" s="11"/>
      <c r="B339" s="11"/>
      <c r="C339" s="11"/>
      <c r="D339" s="11"/>
      <c r="E339" s="11"/>
    </row>
    <row r="340" customFormat="false" ht="15" hidden="false" customHeight="false" outlineLevel="0" collapsed="false">
      <c r="A340" s="11"/>
      <c r="B340" s="11"/>
      <c r="C340" s="11"/>
      <c r="D340" s="11"/>
      <c r="E340" s="11"/>
    </row>
    <row r="341" customFormat="false" ht="15" hidden="false" customHeight="false" outlineLevel="0" collapsed="false">
      <c r="A341" s="11"/>
      <c r="B341" s="11"/>
      <c r="C341" s="11"/>
      <c r="D341" s="11"/>
      <c r="E341" s="11"/>
    </row>
    <row r="342" customFormat="false" ht="15" hidden="false" customHeight="false" outlineLevel="0" collapsed="false">
      <c r="A342" s="11"/>
      <c r="B342" s="11"/>
      <c r="C342" s="11"/>
      <c r="D342" s="11"/>
      <c r="E342" s="11"/>
    </row>
    <row r="343" customFormat="false" ht="15" hidden="false" customHeight="false" outlineLevel="0" collapsed="false">
      <c r="A343" s="11"/>
      <c r="B343" s="11"/>
      <c r="C343" s="11"/>
      <c r="D343" s="11"/>
      <c r="E343" s="11"/>
    </row>
    <row r="344" customFormat="false" ht="15" hidden="false" customHeight="false" outlineLevel="0" collapsed="false">
      <c r="A344" s="11"/>
      <c r="B344" s="11"/>
      <c r="C344" s="11"/>
      <c r="D344" s="11"/>
      <c r="E344" s="11"/>
    </row>
    <row r="345" customFormat="false" ht="15" hidden="false" customHeight="false" outlineLevel="0" collapsed="false">
      <c r="A345" s="11"/>
      <c r="B345" s="11"/>
      <c r="C345" s="11"/>
      <c r="D345" s="11"/>
      <c r="E345" s="11"/>
    </row>
    <row r="346" customFormat="false" ht="15" hidden="false" customHeight="false" outlineLevel="0" collapsed="false">
      <c r="A346" s="11"/>
      <c r="B346" s="11"/>
      <c r="C346" s="11"/>
      <c r="D346" s="11"/>
      <c r="E346" s="11"/>
    </row>
    <row r="347" customFormat="false" ht="15" hidden="false" customHeight="false" outlineLevel="0" collapsed="false">
      <c r="A347" s="11"/>
      <c r="B347" s="11"/>
      <c r="C347" s="11"/>
      <c r="D347" s="11"/>
      <c r="E347" s="11"/>
    </row>
    <row r="348" customFormat="false" ht="15" hidden="false" customHeight="false" outlineLevel="0" collapsed="false">
      <c r="A348" s="11"/>
      <c r="B348" s="11"/>
      <c r="C348" s="11"/>
      <c r="D348" s="11"/>
      <c r="E348" s="11"/>
    </row>
    <row r="349" customFormat="false" ht="15" hidden="false" customHeight="false" outlineLevel="0" collapsed="false">
      <c r="A349" s="11"/>
      <c r="B349" s="11"/>
      <c r="C349" s="11"/>
      <c r="D349" s="11"/>
      <c r="E349" s="11"/>
    </row>
    <row r="350" customFormat="false" ht="15" hidden="false" customHeight="false" outlineLevel="0" collapsed="false">
      <c r="A350" s="11"/>
      <c r="B350" s="11"/>
      <c r="C350" s="11"/>
      <c r="D350" s="11"/>
      <c r="E350" s="11"/>
    </row>
    <row r="351" customFormat="false" ht="15" hidden="false" customHeight="false" outlineLevel="0" collapsed="false">
      <c r="A351" s="11"/>
      <c r="B351" s="11"/>
      <c r="C351" s="11"/>
      <c r="D351" s="11"/>
      <c r="E351" s="11"/>
    </row>
    <row r="352" customFormat="false" ht="15" hidden="false" customHeight="false" outlineLevel="0" collapsed="false">
      <c r="A352" s="11"/>
      <c r="B352" s="11"/>
      <c r="C352" s="11"/>
      <c r="D352" s="11"/>
      <c r="E352" s="11"/>
    </row>
    <row r="353" customFormat="false" ht="15" hidden="false" customHeight="false" outlineLevel="0" collapsed="false">
      <c r="A353" s="11"/>
      <c r="B353" s="11"/>
      <c r="C353" s="11"/>
      <c r="D353" s="11"/>
      <c r="E353" s="11"/>
    </row>
    <row r="354" customFormat="false" ht="15" hidden="false" customHeight="false" outlineLevel="0" collapsed="false">
      <c r="A354" s="11"/>
      <c r="B354" s="11"/>
      <c r="C354" s="11"/>
      <c r="D354" s="11"/>
      <c r="E354" s="11"/>
    </row>
    <row r="355" customFormat="false" ht="15" hidden="false" customHeight="false" outlineLevel="0" collapsed="false">
      <c r="A355" s="11"/>
      <c r="B355" s="11"/>
      <c r="C355" s="11"/>
      <c r="D355" s="11"/>
      <c r="E355" s="11"/>
    </row>
    <row r="356" customFormat="false" ht="15" hidden="false" customHeight="false" outlineLevel="0" collapsed="false">
      <c r="A356" s="11"/>
      <c r="B356" s="11"/>
      <c r="C356" s="11"/>
      <c r="D356" s="11"/>
      <c r="E356" s="11"/>
    </row>
    <row r="357" customFormat="false" ht="15" hidden="false" customHeight="false" outlineLevel="0" collapsed="false">
      <c r="A357" s="11"/>
      <c r="B357" s="11"/>
      <c r="C357" s="11"/>
      <c r="D357" s="11"/>
      <c r="E357" s="11"/>
    </row>
    <row r="358" customFormat="false" ht="15" hidden="false" customHeight="false" outlineLevel="0" collapsed="false">
      <c r="A358" s="11"/>
      <c r="B358" s="11"/>
      <c r="C358" s="11"/>
      <c r="D358" s="11"/>
      <c r="E358" s="11"/>
    </row>
    <row r="359" customFormat="false" ht="15" hidden="false" customHeight="false" outlineLevel="0" collapsed="false">
      <c r="A359" s="11"/>
      <c r="B359" s="11"/>
      <c r="C359" s="11"/>
      <c r="D359" s="11"/>
      <c r="E359" s="11"/>
    </row>
    <row r="360" customFormat="false" ht="15" hidden="false" customHeight="false" outlineLevel="0" collapsed="false">
      <c r="A360" s="11"/>
      <c r="B360" s="11"/>
      <c r="C360" s="11"/>
      <c r="D360" s="11"/>
      <c r="E360" s="11"/>
    </row>
    <row r="361" customFormat="false" ht="15" hidden="false" customHeight="false" outlineLevel="0" collapsed="false">
      <c r="A361" s="11"/>
      <c r="B361" s="11"/>
      <c r="C361" s="11"/>
      <c r="D361" s="11"/>
      <c r="E361" s="11"/>
    </row>
    <row r="362" customFormat="false" ht="15" hidden="false" customHeight="false" outlineLevel="0" collapsed="false">
      <c r="A362" s="11"/>
      <c r="B362" s="11"/>
      <c r="C362" s="11"/>
      <c r="D362" s="11"/>
      <c r="E362" s="11"/>
    </row>
    <row r="363" customFormat="false" ht="15" hidden="false" customHeight="false" outlineLevel="0" collapsed="false">
      <c r="A363" s="11"/>
      <c r="B363" s="11"/>
      <c r="C363" s="11"/>
      <c r="D363" s="11"/>
      <c r="E363" s="11"/>
    </row>
    <row r="364" customFormat="false" ht="15" hidden="false" customHeight="false" outlineLevel="0" collapsed="false">
      <c r="A364" s="11"/>
      <c r="B364" s="11"/>
      <c r="C364" s="11"/>
      <c r="D364" s="11"/>
      <c r="E364" s="11"/>
    </row>
    <row r="365" customFormat="false" ht="15" hidden="false" customHeight="false" outlineLevel="0" collapsed="false">
      <c r="A365" s="11"/>
      <c r="B365" s="11"/>
      <c r="C365" s="11"/>
      <c r="D365" s="11"/>
      <c r="E365" s="11"/>
    </row>
    <row r="366" customFormat="false" ht="15" hidden="false" customHeight="false" outlineLevel="0" collapsed="false">
      <c r="A366" s="11"/>
      <c r="B366" s="11"/>
      <c r="C366" s="11"/>
      <c r="D366" s="11"/>
      <c r="E366" s="11"/>
    </row>
    <row r="367" customFormat="false" ht="15" hidden="false" customHeight="false" outlineLevel="0" collapsed="false">
      <c r="A367" s="11"/>
      <c r="B367" s="11"/>
      <c r="C367" s="11"/>
      <c r="D367" s="11"/>
      <c r="E367" s="11"/>
    </row>
    <row r="368" customFormat="false" ht="15" hidden="false" customHeight="false" outlineLevel="0" collapsed="false">
      <c r="A368" s="11"/>
      <c r="B368" s="11"/>
      <c r="C368" s="11"/>
      <c r="D368" s="11"/>
      <c r="E368" s="11"/>
    </row>
    <row r="369" customFormat="false" ht="15" hidden="false" customHeight="false" outlineLevel="0" collapsed="false">
      <c r="A369" s="11"/>
      <c r="B369" s="11"/>
      <c r="C369" s="11"/>
      <c r="D369" s="11"/>
      <c r="E369" s="11"/>
    </row>
    <row r="370" customFormat="false" ht="15" hidden="false" customHeight="false" outlineLevel="0" collapsed="false">
      <c r="A370" s="11"/>
      <c r="B370" s="11"/>
      <c r="C370" s="11"/>
      <c r="D370" s="11"/>
      <c r="E370" s="11"/>
    </row>
    <row r="371" customFormat="false" ht="15" hidden="false" customHeight="false" outlineLevel="0" collapsed="false">
      <c r="A371" s="11"/>
      <c r="B371" s="11"/>
      <c r="C371" s="11"/>
      <c r="D371" s="11"/>
      <c r="E371" s="11"/>
    </row>
    <row r="372" customFormat="false" ht="15" hidden="false" customHeight="false" outlineLevel="0" collapsed="false">
      <c r="A372" s="11"/>
      <c r="B372" s="11"/>
      <c r="C372" s="11"/>
      <c r="D372" s="11"/>
      <c r="E372" s="11"/>
    </row>
    <row r="373" customFormat="false" ht="15" hidden="false" customHeight="false" outlineLevel="0" collapsed="false">
      <c r="A373" s="11"/>
      <c r="B373" s="11"/>
      <c r="C373" s="11"/>
      <c r="D373" s="11"/>
      <c r="E373" s="11"/>
    </row>
    <row r="374" customFormat="false" ht="15" hidden="false" customHeight="false" outlineLevel="0" collapsed="false">
      <c r="A374" s="11"/>
      <c r="B374" s="11"/>
      <c r="C374" s="11"/>
      <c r="D374" s="11"/>
      <c r="E374" s="11"/>
    </row>
    <row r="375" customFormat="false" ht="15" hidden="false" customHeight="false" outlineLevel="0" collapsed="false">
      <c r="A375" s="11"/>
      <c r="B375" s="11"/>
      <c r="C375" s="11"/>
      <c r="D375" s="11"/>
      <c r="E375" s="11"/>
    </row>
    <row r="376" customFormat="false" ht="15" hidden="false" customHeight="false" outlineLevel="0" collapsed="false">
      <c r="A376" s="11"/>
      <c r="B376" s="11"/>
      <c r="C376" s="11"/>
      <c r="D376" s="11"/>
      <c r="E376" s="11"/>
    </row>
    <row r="377" customFormat="false" ht="15" hidden="false" customHeight="false" outlineLevel="0" collapsed="false">
      <c r="A377" s="11"/>
      <c r="B377" s="11"/>
      <c r="C377" s="11"/>
      <c r="D377" s="11"/>
      <c r="E377" s="11"/>
    </row>
    <row r="378" customFormat="false" ht="15" hidden="false" customHeight="false" outlineLevel="0" collapsed="false">
      <c r="A378" s="11"/>
      <c r="B378" s="11"/>
      <c r="C378" s="11"/>
      <c r="D378" s="11"/>
      <c r="E378" s="11"/>
    </row>
    <row r="379" customFormat="false" ht="15" hidden="false" customHeight="false" outlineLevel="0" collapsed="false">
      <c r="A379" s="11"/>
      <c r="B379" s="11"/>
      <c r="C379" s="11"/>
      <c r="D379" s="11"/>
      <c r="E379" s="11"/>
    </row>
    <row r="380" customFormat="false" ht="15" hidden="false" customHeight="false" outlineLevel="0" collapsed="false">
      <c r="A380" s="11"/>
      <c r="B380" s="11"/>
      <c r="C380" s="11"/>
      <c r="D380" s="11"/>
      <c r="E380" s="11"/>
    </row>
    <row r="381" customFormat="false" ht="15" hidden="false" customHeight="false" outlineLevel="0" collapsed="false">
      <c r="A381" s="11"/>
      <c r="B381" s="11"/>
      <c r="C381" s="11"/>
      <c r="D381" s="11"/>
      <c r="E381" s="11"/>
    </row>
    <row r="382" customFormat="false" ht="15" hidden="false" customHeight="false" outlineLevel="0" collapsed="false">
      <c r="A382" s="11"/>
      <c r="B382" s="11"/>
      <c r="C382" s="11"/>
      <c r="D382" s="11"/>
      <c r="E382" s="11"/>
    </row>
    <row r="383" customFormat="false" ht="15" hidden="false" customHeight="false" outlineLevel="0" collapsed="false">
      <c r="A383" s="11"/>
      <c r="B383" s="11"/>
      <c r="C383" s="11"/>
      <c r="D383" s="11"/>
      <c r="E383" s="11"/>
    </row>
    <row r="384" customFormat="false" ht="15" hidden="false" customHeight="false" outlineLevel="0" collapsed="false">
      <c r="A384" s="11"/>
      <c r="B384" s="11"/>
      <c r="C384" s="11"/>
      <c r="D384" s="11"/>
      <c r="E384" s="11"/>
    </row>
    <row r="385" customFormat="false" ht="15" hidden="false" customHeight="false" outlineLevel="0" collapsed="false">
      <c r="A385" s="11"/>
      <c r="B385" s="11"/>
      <c r="C385" s="11"/>
      <c r="D385" s="11"/>
      <c r="E385" s="11"/>
    </row>
    <row r="386" customFormat="false" ht="15" hidden="false" customHeight="false" outlineLevel="0" collapsed="false">
      <c r="A386" s="11"/>
      <c r="B386" s="11"/>
      <c r="C386" s="11"/>
      <c r="D386" s="11"/>
      <c r="E386" s="11"/>
    </row>
    <row r="387" customFormat="false" ht="15" hidden="false" customHeight="false" outlineLevel="0" collapsed="false">
      <c r="A387" s="11"/>
      <c r="B387" s="11"/>
      <c r="C387" s="11"/>
      <c r="D387" s="11"/>
      <c r="E387" s="11"/>
    </row>
    <row r="388" customFormat="false" ht="15" hidden="false" customHeight="false" outlineLevel="0" collapsed="false">
      <c r="A388" s="11"/>
      <c r="B388" s="11"/>
      <c r="C388" s="11"/>
      <c r="D388" s="11"/>
      <c r="E388" s="11"/>
    </row>
    <row r="389" customFormat="false" ht="15" hidden="false" customHeight="false" outlineLevel="0" collapsed="false">
      <c r="A389" s="11"/>
      <c r="B389" s="11"/>
      <c r="C389" s="11"/>
      <c r="D389" s="11"/>
      <c r="E389" s="11"/>
    </row>
    <row r="390" customFormat="false" ht="15" hidden="false" customHeight="false" outlineLevel="0" collapsed="false">
      <c r="A390" s="11"/>
      <c r="B390" s="11"/>
      <c r="C390" s="11"/>
      <c r="D390" s="11"/>
      <c r="E390" s="11"/>
    </row>
    <row r="391" customFormat="false" ht="15" hidden="false" customHeight="false" outlineLevel="0" collapsed="false">
      <c r="A391" s="11"/>
      <c r="B391" s="11"/>
      <c r="C391" s="11"/>
      <c r="D391" s="11"/>
      <c r="E391" s="11"/>
    </row>
    <row r="392" customFormat="false" ht="15" hidden="false" customHeight="false" outlineLevel="0" collapsed="false">
      <c r="A392" s="11"/>
      <c r="B392" s="11"/>
      <c r="C392" s="11"/>
      <c r="D392" s="11"/>
      <c r="E392" s="11"/>
    </row>
    <row r="393" customFormat="false" ht="15" hidden="false" customHeight="false" outlineLevel="0" collapsed="false">
      <c r="A393" s="11"/>
      <c r="B393" s="11"/>
      <c r="C393" s="11"/>
      <c r="D393" s="11"/>
      <c r="E393" s="11"/>
    </row>
    <row r="394" customFormat="false" ht="15" hidden="false" customHeight="false" outlineLevel="0" collapsed="false">
      <c r="A394" s="11"/>
      <c r="B394" s="11"/>
      <c r="C394" s="11"/>
      <c r="D394" s="11"/>
      <c r="E394" s="11"/>
    </row>
    <row r="395" customFormat="false" ht="15" hidden="false" customHeight="false" outlineLevel="0" collapsed="false">
      <c r="A395" s="11"/>
      <c r="B395" s="11"/>
      <c r="C395" s="11"/>
      <c r="D395" s="11"/>
      <c r="E395" s="11"/>
    </row>
    <row r="396" customFormat="false" ht="15" hidden="false" customHeight="false" outlineLevel="0" collapsed="false">
      <c r="A396" s="11"/>
      <c r="B396" s="11"/>
      <c r="C396" s="11"/>
      <c r="D396" s="11"/>
      <c r="E396" s="11"/>
    </row>
    <row r="397" customFormat="false" ht="15" hidden="false" customHeight="false" outlineLevel="0" collapsed="false">
      <c r="A397" s="11"/>
      <c r="B397" s="11"/>
      <c r="C397" s="11"/>
      <c r="D397" s="11"/>
      <c r="E397" s="11"/>
    </row>
    <row r="398" customFormat="false" ht="15" hidden="false" customHeight="false" outlineLevel="0" collapsed="false">
      <c r="A398" s="11"/>
      <c r="B398" s="11"/>
      <c r="C398" s="11"/>
      <c r="D398" s="11"/>
      <c r="E398" s="11"/>
    </row>
    <row r="399" customFormat="false" ht="15" hidden="false" customHeight="false" outlineLevel="0" collapsed="false">
      <c r="A399" s="11"/>
      <c r="B399" s="11"/>
      <c r="C399" s="11"/>
      <c r="D399" s="11"/>
      <c r="E399" s="11"/>
    </row>
    <row r="400" customFormat="false" ht="15" hidden="false" customHeight="false" outlineLevel="0" collapsed="false">
      <c r="A400" s="11"/>
      <c r="B400" s="11"/>
      <c r="C400" s="11"/>
      <c r="D400" s="11"/>
      <c r="E400" s="11"/>
    </row>
    <row r="401" customFormat="false" ht="15" hidden="false" customHeight="false" outlineLevel="0" collapsed="false">
      <c r="A401" s="11"/>
      <c r="B401" s="11"/>
      <c r="C401" s="11"/>
      <c r="D401" s="11"/>
      <c r="E401" s="11"/>
    </row>
    <row r="402" customFormat="false" ht="15" hidden="false" customHeight="false" outlineLevel="0" collapsed="false">
      <c r="A402" s="11"/>
      <c r="B402" s="11"/>
      <c r="C402" s="11"/>
      <c r="D402" s="11"/>
      <c r="E402" s="11"/>
    </row>
    <row r="403" customFormat="false" ht="15" hidden="false" customHeight="false" outlineLevel="0" collapsed="false">
      <c r="A403" s="11"/>
      <c r="B403" s="11"/>
      <c r="C403" s="11"/>
      <c r="D403" s="11"/>
      <c r="E403" s="11"/>
    </row>
    <row r="404" customFormat="false" ht="15" hidden="false" customHeight="false" outlineLevel="0" collapsed="false">
      <c r="A404" s="11"/>
      <c r="B404" s="11"/>
      <c r="C404" s="11"/>
      <c r="D404" s="11"/>
      <c r="E404" s="11"/>
    </row>
    <row r="405" customFormat="false" ht="15" hidden="false" customHeight="false" outlineLevel="0" collapsed="false">
      <c r="A405" s="11"/>
      <c r="B405" s="11"/>
      <c r="C405" s="11"/>
      <c r="D405" s="11"/>
      <c r="E405" s="11"/>
    </row>
    <row r="406" customFormat="false" ht="15" hidden="false" customHeight="false" outlineLevel="0" collapsed="false">
      <c r="A406" s="11"/>
      <c r="B406" s="11"/>
      <c r="C406" s="11"/>
      <c r="D406" s="11"/>
      <c r="E406" s="11"/>
    </row>
    <row r="407" customFormat="false" ht="15" hidden="false" customHeight="false" outlineLevel="0" collapsed="false">
      <c r="A407" s="11"/>
      <c r="B407" s="11"/>
      <c r="C407" s="11"/>
      <c r="D407" s="11"/>
      <c r="E407" s="11"/>
    </row>
    <row r="408" customFormat="false" ht="15" hidden="false" customHeight="false" outlineLevel="0" collapsed="false">
      <c r="A408" s="11"/>
      <c r="B408" s="11"/>
      <c r="C408" s="11"/>
      <c r="D408" s="11"/>
      <c r="E408" s="11"/>
    </row>
    <row r="409" customFormat="false" ht="15" hidden="false" customHeight="false" outlineLevel="0" collapsed="false">
      <c r="A409" s="11"/>
      <c r="B409" s="11"/>
      <c r="C409" s="11"/>
      <c r="D409" s="11"/>
      <c r="E409" s="11"/>
    </row>
    <row r="410" customFormat="false" ht="15" hidden="false" customHeight="false" outlineLevel="0" collapsed="false">
      <c r="A410" s="11"/>
      <c r="B410" s="11"/>
      <c r="C410" s="11"/>
      <c r="D410" s="11"/>
      <c r="E410" s="11"/>
    </row>
    <row r="411" customFormat="false" ht="15" hidden="false" customHeight="false" outlineLevel="0" collapsed="false">
      <c r="A411" s="11"/>
      <c r="B411" s="11"/>
      <c r="C411" s="11"/>
      <c r="D411" s="11"/>
      <c r="E411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B411 D12:E41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38</v>
      </c>
    </row>
    <row r="2" customFormat="false" ht="15" hidden="false" customHeight="false" outlineLevel="0" collapsed="false">
      <c r="B2" s="8" t="s">
        <v>39</v>
      </c>
    </row>
    <row r="4" customFormat="false" ht="15" hidden="false" customHeight="false" outlineLevel="0" collapsed="false">
      <c r="B4" s="9" t="s">
        <v>40</v>
      </c>
    </row>
    <row r="5" customFormat="false" ht="15" hidden="false" customHeight="false" outlineLevel="0" collapsed="false">
      <c r="B5" s="13" t="s">
        <v>41</v>
      </c>
      <c r="C5" s="11" t="n">
        <v>1</v>
      </c>
      <c r="D5" s="8"/>
    </row>
    <row r="6" customFormat="false" ht="15" hidden="false" customHeight="false" outlineLevel="0" collapsed="false">
      <c r="B6" s="13" t="s">
        <v>42</v>
      </c>
      <c r="C6" s="11" t="n">
        <v>30</v>
      </c>
      <c r="D6" s="8"/>
    </row>
    <row r="7" customFormat="false" ht="15" hidden="false" customHeight="false" outlineLevel="0" collapsed="false">
      <c r="B7" s="13" t="s">
        <v>43</v>
      </c>
      <c r="C7" s="11" t="n">
        <v>30</v>
      </c>
      <c r="D7" s="8"/>
    </row>
    <row r="9" customFormat="false" ht="15" hidden="false" customHeight="false" outlineLevel="0" collapsed="false">
      <c r="B9" s="9" t="s">
        <v>44</v>
      </c>
    </row>
    <row r="10" customFormat="false" ht="30" hidden="false" customHeight="true" outlineLevel="0" collapsed="false">
      <c r="B10" s="10" t="s">
        <v>33</v>
      </c>
      <c r="C10" s="10" t="s">
        <v>45</v>
      </c>
      <c r="D10" s="10" t="s">
        <v>46</v>
      </c>
      <c r="E10" s="10" t="s">
        <v>47</v>
      </c>
      <c r="F10" s="10" t="s">
        <v>48</v>
      </c>
      <c r="G10" s="10" t="s">
        <v>49</v>
      </c>
      <c r="H10" s="10" t="s">
        <v>50</v>
      </c>
      <c r="I10" s="10" t="s">
        <v>51</v>
      </c>
    </row>
    <row r="11" customFormat="false" ht="15" hidden="false" customHeight="false" outlineLevel="0" collapsed="false">
      <c r="B11" s="14" t="str">
        <f aca="false">IFERROR(IF('Enter data'!$C$6="","",'Enter data'!$C$6),"")</f>
        <v/>
      </c>
      <c r="C11" s="15" t="n">
        <f aca="false">IFERROR(SUMIFS('Enter data'!$D$12:$D$411,'Enter data'!$A$12:$A$411,'Enter data'!$A$6,'Enter data'!$C$12:$C$411,'Enter data'!$C$6)/(Results!$C$6*Results!$C$5),"")</f>
        <v>0</v>
      </c>
      <c r="D11" s="16" t="n">
        <f aca="false">IFERROR(100*COUNTIFS('Enter data'!$A$12:$A$411,'Enter data'!$A$6,'Enter data'!$C$12:$C$411,'Enter data'!$C$6,'Enter data'!$D$12:$D$411,"&gt;0")/Results!$C$6,"")</f>
        <v>0</v>
      </c>
      <c r="E11" s="16" t="n">
        <f aca="false">IFERROR(SUMIFS('Enter data'!$E$12:$E$411,'Enter data'!$A$12:$A$411,'Enter data'!$A$6,'Enter data'!$C$12:$C$411,'Enter data'!$C$6)/Results!$C$6,"")</f>
        <v>0</v>
      </c>
      <c r="F11" s="16" t="str">
        <f aca="false">IFERROR(IF(ISNUMBER(C11),100*C11/SUM(C$11:C$18),""),"")</f>
        <v/>
      </c>
      <c r="G11" s="16" t="str">
        <f aca="false">IFERROR(IF(ISNUMBER(D11),100*D11/SUM(D$11:D$18),""),"")</f>
        <v/>
      </c>
      <c r="H11" s="16" t="str">
        <f aca="false">IFERROR(IF(ISNUMBER(E11),100*E11/SUM(E$11:E$18),""),"")</f>
        <v/>
      </c>
      <c r="I11" s="16" t="str">
        <f aca="false">IFERROR(IF(ISNUMBER(F11),F11+G11+H11,""),"")</f>
        <v/>
      </c>
    </row>
    <row r="12" customFormat="false" ht="15" hidden="false" customHeight="false" outlineLevel="0" collapsed="false">
      <c r="B12" s="14" t="str">
        <f aca="false">IFERROR(IF('Enter data'!$D$6="","",'Enter data'!$D$6),"")</f>
        <v/>
      </c>
      <c r="C12" s="15" t="n">
        <f aca="false">IFERROR(SUMIFS('Enter data'!$D$12:$D$411,'Enter data'!$A$12:$A$411,'Enter data'!$A$6,'Enter data'!$C$12:$C$411,'Enter data'!$D$6)/(Results!$C$6*Results!$C$5),"")</f>
        <v>0</v>
      </c>
      <c r="D12" s="16" t="n">
        <f aca="false">IFERROR(100*COUNTIFS('Enter data'!$A$12:$A$411,'Enter data'!$A$6,'Enter data'!$C$12:$C$411,'Enter data'!$D$6,'Enter data'!$D$12:$D$411,"&gt;0")/Results!$C$6,"")</f>
        <v>0</v>
      </c>
      <c r="E12" s="16" t="n">
        <f aca="false">IFERROR(SUMIFS('Enter data'!$E$12:$E$411,'Enter data'!$A$12:$A$411,'Enter data'!$A$6,'Enter data'!$C$12:$C$411,'Enter data'!$D$6)/Results!$C$6,"")</f>
        <v>0</v>
      </c>
      <c r="F12" s="16" t="str">
        <f aca="false">IFERROR(IF(ISNUMBER(C12),100*C12/SUM(C$11:C$18),""),"")</f>
        <v/>
      </c>
      <c r="G12" s="16" t="str">
        <f aca="false">IFERROR(IF(ISNUMBER(D12),100*D12/SUM(D$11:D$18),""),"")</f>
        <v/>
      </c>
      <c r="H12" s="16" t="str">
        <f aca="false">IFERROR(IF(ISNUMBER(E12),100*E12/SUM(E$11:E$18),""),"")</f>
        <v/>
      </c>
      <c r="I12" s="16" t="str">
        <f aca="false">IFERROR(IF(ISNUMBER(F12),F12+G12+H12,""),"")</f>
        <v/>
      </c>
    </row>
    <row r="13" customFormat="false" ht="15" hidden="false" customHeight="false" outlineLevel="0" collapsed="false">
      <c r="B13" s="14" t="str">
        <f aca="false">IFERROR(IF('Enter data'!$E$6="","",'Enter data'!$E$6),"")</f>
        <v/>
      </c>
      <c r="C13" s="15" t="n">
        <f aca="false">IFERROR(SUMIFS('Enter data'!$D$12:$D$411,'Enter data'!$A$12:$A$411,'Enter data'!$A$6,'Enter data'!$C$12:$C$411,'Enter data'!$E$6)/(Results!$C$6*Results!$C$5),"")</f>
        <v>0</v>
      </c>
      <c r="D13" s="16" t="n">
        <f aca="false">IFERROR(100*COUNTIFS('Enter data'!$A$12:$A$411,'Enter data'!$A$6,'Enter data'!$C$12:$C$411,'Enter data'!$E$6,'Enter data'!$D$12:$D$411,"&gt;0")/Results!$C$6,"")</f>
        <v>0</v>
      </c>
      <c r="E13" s="16" t="n">
        <f aca="false">IFERROR(SUMIFS('Enter data'!$E$12:$E$411,'Enter data'!$A$12:$A$411,'Enter data'!$A$6,'Enter data'!$C$12:$C$411,'Enter data'!$E$6)/Results!$C$6,"")</f>
        <v>0</v>
      </c>
      <c r="F13" s="16" t="str">
        <f aca="false">IFERROR(IF(ISNUMBER(C13),100*C13/SUM(C$11:C$18),""),"")</f>
        <v/>
      </c>
      <c r="G13" s="16" t="str">
        <f aca="false">IFERROR(IF(ISNUMBER(D13),100*D13/SUM(D$11:D$18),""),"")</f>
        <v/>
      </c>
      <c r="H13" s="16" t="str">
        <f aca="false">IFERROR(IF(ISNUMBER(E13),100*E13/SUM(E$11:E$18),""),"")</f>
        <v/>
      </c>
      <c r="I13" s="16" t="str">
        <f aca="false">IFERROR(IF(ISNUMBER(F13),F13+G13+H13,""),"")</f>
        <v/>
      </c>
    </row>
    <row r="14" customFormat="false" ht="15" hidden="false" customHeight="false" outlineLevel="0" collapsed="false">
      <c r="B14" s="14" t="str">
        <f aca="false">IFERROR(IF('Enter data'!$F$6="","",'Enter data'!$F$6),"")</f>
        <v/>
      </c>
      <c r="C14" s="15" t="n">
        <f aca="false">IFERROR(SUMIFS('Enter data'!$D$12:$D$411,'Enter data'!$A$12:$A$411,'Enter data'!$A$6,'Enter data'!$C$12:$C$411,'Enter data'!$F$6)/(Results!$C$6*Results!$C$5),"")</f>
        <v>0</v>
      </c>
      <c r="D14" s="16" t="n">
        <f aca="false">IFERROR(100*COUNTIFS('Enter data'!$A$12:$A$411,'Enter data'!$A$6,'Enter data'!$C$12:$C$411,'Enter data'!$F$6,'Enter data'!$D$12:$D$411,"&gt;0")/Results!$C$6,"")</f>
        <v>0</v>
      </c>
      <c r="E14" s="16" t="n">
        <f aca="false">IFERROR(SUMIFS('Enter data'!$E$12:$E$411,'Enter data'!$A$12:$A$411,'Enter data'!$A$6,'Enter data'!$C$12:$C$411,'Enter data'!$F$6)/Results!$C$6,"")</f>
        <v>0</v>
      </c>
      <c r="F14" s="16" t="str">
        <f aca="false">IFERROR(IF(ISNUMBER(C14),100*C14/SUM(C$11:C$18),""),"")</f>
        <v/>
      </c>
      <c r="G14" s="16" t="str">
        <f aca="false">IFERROR(IF(ISNUMBER(D14),100*D14/SUM(D$11:D$18),""),"")</f>
        <v/>
      </c>
      <c r="H14" s="16" t="str">
        <f aca="false">IFERROR(IF(ISNUMBER(E14),100*E14/SUM(E$11:E$18),""),"")</f>
        <v/>
      </c>
      <c r="I14" s="16" t="str">
        <f aca="false">IFERROR(IF(ISNUMBER(F14),F14+G14+H14,""),"")</f>
        <v/>
      </c>
    </row>
    <row r="15" customFormat="false" ht="15" hidden="false" customHeight="false" outlineLevel="0" collapsed="false">
      <c r="B15" s="14" t="str">
        <f aca="false">IFERROR(IF('Enter data'!$G$6="","",'Enter data'!$G$6),"")</f>
        <v/>
      </c>
      <c r="C15" s="15" t="n">
        <f aca="false">IFERROR(SUMIFS('Enter data'!$D$12:$D$411,'Enter data'!$A$12:$A$411,'Enter data'!$A$6,'Enter data'!$C$12:$C$411,'Enter data'!$G$6)/(Results!$C$6*Results!$C$5),"")</f>
        <v>0</v>
      </c>
      <c r="D15" s="16" t="n">
        <f aca="false">IFERROR(100*COUNTIFS('Enter data'!$A$12:$A$411,'Enter data'!$A$6,'Enter data'!$C$12:$C$411,'Enter data'!$G$6,'Enter data'!$D$12:$D$411,"&gt;0")/Results!$C$6,"")</f>
        <v>0</v>
      </c>
      <c r="E15" s="16" t="n">
        <f aca="false">IFERROR(SUMIFS('Enter data'!$E$12:$E$411,'Enter data'!$A$12:$A$411,'Enter data'!$A$6,'Enter data'!$C$12:$C$411,'Enter data'!$G$6)/Results!$C$6,"")</f>
        <v>0</v>
      </c>
      <c r="F15" s="16" t="str">
        <f aca="false">IFERROR(IF(ISNUMBER(C15),100*C15/SUM(C$11:C$18),""),"")</f>
        <v/>
      </c>
      <c r="G15" s="16" t="str">
        <f aca="false">IFERROR(IF(ISNUMBER(D15),100*D15/SUM(D$11:D$18),""),"")</f>
        <v/>
      </c>
      <c r="H15" s="16" t="str">
        <f aca="false">IFERROR(IF(ISNUMBER(E15),100*E15/SUM(E$11:E$18),""),"")</f>
        <v/>
      </c>
      <c r="I15" s="16" t="str">
        <f aca="false">IFERROR(IF(ISNUMBER(F15),F15+G15+H15,""),"")</f>
        <v/>
      </c>
    </row>
    <row r="16" customFormat="false" ht="15" hidden="false" customHeight="false" outlineLevel="0" collapsed="false">
      <c r="B16" s="14" t="str">
        <f aca="false">IFERROR(IF('Enter data'!$H$6="","",'Enter data'!$H$6),"")</f>
        <v/>
      </c>
      <c r="C16" s="15" t="n">
        <f aca="false">IFERROR(SUMIFS('Enter data'!$D$12:$D$411,'Enter data'!$A$12:$A$411,'Enter data'!$A$6,'Enter data'!$C$12:$C$411,'Enter data'!$H$6)/(Results!$C$6*Results!$C$5),"")</f>
        <v>0</v>
      </c>
      <c r="D16" s="16" t="n">
        <f aca="false">IFERROR(100*COUNTIFS('Enter data'!$A$12:$A$411,'Enter data'!$A$6,'Enter data'!$C$12:$C$411,'Enter data'!$H$6,'Enter data'!$D$12:$D$411,"&gt;0")/Results!$C$6,"")</f>
        <v>0</v>
      </c>
      <c r="E16" s="16" t="n">
        <f aca="false">IFERROR(SUMIFS('Enter data'!$E$12:$E$411,'Enter data'!$A$12:$A$411,'Enter data'!$A$6,'Enter data'!$C$12:$C$411,'Enter data'!$H$6)/Results!$C$6,"")</f>
        <v>0</v>
      </c>
      <c r="F16" s="16" t="str">
        <f aca="false">IFERROR(IF(ISNUMBER(C16),100*C16/SUM(C$11:C$18),""),"")</f>
        <v/>
      </c>
      <c r="G16" s="16" t="str">
        <f aca="false">IFERROR(IF(ISNUMBER(D16),100*D16/SUM(D$11:D$18),""),"")</f>
        <v/>
      </c>
      <c r="H16" s="16" t="str">
        <f aca="false">IFERROR(IF(ISNUMBER(E16),100*E16/SUM(E$11:E$18),""),"")</f>
        <v/>
      </c>
      <c r="I16" s="16" t="str">
        <f aca="false">IFERROR(IF(ISNUMBER(F16),F16+G16+H16,""),"")</f>
        <v/>
      </c>
    </row>
    <row r="17" customFormat="false" ht="15" hidden="false" customHeight="false" outlineLevel="0" collapsed="false">
      <c r="B17" s="14" t="str">
        <f aca="false">IFERROR(IF('Enter data'!$I$6="","",'Enter data'!$I$6),"")</f>
        <v/>
      </c>
      <c r="C17" s="15" t="n">
        <f aca="false">IFERROR(SUMIFS('Enter data'!$D$12:$D$411,'Enter data'!$A$12:$A$411,'Enter data'!$A$6,'Enter data'!$C$12:$C$411,'Enter data'!$I$6)/(Results!$C$6*Results!$C$5),"")</f>
        <v>0</v>
      </c>
      <c r="D17" s="16" t="n">
        <f aca="false">IFERROR(100*COUNTIFS('Enter data'!$A$12:$A$411,'Enter data'!$A$6,'Enter data'!$C$12:$C$411,'Enter data'!$I$6,'Enter data'!$D$12:$D$411,"&gt;0")/Results!$C$6,"")</f>
        <v>0</v>
      </c>
      <c r="E17" s="16" t="n">
        <f aca="false">IFERROR(SUMIFS('Enter data'!$E$12:$E$411,'Enter data'!$A$12:$A$411,'Enter data'!$A$6,'Enter data'!$C$12:$C$411,'Enter data'!$I$6)/Results!$C$6,"")</f>
        <v>0</v>
      </c>
      <c r="F17" s="16" t="str">
        <f aca="false">IFERROR(IF(ISNUMBER(C17),100*C17/SUM(C$11:C$18),""),"")</f>
        <v/>
      </c>
      <c r="G17" s="16" t="str">
        <f aca="false">IFERROR(IF(ISNUMBER(D17),100*D17/SUM(D$11:D$18),""),"")</f>
        <v/>
      </c>
      <c r="H17" s="16" t="str">
        <f aca="false">IFERROR(IF(ISNUMBER(E17),100*E17/SUM(E$11:E$18),""),"")</f>
        <v/>
      </c>
      <c r="I17" s="16" t="str">
        <f aca="false">IFERROR(IF(ISNUMBER(F17),F17+G17+H17,""),"")</f>
        <v/>
      </c>
    </row>
    <row r="18" customFormat="false" ht="15" hidden="false" customHeight="false" outlineLevel="0" collapsed="false">
      <c r="B18" s="14" t="str">
        <f aca="false">IFERROR(IF('Enter data'!$J$6="","",'Enter data'!$J$6),"")</f>
        <v/>
      </c>
      <c r="C18" s="15" t="n">
        <f aca="false">IFERROR(SUMIFS('Enter data'!$D$12:$D$411,'Enter data'!$A$12:$A$411,'Enter data'!$A$6,'Enter data'!$C$12:$C$411,'Enter data'!$J$6)/(Results!$C$6*Results!$C$5),"")</f>
        <v>0</v>
      </c>
      <c r="D18" s="16" t="n">
        <f aca="false">IFERROR(100*COUNTIFS('Enter data'!$A$12:$A$411,'Enter data'!$A$6,'Enter data'!$C$12:$C$411,'Enter data'!$J$6,'Enter data'!$D$12:$D$411,"&gt;0")/Results!$C$6,"")</f>
        <v>0</v>
      </c>
      <c r="E18" s="16" t="n">
        <f aca="false">IFERROR(SUMIFS('Enter data'!$E$12:$E$411,'Enter data'!$A$12:$A$411,'Enter data'!$A$6,'Enter data'!$C$12:$C$411,'Enter data'!$J$6)/Results!$C$6,"")</f>
        <v>0</v>
      </c>
      <c r="F18" s="16" t="str">
        <f aca="false">IFERROR(IF(ISNUMBER(C18),100*C18/SUM(C$11:C$18),""),"")</f>
        <v/>
      </c>
      <c r="G18" s="16" t="str">
        <f aca="false">IFERROR(IF(ISNUMBER(D18),100*D18/SUM(D$11:D$18),""),"")</f>
        <v/>
      </c>
      <c r="H18" s="16" t="str">
        <f aca="false">IFERROR(IF(ISNUMBER(E18),100*E18/SUM(E$11:E$18),""),"")</f>
        <v/>
      </c>
      <c r="I18" s="16" t="str">
        <f aca="false">IFERROR(IF(ISNUMBER(F18),F18+G18+H18,""),"")</f>
        <v/>
      </c>
    </row>
    <row r="21" customFormat="false" ht="15" hidden="false" customHeight="false" outlineLevel="0" collapsed="false">
      <c r="B21" s="9" t="s">
        <v>52</v>
      </c>
    </row>
    <row r="22" customFormat="false" ht="30" hidden="false" customHeight="true" outlineLevel="0" collapsed="false">
      <c r="B22" s="10" t="s">
        <v>33</v>
      </c>
      <c r="C22" s="10" t="s">
        <v>45</v>
      </c>
      <c r="D22" s="10" t="s">
        <v>46</v>
      </c>
      <c r="E22" s="10" t="s">
        <v>47</v>
      </c>
      <c r="F22" s="10" t="s">
        <v>48</v>
      </c>
      <c r="G22" s="10" t="s">
        <v>49</v>
      </c>
      <c r="H22" s="10" t="s">
        <v>50</v>
      </c>
      <c r="I22" s="10" t="s">
        <v>51</v>
      </c>
    </row>
    <row r="23" customFormat="false" ht="15" hidden="false" customHeight="false" outlineLevel="0" collapsed="false">
      <c r="B23" s="14" t="str">
        <f aca="false">IFERROR(IF('Enter data'!$C$6="","",'Enter data'!$C$6),"")</f>
        <v/>
      </c>
      <c r="C23" s="15" t="n">
        <f aca="false">IFERROR(SUMIFS('Enter data'!$D$12:$D$411,'Enter data'!$A$12:$A$411,'Enter data'!$B$6,'Enter data'!$C$12:$C$411,'Enter data'!$C$6)/(Results!$C$7*Results!$C$5),"")</f>
        <v>0</v>
      </c>
      <c r="D23" s="16" t="n">
        <f aca="false">IFERROR(100*COUNTIFS('Enter data'!$A$12:$A$411,'Enter data'!$B$6,'Enter data'!$C$12:$C$411,'Enter data'!$C$6,'Enter data'!$D$12:$D$411,"&gt;0")/Results!$C$7,"")</f>
        <v>0</v>
      </c>
      <c r="E23" s="16" t="n">
        <f aca="false">IFERROR(SUMIFS('Enter data'!$E$12:$E$411,'Enter data'!$A$12:$A$411,'Enter data'!$B$6,'Enter data'!$C$12:$C$411,'Enter data'!$C$6)/Results!$C$7,"")</f>
        <v>0</v>
      </c>
      <c r="F23" s="16" t="str">
        <f aca="false">IFERROR(IF(ISNUMBER(C23),100*C23/SUM(C$23:C$30),""),"")</f>
        <v/>
      </c>
      <c r="G23" s="16" t="str">
        <f aca="false">IFERROR(IF(ISNUMBER(D23),100*D23/SUM(D$23:D$30),""),"")</f>
        <v/>
      </c>
      <c r="H23" s="16" t="str">
        <f aca="false">IFERROR(IF(ISNUMBER(E23),100*E23/SUM(E$23:E$30),""),"")</f>
        <v/>
      </c>
      <c r="I23" s="16" t="str">
        <f aca="false">IFERROR(IF(ISNUMBER(F23),F23+G23+H23,""),"")</f>
        <v/>
      </c>
    </row>
    <row r="24" customFormat="false" ht="15" hidden="false" customHeight="false" outlineLevel="0" collapsed="false">
      <c r="B24" s="14" t="str">
        <f aca="false">IFERROR(IF('Enter data'!$D$6="","",'Enter data'!$D$6),"")</f>
        <v/>
      </c>
      <c r="C24" s="15" t="n">
        <f aca="false">IFERROR(SUMIFS('Enter data'!$D$12:$D$411,'Enter data'!$A$12:$A$411,'Enter data'!$B$6,'Enter data'!$C$12:$C$411,'Enter data'!$D$6)/(Results!$C$7*Results!$C$5),"")</f>
        <v>0</v>
      </c>
      <c r="D24" s="16" t="n">
        <f aca="false">IFERROR(100*COUNTIFS('Enter data'!$A$12:$A$411,'Enter data'!$B$6,'Enter data'!$C$12:$C$411,'Enter data'!$D$6,'Enter data'!$D$12:$D$411,"&gt;0")/Results!$C$7,"")</f>
        <v>0</v>
      </c>
      <c r="E24" s="16" t="n">
        <f aca="false">IFERROR(SUMIFS('Enter data'!$E$12:$E$411,'Enter data'!$A$12:$A$411,'Enter data'!$B$6,'Enter data'!$C$12:$C$411,'Enter data'!$D$6)/Results!$C$7,"")</f>
        <v>0</v>
      </c>
      <c r="F24" s="16" t="str">
        <f aca="false">IFERROR(IF(ISNUMBER(C24),100*C24/SUM(C$23:C$30),""),"")</f>
        <v/>
      </c>
      <c r="G24" s="16" t="str">
        <f aca="false">IFERROR(IF(ISNUMBER(D24),100*D24/SUM(D$23:D$30),""),"")</f>
        <v/>
      </c>
      <c r="H24" s="16" t="str">
        <f aca="false">IFERROR(IF(ISNUMBER(E24),100*E24/SUM(E$23:E$30),""),"")</f>
        <v/>
      </c>
      <c r="I24" s="16" t="str">
        <f aca="false">IFERROR(IF(ISNUMBER(F24),F24+G24+H24,""),"")</f>
        <v/>
      </c>
    </row>
    <row r="25" customFormat="false" ht="15" hidden="false" customHeight="false" outlineLevel="0" collapsed="false">
      <c r="B25" s="14" t="str">
        <f aca="false">IFERROR(IF('Enter data'!$E$6="","",'Enter data'!$E$6),"")</f>
        <v/>
      </c>
      <c r="C25" s="15" t="n">
        <f aca="false">IFERROR(SUMIFS('Enter data'!$D$12:$D$411,'Enter data'!$A$12:$A$411,'Enter data'!$B$6,'Enter data'!$C$12:$C$411,'Enter data'!$E$6)/(Results!$C$7*Results!$C$5),"")</f>
        <v>0</v>
      </c>
      <c r="D25" s="16" t="n">
        <f aca="false">IFERROR(100*COUNTIFS('Enter data'!$A$12:$A$411,'Enter data'!$B$6,'Enter data'!$C$12:$C$411,'Enter data'!$E$6,'Enter data'!$D$12:$D$411,"&gt;0")/Results!$C$7,"")</f>
        <v>0</v>
      </c>
      <c r="E25" s="16" t="n">
        <f aca="false">IFERROR(SUMIFS('Enter data'!$E$12:$E$411,'Enter data'!$A$12:$A$411,'Enter data'!$B$6,'Enter data'!$C$12:$C$411,'Enter data'!$E$6)/Results!$C$7,"")</f>
        <v>0</v>
      </c>
      <c r="F25" s="16" t="str">
        <f aca="false">IFERROR(IF(ISNUMBER(C25),100*C25/SUM(C$23:C$30),""),"")</f>
        <v/>
      </c>
      <c r="G25" s="16" t="str">
        <f aca="false">IFERROR(IF(ISNUMBER(D25),100*D25/SUM(D$23:D$30),""),"")</f>
        <v/>
      </c>
      <c r="H25" s="16" t="str">
        <f aca="false">IFERROR(IF(ISNUMBER(E25),100*E25/SUM(E$23:E$30),""),"")</f>
        <v/>
      </c>
      <c r="I25" s="16" t="str">
        <f aca="false">IFERROR(IF(ISNUMBER(F25),F25+G25+H25,""),"")</f>
        <v/>
      </c>
    </row>
    <row r="26" customFormat="false" ht="15" hidden="false" customHeight="false" outlineLevel="0" collapsed="false">
      <c r="B26" s="14" t="str">
        <f aca="false">IFERROR(IF('Enter data'!$F$6="","",'Enter data'!$F$6),"")</f>
        <v/>
      </c>
      <c r="C26" s="15" t="n">
        <f aca="false">IFERROR(SUMIFS('Enter data'!$D$12:$D$411,'Enter data'!$A$12:$A$411,'Enter data'!$B$6,'Enter data'!$C$12:$C$411,'Enter data'!$F$6)/(Results!$C$7*Results!$C$5),"")</f>
        <v>0</v>
      </c>
      <c r="D26" s="16" t="n">
        <f aca="false">IFERROR(100*COUNTIFS('Enter data'!$A$12:$A$411,'Enter data'!$B$6,'Enter data'!$C$12:$C$411,'Enter data'!$F$6,'Enter data'!$D$12:$D$411,"&gt;0")/Results!$C$7,"")</f>
        <v>0</v>
      </c>
      <c r="E26" s="16" t="n">
        <f aca="false">IFERROR(SUMIFS('Enter data'!$E$12:$E$411,'Enter data'!$A$12:$A$411,'Enter data'!$B$6,'Enter data'!$C$12:$C$411,'Enter data'!$F$6)/Results!$C$7,"")</f>
        <v>0</v>
      </c>
      <c r="F26" s="16" t="str">
        <f aca="false">IFERROR(IF(ISNUMBER(C26),100*C26/SUM(C$23:C$30),""),"")</f>
        <v/>
      </c>
      <c r="G26" s="16" t="str">
        <f aca="false">IFERROR(IF(ISNUMBER(D26),100*D26/SUM(D$23:D$30),""),"")</f>
        <v/>
      </c>
      <c r="H26" s="16" t="str">
        <f aca="false">IFERROR(IF(ISNUMBER(E26),100*E26/SUM(E$23:E$30),""),"")</f>
        <v/>
      </c>
      <c r="I26" s="16" t="str">
        <f aca="false">IFERROR(IF(ISNUMBER(F26),F26+G26+H26,""),"")</f>
        <v/>
      </c>
    </row>
    <row r="27" customFormat="false" ht="15" hidden="false" customHeight="false" outlineLevel="0" collapsed="false">
      <c r="B27" s="14" t="str">
        <f aca="false">IFERROR(IF('Enter data'!$G$6="","",'Enter data'!$G$6),"")</f>
        <v/>
      </c>
      <c r="C27" s="15" t="n">
        <f aca="false">IFERROR(SUMIFS('Enter data'!$D$12:$D$411,'Enter data'!$A$12:$A$411,'Enter data'!$B$6,'Enter data'!$C$12:$C$411,'Enter data'!$G$6)/(Results!$C$7*Results!$C$5),"")</f>
        <v>0</v>
      </c>
      <c r="D27" s="16" t="n">
        <f aca="false">IFERROR(100*COUNTIFS('Enter data'!$A$12:$A$411,'Enter data'!$B$6,'Enter data'!$C$12:$C$411,'Enter data'!$G$6,'Enter data'!$D$12:$D$411,"&gt;0")/Results!$C$7,"")</f>
        <v>0</v>
      </c>
      <c r="E27" s="16" t="n">
        <f aca="false">IFERROR(SUMIFS('Enter data'!$E$12:$E$411,'Enter data'!$A$12:$A$411,'Enter data'!$B$6,'Enter data'!$C$12:$C$411,'Enter data'!$G$6)/Results!$C$7,"")</f>
        <v>0</v>
      </c>
      <c r="F27" s="16" t="str">
        <f aca="false">IFERROR(IF(ISNUMBER(C27),100*C27/SUM(C$23:C$30),""),"")</f>
        <v/>
      </c>
      <c r="G27" s="16" t="str">
        <f aca="false">IFERROR(IF(ISNUMBER(D27),100*D27/SUM(D$23:D$30),""),"")</f>
        <v/>
      </c>
      <c r="H27" s="16" t="str">
        <f aca="false">IFERROR(IF(ISNUMBER(E27),100*E27/SUM(E$23:E$30),""),"")</f>
        <v/>
      </c>
      <c r="I27" s="16" t="str">
        <f aca="false">IFERROR(IF(ISNUMBER(F27),F27+G27+H27,""),"")</f>
        <v/>
      </c>
    </row>
    <row r="28" customFormat="false" ht="15" hidden="false" customHeight="false" outlineLevel="0" collapsed="false">
      <c r="B28" s="14" t="str">
        <f aca="false">IFERROR(IF('Enter data'!$H$6="","",'Enter data'!$H$6),"")</f>
        <v/>
      </c>
      <c r="C28" s="15" t="n">
        <f aca="false">IFERROR(SUMIFS('Enter data'!$D$12:$D$411,'Enter data'!$A$12:$A$411,'Enter data'!$B$6,'Enter data'!$C$12:$C$411,'Enter data'!$H$6)/(Results!$C$7*Results!$C$5),"")</f>
        <v>0</v>
      </c>
      <c r="D28" s="16" t="n">
        <f aca="false">IFERROR(100*COUNTIFS('Enter data'!$A$12:$A$411,'Enter data'!$B$6,'Enter data'!$C$12:$C$411,'Enter data'!$H$6,'Enter data'!$D$12:$D$411,"&gt;0")/Results!$C$7,"")</f>
        <v>0</v>
      </c>
      <c r="E28" s="16" t="n">
        <f aca="false">IFERROR(SUMIFS('Enter data'!$E$12:$E$411,'Enter data'!$A$12:$A$411,'Enter data'!$B$6,'Enter data'!$C$12:$C$411,'Enter data'!$H$6)/Results!$C$7,"")</f>
        <v>0</v>
      </c>
      <c r="F28" s="16" t="str">
        <f aca="false">IFERROR(IF(ISNUMBER(C28),100*C28/SUM(C$23:C$30),""),"")</f>
        <v/>
      </c>
      <c r="G28" s="16" t="str">
        <f aca="false">IFERROR(IF(ISNUMBER(D28),100*D28/SUM(D$23:D$30),""),"")</f>
        <v/>
      </c>
      <c r="H28" s="16" t="str">
        <f aca="false">IFERROR(IF(ISNUMBER(E28),100*E28/SUM(E$23:E$30),""),"")</f>
        <v/>
      </c>
      <c r="I28" s="16" t="str">
        <f aca="false">IFERROR(IF(ISNUMBER(F28),F28+G28+H28,""),"")</f>
        <v/>
      </c>
    </row>
    <row r="29" customFormat="false" ht="15" hidden="false" customHeight="false" outlineLevel="0" collapsed="false">
      <c r="B29" s="14" t="str">
        <f aca="false">IFERROR(IF('Enter data'!$I$6="","",'Enter data'!$I$6),"")</f>
        <v/>
      </c>
      <c r="C29" s="15" t="n">
        <f aca="false">IFERROR(SUMIFS('Enter data'!$D$12:$D$411,'Enter data'!$A$12:$A$411,'Enter data'!$B$6,'Enter data'!$C$12:$C$411,'Enter data'!$I$6)/(Results!$C$7*Results!$C$5),"")</f>
        <v>0</v>
      </c>
      <c r="D29" s="16" t="n">
        <f aca="false">IFERROR(100*COUNTIFS('Enter data'!$A$12:$A$411,'Enter data'!$B$6,'Enter data'!$C$12:$C$411,'Enter data'!$I$6,'Enter data'!$D$12:$D$411,"&gt;0")/Results!$C$7,"")</f>
        <v>0</v>
      </c>
      <c r="E29" s="16" t="n">
        <f aca="false">IFERROR(SUMIFS('Enter data'!$E$12:$E$411,'Enter data'!$A$12:$A$411,'Enter data'!$B$6,'Enter data'!$C$12:$C$411,'Enter data'!$I$6)/Results!$C$7,"")</f>
        <v>0</v>
      </c>
      <c r="F29" s="16" t="str">
        <f aca="false">IFERROR(IF(ISNUMBER(C29),100*C29/SUM(C$23:C$30),""),"")</f>
        <v/>
      </c>
      <c r="G29" s="16" t="str">
        <f aca="false">IFERROR(IF(ISNUMBER(D29),100*D29/SUM(D$23:D$30),""),"")</f>
        <v/>
      </c>
      <c r="H29" s="16" t="str">
        <f aca="false">IFERROR(IF(ISNUMBER(E29),100*E29/SUM(E$23:E$30),""),"")</f>
        <v/>
      </c>
      <c r="I29" s="16" t="str">
        <f aca="false">IFERROR(IF(ISNUMBER(F29),F29+G29+H29,""),"")</f>
        <v/>
      </c>
    </row>
    <row r="30" customFormat="false" ht="15" hidden="false" customHeight="false" outlineLevel="0" collapsed="false">
      <c r="B30" s="14" t="str">
        <f aca="false">IFERROR(IF('Enter data'!$J$6="","",'Enter data'!$J$6),"")</f>
        <v/>
      </c>
      <c r="C30" s="15" t="n">
        <f aca="false">IFERROR(SUMIFS('Enter data'!$D$12:$D$411,'Enter data'!$A$12:$A$411,'Enter data'!$B$6,'Enter data'!$C$12:$C$411,'Enter data'!$J$6)/(Results!$C$7*Results!$C$5),"")</f>
        <v>0</v>
      </c>
      <c r="D30" s="16" t="n">
        <f aca="false">IFERROR(100*COUNTIFS('Enter data'!$A$12:$A$411,'Enter data'!$B$6,'Enter data'!$C$12:$C$411,'Enter data'!$J$6,'Enter data'!$D$12:$D$411,"&gt;0")/Results!$C$7,"")</f>
        <v>0</v>
      </c>
      <c r="E30" s="16" t="n">
        <f aca="false">IFERROR(SUMIFS('Enter data'!$E$12:$E$411,'Enter data'!$A$12:$A$411,'Enter data'!$B$6,'Enter data'!$C$12:$C$411,'Enter data'!$J$6)/Results!$C$7,"")</f>
        <v>0</v>
      </c>
      <c r="F30" s="16" t="str">
        <f aca="false">IFERROR(IF(ISNUMBER(C30),100*C30/SUM(C$23:C$30),""),"")</f>
        <v/>
      </c>
      <c r="G30" s="16" t="str">
        <f aca="false">IFERROR(IF(ISNUMBER(D30),100*D30/SUM(D$23:D$30),""),"")</f>
        <v/>
      </c>
      <c r="H30" s="16" t="str">
        <f aca="false">IFERROR(IF(ISNUMBER(E30),100*E30/SUM(E$23:E$30),""),"")</f>
        <v/>
      </c>
      <c r="I30" s="16" t="str">
        <f aca="false">IFERROR(IF(ISNUMBER(F30),F30+G30+H30,""),"")</f>
        <v/>
      </c>
    </row>
    <row r="33" customFormat="false" ht="15" hidden="false" customHeight="false" outlineLevel="0" collapsed="false">
      <c r="B33" s="9" t="s">
        <v>53</v>
      </c>
    </row>
    <row r="34" customFormat="false" ht="30" hidden="false" customHeight="true" outlineLevel="0" collapsed="false">
      <c r="B34" s="10" t="s">
        <v>54</v>
      </c>
      <c r="C34" s="10" t="s">
        <v>20</v>
      </c>
      <c r="D34" s="10" t="s">
        <v>21</v>
      </c>
    </row>
    <row r="35" customFormat="false" ht="15" hidden="false" customHeight="false" outlineLevel="0" collapsed="false">
      <c r="B35" s="17" t="n">
        <v>1</v>
      </c>
      <c r="C35" s="18" t="n">
        <f aca="false">IFERROR(IF(1&lt;=Results!$C$6,SUMIFS('Enter data'!$D$12:$D$411,'Enter data'!$A$12:$A$411,'Enter data'!$A$6,'Enter data'!$B$12:$B$411,1),""),"")</f>
        <v>0</v>
      </c>
      <c r="D35" s="18" t="n">
        <f aca="false">IFERROR(IF(1&lt;=Results!$C$7,SUMIFS('Enter data'!$D$12:$D$411,'Enter data'!$A$12:$A$411,'Enter data'!$B$6,'Enter data'!$B$12:$B$411,1),""),"")</f>
        <v>0</v>
      </c>
    </row>
    <row r="36" customFormat="false" ht="15" hidden="false" customHeight="false" outlineLevel="0" collapsed="false">
      <c r="B36" s="17" t="n">
        <v>2</v>
      </c>
      <c r="C36" s="18" t="n">
        <f aca="false">IFERROR(IF(2&lt;=Results!$C$6,SUMIFS('Enter data'!$D$12:$D$411,'Enter data'!$A$12:$A$411,'Enter data'!$A$6,'Enter data'!$B$12:$B$411,2),""),"")</f>
        <v>0</v>
      </c>
      <c r="D36" s="18" t="n">
        <f aca="false">IFERROR(IF(2&lt;=Results!$C$7,SUMIFS('Enter data'!$D$12:$D$411,'Enter data'!$A$12:$A$411,'Enter data'!$B$6,'Enter data'!$B$12:$B$411,2),""),"")</f>
        <v>0</v>
      </c>
    </row>
    <row r="37" customFormat="false" ht="15" hidden="false" customHeight="false" outlineLevel="0" collapsed="false">
      <c r="B37" s="17" t="n">
        <v>3</v>
      </c>
      <c r="C37" s="18" t="n">
        <f aca="false">IFERROR(IF(3&lt;=Results!$C$6,SUMIFS('Enter data'!$D$12:$D$411,'Enter data'!$A$12:$A$411,'Enter data'!$A$6,'Enter data'!$B$12:$B$411,3),""),"")</f>
        <v>0</v>
      </c>
      <c r="D37" s="18" t="n">
        <f aca="false">IFERROR(IF(3&lt;=Results!$C$7,SUMIFS('Enter data'!$D$12:$D$411,'Enter data'!$A$12:$A$411,'Enter data'!$B$6,'Enter data'!$B$12:$B$411,3),""),"")</f>
        <v>0</v>
      </c>
    </row>
    <row r="38" customFormat="false" ht="15" hidden="false" customHeight="false" outlineLevel="0" collapsed="false">
      <c r="B38" s="17" t="n">
        <v>4</v>
      </c>
      <c r="C38" s="18" t="n">
        <f aca="false">IFERROR(IF(4&lt;=Results!$C$6,SUMIFS('Enter data'!$D$12:$D$411,'Enter data'!$A$12:$A$411,'Enter data'!$A$6,'Enter data'!$B$12:$B$411,4),""),"")</f>
        <v>0</v>
      </c>
      <c r="D38" s="18" t="n">
        <f aca="false">IFERROR(IF(4&lt;=Results!$C$7,SUMIFS('Enter data'!$D$12:$D$411,'Enter data'!$A$12:$A$411,'Enter data'!$B$6,'Enter data'!$B$12:$B$411,4),""),"")</f>
        <v>0</v>
      </c>
    </row>
    <row r="39" customFormat="false" ht="15" hidden="false" customHeight="false" outlineLevel="0" collapsed="false">
      <c r="B39" s="17" t="n">
        <v>5</v>
      </c>
      <c r="C39" s="18" t="n">
        <f aca="false">IFERROR(IF(5&lt;=Results!$C$6,SUMIFS('Enter data'!$D$12:$D$411,'Enter data'!$A$12:$A$411,'Enter data'!$A$6,'Enter data'!$B$12:$B$411,5),""),"")</f>
        <v>0</v>
      </c>
      <c r="D39" s="18" t="n">
        <f aca="false">IFERROR(IF(5&lt;=Results!$C$7,SUMIFS('Enter data'!$D$12:$D$411,'Enter data'!$A$12:$A$411,'Enter data'!$B$6,'Enter data'!$B$12:$B$411,5),""),"")</f>
        <v>0</v>
      </c>
    </row>
    <row r="40" customFormat="false" ht="15" hidden="false" customHeight="false" outlineLevel="0" collapsed="false">
      <c r="B40" s="17" t="n">
        <v>6</v>
      </c>
      <c r="C40" s="18" t="n">
        <f aca="false">IFERROR(IF(6&lt;=Results!$C$6,SUMIFS('Enter data'!$D$12:$D$411,'Enter data'!$A$12:$A$411,'Enter data'!$A$6,'Enter data'!$B$12:$B$411,6),""),"")</f>
        <v>0</v>
      </c>
      <c r="D40" s="18" t="n">
        <f aca="false">IFERROR(IF(6&lt;=Results!$C$7,SUMIFS('Enter data'!$D$12:$D$411,'Enter data'!$A$12:$A$411,'Enter data'!$B$6,'Enter data'!$B$12:$B$411,6),""),"")</f>
        <v>0</v>
      </c>
    </row>
    <row r="41" customFormat="false" ht="15" hidden="false" customHeight="false" outlineLevel="0" collapsed="false">
      <c r="B41" s="17" t="n">
        <v>7</v>
      </c>
      <c r="C41" s="18" t="n">
        <f aca="false">IFERROR(IF(7&lt;=Results!$C$6,SUMIFS('Enter data'!$D$12:$D$411,'Enter data'!$A$12:$A$411,'Enter data'!$A$6,'Enter data'!$B$12:$B$411,7),""),"")</f>
        <v>0</v>
      </c>
      <c r="D41" s="18" t="n">
        <f aca="false">IFERROR(IF(7&lt;=Results!$C$7,SUMIFS('Enter data'!$D$12:$D$411,'Enter data'!$A$12:$A$411,'Enter data'!$B$6,'Enter data'!$B$12:$B$411,7),""),"")</f>
        <v>0</v>
      </c>
    </row>
    <row r="42" customFormat="false" ht="15" hidden="false" customHeight="false" outlineLevel="0" collapsed="false">
      <c r="B42" s="17" t="n">
        <v>8</v>
      </c>
      <c r="C42" s="18" t="n">
        <f aca="false">IFERROR(IF(8&lt;=Results!$C$6,SUMIFS('Enter data'!$D$12:$D$411,'Enter data'!$A$12:$A$411,'Enter data'!$A$6,'Enter data'!$B$12:$B$411,8),""),"")</f>
        <v>0</v>
      </c>
      <c r="D42" s="18" t="n">
        <f aca="false">IFERROR(IF(8&lt;=Results!$C$7,SUMIFS('Enter data'!$D$12:$D$411,'Enter data'!$A$12:$A$411,'Enter data'!$B$6,'Enter data'!$B$12:$B$411,8),""),"")</f>
        <v>0</v>
      </c>
    </row>
    <row r="43" customFormat="false" ht="15" hidden="false" customHeight="false" outlineLevel="0" collapsed="false">
      <c r="B43" s="17" t="n">
        <v>9</v>
      </c>
      <c r="C43" s="18" t="n">
        <f aca="false">IFERROR(IF(9&lt;=Results!$C$6,SUMIFS('Enter data'!$D$12:$D$411,'Enter data'!$A$12:$A$411,'Enter data'!$A$6,'Enter data'!$B$12:$B$411,9),""),"")</f>
        <v>0</v>
      </c>
      <c r="D43" s="18" t="n">
        <f aca="false">IFERROR(IF(9&lt;=Results!$C$7,SUMIFS('Enter data'!$D$12:$D$411,'Enter data'!$A$12:$A$411,'Enter data'!$B$6,'Enter data'!$B$12:$B$411,9),""),"")</f>
        <v>0</v>
      </c>
    </row>
    <row r="44" customFormat="false" ht="15" hidden="false" customHeight="false" outlineLevel="0" collapsed="false">
      <c r="B44" s="17" t="n">
        <v>10</v>
      </c>
      <c r="C44" s="18" t="n">
        <f aca="false">IFERROR(IF(10&lt;=Results!$C$6,SUMIFS('Enter data'!$D$12:$D$411,'Enter data'!$A$12:$A$411,'Enter data'!$A$6,'Enter data'!$B$12:$B$411,10),""),"")</f>
        <v>0</v>
      </c>
      <c r="D44" s="18" t="n">
        <f aca="false">IFERROR(IF(10&lt;=Results!$C$7,SUMIFS('Enter data'!$D$12:$D$411,'Enter data'!$A$12:$A$411,'Enter data'!$B$6,'Enter data'!$B$12:$B$411,10),""),"")</f>
        <v>0</v>
      </c>
    </row>
    <row r="45" customFormat="false" ht="15" hidden="false" customHeight="false" outlineLevel="0" collapsed="false">
      <c r="B45" s="17" t="n">
        <v>11</v>
      </c>
      <c r="C45" s="18" t="n">
        <f aca="false">IFERROR(IF(11&lt;=Results!$C$6,SUMIFS('Enter data'!$D$12:$D$411,'Enter data'!$A$12:$A$411,'Enter data'!$A$6,'Enter data'!$B$12:$B$411,11),""),"")</f>
        <v>0</v>
      </c>
      <c r="D45" s="18" t="n">
        <f aca="false">IFERROR(IF(11&lt;=Results!$C$7,SUMIFS('Enter data'!$D$12:$D$411,'Enter data'!$A$12:$A$411,'Enter data'!$B$6,'Enter data'!$B$12:$B$411,11),""),"")</f>
        <v>0</v>
      </c>
    </row>
    <row r="46" customFormat="false" ht="15" hidden="false" customHeight="false" outlineLevel="0" collapsed="false">
      <c r="B46" s="17" t="n">
        <v>12</v>
      </c>
      <c r="C46" s="18" t="n">
        <f aca="false">IFERROR(IF(12&lt;=Results!$C$6,SUMIFS('Enter data'!$D$12:$D$411,'Enter data'!$A$12:$A$411,'Enter data'!$A$6,'Enter data'!$B$12:$B$411,12),""),"")</f>
        <v>0</v>
      </c>
      <c r="D46" s="18" t="n">
        <f aca="false">IFERROR(IF(12&lt;=Results!$C$7,SUMIFS('Enter data'!$D$12:$D$411,'Enter data'!$A$12:$A$411,'Enter data'!$B$6,'Enter data'!$B$12:$B$411,12),""),"")</f>
        <v>0</v>
      </c>
    </row>
    <row r="47" customFormat="false" ht="15" hidden="false" customHeight="false" outlineLevel="0" collapsed="false">
      <c r="B47" s="17" t="n">
        <v>13</v>
      </c>
      <c r="C47" s="18" t="n">
        <f aca="false">IFERROR(IF(13&lt;=Results!$C$6,SUMIFS('Enter data'!$D$12:$D$411,'Enter data'!$A$12:$A$411,'Enter data'!$A$6,'Enter data'!$B$12:$B$411,13),""),"")</f>
        <v>0</v>
      </c>
      <c r="D47" s="18" t="n">
        <f aca="false">IFERROR(IF(13&lt;=Results!$C$7,SUMIFS('Enter data'!$D$12:$D$411,'Enter data'!$A$12:$A$411,'Enter data'!$B$6,'Enter data'!$B$12:$B$411,13),""),"")</f>
        <v>0</v>
      </c>
    </row>
    <row r="48" customFormat="false" ht="15" hidden="false" customHeight="false" outlineLevel="0" collapsed="false">
      <c r="B48" s="17" t="n">
        <v>14</v>
      </c>
      <c r="C48" s="18" t="n">
        <f aca="false">IFERROR(IF(14&lt;=Results!$C$6,SUMIFS('Enter data'!$D$12:$D$411,'Enter data'!$A$12:$A$411,'Enter data'!$A$6,'Enter data'!$B$12:$B$411,14),""),"")</f>
        <v>0</v>
      </c>
      <c r="D48" s="18" t="n">
        <f aca="false">IFERROR(IF(14&lt;=Results!$C$7,SUMIFS('Enter data'!$D$12:$D$411,'Enter data'!$A$12:$A$411,'Enter data'!$B$6,'Enter data'!$B$12:$B$411,14),""),"")</f>
        <v>0</v>
      </c>
    </row>
    <row r="49" customFormat="false" ht="15" hidden="false" customHeight="false" outlineLevel="0" collapsed="false">
      <c r="B49" s="17" t="n">
        <v>15</v>
      </c>
      <c r="C49" s="18" t="n">
        <f aca="false">IFERROR(IF(15&lt;=Results!$C$6,SUMIFS('Enter data'!$D$12:$D$411,'Enter data'!$A$12:$A$411,'Enter data'!$A$6,'Enter data'!$B$12:$B$411,15),""),"")</f>
        <v>0</v>
      </c>
      <c r="D49" s="18" t="n">
        <f aca="false">IFERROR(IF(15&lt;=Results!$C$7,SUMIFS('Enter data'!$D$12:$D$411,'Enter data'!$A$12:$A$411,'Enter data'!$B$6,'Enter data'!$B$12:$B$411,15),""),"")</f>
        <v>0</v>
      </c>
    </row>
    <row r="50" customFormat="false" ht="15" hidden="false" customHeight="false" outlineLevel="0" collapsed="false">
      <c r="B50" s="17" t="n">
        <v>16</v>
      </c>
      <c r="C50" s="18" t="n">
        <f aca="false">IFERROR(IF(16&lt;=Results!$C$6,SUMIFS('Enter data'!$D$12:$D$411,'Enter data'!$A$12:$A$411,'Enter data'!$A$6,'Enter data'!$B$12:$B$411,16),""),"")</f>
        <v>0</v>
      </c>
      <c r="D50" s="18" t="n">
        <f aca="false">IFERROR(IF(16&lt;=Results!$C$7,SUMIFS('Enter data'!$D$12:$D$411,'Enter data'!$A$12:$A$411,'Enter data'!$B$6,'Enter data'!$B$12:$B$411,16),""),"")</f>
        <v>0</v>
      </c>
    </row>
    <row r="51" customFormat="false" ht="15" hidden="false" customHeight="false" outlineLevel="0" collapsed="false">
      <c r="B51" s="17" t="n">
        <v>17</v>
      </c>
      <c r="C51" s="18" t="n">
        <f aca="false">IFERROR(IF(17&lt;=Results!$C$6,SUMIFS('Enter data'!$D$12:$D$411,'Enter data'!$A$12:$A$411,'Enter data'!$A$6,'Enter data'!$B$12:$B$411,17),""),"")</f>
        <v>0</v>
      </c>
      <c r="D51" s="18" t="n">
        <f aca="false">IFERROR(IF(17&lt;=Results!$C$7,SUMIFS('Enter data'!$D$12:$D$411,'Enter data'!$A$12:$A$411,'Enter data'!$B$6,'Enter data'!$B$12:$B$411,17),""),"")</f>
        <v>0</v>
      </c>
    </row>
    <row r="52" customFormat="false" ht="15" hidden="false" customHeight="false" outlineLevel="0" collapsed="false">
      <c r="B52" s="17" t="n">
        <v>18</v>
      </c>
      <c r="C52" s="18" t="n">
        <f aca="false">IFERROR(IF(18&lt;=Results!$C$6,SUMIFS('Enter data'!$D$12:$D$411,'Enter data'!$A$12:$A$411,'Enter data'!$A$6,'Enter data'!$B$12:$B$411,18),""),"")</f>
        <v>0</v>
      </c>
      <c r="D52" s="18" t="n">
        <f aca="false">IFERROR(IF(18&lt;=Results!$C$7,SUMIFS('Enter data'!$D$12:$D$411,'Enter data'!$A$12:$A$411,'Enter data'!$B$6,'Enter data'!$B$12:$B$411,18),""),"")</f>
        <v>0</v>
      </c>
    </row>
    <row r="53" customFormat="false" ht="15" hidden="false" customHeight="false" outlineLevel="0" collapsed="false">
      <c r="B53" s="17" t="n">
        <v>19</v>
      </c>
      <c r="C53" s="18" t="n">
        <f aca="false">IFERROR(IF(19&lt;=Results!$C$6,SUMIFS('Enter data'!$D$12:$D$411,'Enter data'!$A$12:$A$411,'Enter data'!$A$6,'Enter data'!$B$12:$B$411,19),""),"")</f>
        <v>0</v>
      </c>
      <c r="D53" s="18" t="n">
        <f aca="false">IFERROR(IF(19&lt;=Results!$C$7,SUMIFS('Enter data'!$D$12:$D$411,'Enter data'!$A$12:$A$411,'Enter data'!$B$6,'Enter data'!$B$12:$B$411,19),""),"")</f>
        <v>0</v>
      </c>
    </row>
    <row r="54" customFormat="false" ht="15" hidden="false" customHeight="false" outlineLevel="0" collapsed="false">
      <c r="B54" s="17" t="n">
        <v>20</v>
      </c>
      <c r="C54" s="18" t="n">
        <f aca="false">IFERROR(IF(20&lt;=Results!$C$6,SUMIFS('Enter data'!$D$12:$D$411,'Enter data'!$A$12:$A$411,'Enter data'!$A$6,'Enter data'!$B$12:$B$411,20),""),"")</f>
        <v>0</v>
      </c>
      <c r="D54" s="18" t="n">
        <f aca="false">IFERROR(IF(20&lt;=Results!$C$7,SUMIFS('Enter data'!$D$12:$D$411,'Enter data'!$A$12:$A$411,'Enter data'!$B$6,'Enter data'!$B$12:$B$411,20),""),"")</f>
        <v>0</v>
      </c>
    </row>
    <row r="55" customFormat="false" ht="15" hidden="false" customHeight="false" outlineLevel="0" collapsed="false">
      <c r="B55" s="17" t="n">
        <v>21</v>
      </c>
      <c r="C55" s="18" t="n">
        <f aca="false">IFERROR(IF(21&lt;=Results!$C$6,SUMIFS('Enter data'!$D$12:$D$411,'Enter data'!$A$12:$A$411,'Enter data'!$A$6,'Enter data'!$B$12:$B$411,21),""),"")</f>
        <v>0</v>
      </c>
      <c r="D55" s="18" t="n">
        <f aca="false">IFERROR(IF(21&lt;=Results!$C$7,SUMIFS('Enter data'!$D$12:$D$411,'Enter data'!$A$12:$A$411,'Enter data'!$B$6,'Enter data'!$B$12:$B$411,21),""),"")</f>
        <v>0</v>
      </c>
    </row>
    <row r="56" customFormat="false" ht="15" hidden="false" customHeight="false" outlineLevel="0" collapsed="false">
      <c r="B56" s="17" t="n">
        <v>22</v>
      </c>
      <c r="C56" s="18" t="n">
        <f aca="false">IFERROR(IF(22&lt;=Results!$C$6,SUMIFS('Enter data'!$D$12:$D$411,'Enter data'!$A$12:$A$411,'Enter data'!$A$6,'Enter data'!$B$12:$B$411,22),""),"")</f>
        <v>0</v>
      </c>
      <c r="D56" s="18" t="n">
        <f aca="false">IFERROR(IF(22&lt;=Results!$C$7,SUMIFS('Enter data'!$D$12:$D$411,'Enter data'!$A$12:$A$411,'Enter data'!$B$6,'Enter data'!$B$12:$B$411,22),""),"")</f>
        <v>0</v>
      </c>
    </row>
    <row r="57" customFormat="false" ht="15" hidden="false" customHeight="false" outlineLevel="0" collapsed="false">
      <c r="B57" s="17" t="n">
        <v>23</v>
      </c>
      <c r="C57" s="18" t="n">
        <f aca="false">IFERROR(IF(23&lt;=Results!$C$6,SUMIFS('Enter data'!$D$12:$D$411,'Enter data'!$A$12:$A$411,'Enter data'!$A$6,'Enter data'!$B$12:$B$411,23),""),"")</f>
        <v>0</v>
      </c>
      <c r="D57" s="18" t="n">
        <f aca="false">IFERROR(IF(23&lt;=Results!$C$7,SUMIFS('Enter data'!$D$12:$D$411,'Enter data'!$A$12:$A$411,'Enter data'!$B$6,'Enter data'!$B$12:$B$411,23),""),"")</f>
        <v>0</v>
      </c>
    </row>
    <row r="58" customFormat="false" ht="15" hidden="false" customHeight="false" outlineLevel="0" collapsed="false">
      <c r="B58" s="17" t="n">
        <v>24</v>
      </c>
      <c r="C58" s="18" t="n">
        <f aca="false">IFERROR(IF(24&lt;=Results!$C$6,SUMIFS('Enter data'!$D$12:$D$411,'Enter data'!$A$12:$A$411,'Enter data'!$A$6,'Enter data'!$B$12:$B$411,24),""),"")</f>
        <v>0</v>
      </c>
      <c r="D58" s="18" t="n">
        <f aca="false">IFERROR(IF(24&lt;=Results!$C$7,SUMIFS('Enter data'!$D$12:$D$411,'Enter data'!$A$12:$A$411,'Enter data'!$B$6,'Enter data'!$B$12:$B$411,24),""),"")</f>
        <v>0</v>
      </c>
    </row>
    <row r="59" customFormat="false" ht="15" hidden="false" customHeight="false" outlineLevel="0" collapsed="false">
      <c r="B59" s="17" t="n">
        <v>25</v>
      </c>
      <c r="C59" s="18" t="n">
        <f aca="false">IFERROR(IF(25&lt;=Results!$C$6,SUMIFS('Enter data'!$D$12:$D$411,'Enter data'!$A$12:$A$411,'Enter data'!$A$6,'Enter data'!$B$12:$B$411,25),""),"")</f>
        <v>0</v>
      </c>
      <c r="D59" s="18" t="n">
        <f aca="false">IFERROR(IF(25&lt;=Results!$C$7,SUMIFS('Enter data'!$D$12:$D$411,'Enter data'!$A$12:$A$411,'Enter data'!$B$6,'Enter data'!$B$12:$B$411,25),""),"")</f>
        <v>0</v>
      </c>
    </row>
    <row r="60" customFormat="false" ht="15" hidden="false" customHeight="false" outlineLevel="0" collapsed="false">
      <c r="B60" s="17" t="n">
        <v>26</v>
      </c>
      <c r="C60" s="18" t="n">
        <f aca="false">IFERROR(IF(26&lt;=Results!$C$6,SUMIFS('Enter data'!$D$12:$D$411,'Enter data'!$A$12:$A$411,'Enter data'!$A$6,'Enter data'!$B$12:$B$411,26),""),"")</f>
        <v>0</v>
      </c>
      <c r="D60" s="18" t="n">
        <f aca="false">IFERROR(IF(26&lt;=Results!$C$7,SUMIFS('Enter data'!$D$12:$D$411,'Enter data'!$A$12:$A$411,'Enter data'!$B$6,'Enter data'!$B$12:$B$411,26),""),"")</f>
        <v>0</v>
      </c>
    </row>
    <row r="61" customFormat="false" ht="15" hidden="false" customHeight="false" outlineLevel="0" collapsed="false">
      <c r="B61" s="17" t="n">
        <v>27</v>
      </c>
      <c r="C61" s="18" t="n">
        <f aca="false">IFERROR(IF(27&lt;=Results!$C$6,SUMIFS('Enter data'!$D$12:$D$411,'Enter data'!$A$12:$A$411,'Enter data'!$A$6,'Enter data'!$B$12:$B$411,27),""),"")</f>
        <v>0</v>
      </c>
      <c r="D61" s="18" t="n">
        <f aca="false">IFERROR(IF(27&lt;=Results!$C$7,SUMIFS('Enter data'!$D$12:$D$411,'Enter data'!$A$12:$A$411,'Enter data'!$B$6,'Enter data'!$B$12:$B$411,27),""),"")</f>
        <v>0</v>
      </c>
    </row>
    <row r="62" customFormat="false" ht="15" hidden="false" customHeight="false" outlineLevel="0" collapsed="false">
      <c r="B62" s="17" t="n">
        <v>28</v>
      </c>
      <c r="C62" s="18" t="n">
        <f aca="false">IFERROR(IF(28&lt;=Results!$C$6,SUMIFS('Enter data'!$D$12:$D$411,'Enter data'!$A$12:$A$411,'Enter data'!$A$6,'Enter data'!$B$12:$B$411,28),""),"")</f>
        <v>0</v>
      </c>
      <c r="D62" s="18" t="n">
        <f aca="false">IFERROR(IF(28&lt;=Results!$C$7,SUMIFS('Enter data'!$D$12:$D$411,'Enter data'!$A$12:$A$411,'Enter data'!$B$6,'Enter data'!$B$12:$B$411,28),""),"")</f>
        <v>0</v>
      </c>
    </row>
    <row r="63" customFormat="false" ht="15" hidden="false" customHeight="false" outlineLevel="0" collapsed="false">
      <c r="B63" s="17" t="n">
        <v>29</v>
      </c>
      <c r="C63" s="18" t="n">
        <f aca="false">IFERROR(IF(29&lt;=Results!$C$6,SUMIFS('Enter data'!$D$12:$D$411,'Enter data'!$A$12:$A$411,'Enter data'!$A$6,'Enter data'!$B$12:$B$411,29),""),"")</f>
        <v>0</v>
      </c>
      <c r="D63" s="18" t="n">
        <f aca="false">IFERROR(IF(29&lt;=Results!$C$7,SUMIFS('Enter data'!$D$12:$D$411,'Enter data'!$A$12:$A$411,'Enter data'!$B$6,'Enter data'!$B$12:$B$411,29),""),"")</f>
        <v>0</v>
      </c>
    </row>
    <row r="64" customFormat="false" ht="15" hidden="false" customHeight="false" outlineLevel="0" collapsed="false">
      <c r="B64" s="17" t="n">
        <v>30</v>
      </c>
      <c r="C64" s="18" t="n">
        <f aca="false">IFERROR(IF(30&lt;=Results!$C$6,SUMIFS('Enter data'!$D$12:$D$411,'Enter data'!$A$12:$A$411,'Enter data'!$A$6,'Enter data'!$B$12:$B$411,30),""),"")</f>
        <v>0</v>
      </c>
      <c r="D64" s="18" t="n">
        <f aca="false">IFERROR(IF(30&lt;=Results!$C$7,SUMIFS('Enter data'!$D$12:$D$411,'Enter data'!$A$12:$A$411,'Enter data'!$B$6,'Enter data'!$B$12:$B$411,30),""),"")</f>
        <v>0</v>
      </c>
    </row>
    <row r="65" customFormat="false" ht="15" hidden="false" customHeight="false" outlineLevel="0" collapsed="false">
      <c r="B65" s="17" t="n">
        <v>31</v>
      </c>
      <c r="C65" s="18" t="str">
        <f aca="false">IFERROR(IF(31&lt;=Results!$C$6,SUMIFS('Enter data'!$D$12:$D$411,'Enter data'!$A$12:$A$411,'Enter data'!$A$6,'Enter data'!$B$12:$B$411,31),""),"")</f>
        <v/>
      </c>
      <c r="D65" s="18" t="str">
        <f aca="false">IFERROR(IF(31&lt;=Results!$C$7,SUMIFS('Enter data'!$D$12:$D$411,'Enter data'!$A$12:$A$411,'Enter data'!$B$6,'Enter data'!$B$12:$B$411,31),""),"")</f>
        <v/>
      </c>
    </row>
    <row r="66" customFormat="false" ht="15" hidden="false" customHeight="false" outlineLevel="0" collapsed="false">
      <c r="B66" s="17" t="n">
        <v>32</v>
      </c>
      <c r="C66" s="18" t="str">
        <f aca="false">IFERROR(IF(32&lt;=Results!$C$6,SUMIFS('Enter data'!$D$12:$D$411,'Enter data'!$A$12:$A$411,'Enter data'!$A$6,'Enter data'!$B$12:$B$411,32),""),"")</f>
        <v/>
      </c>
      <c r="D66" s="18" t="str">
        <f aca="false">IFERROR(IF(32&lt;=Results!$C$7,SUMIFS('Enter data'!$D$12:$D$411,'Enter data'!$A$12:$A$411,'Enter data'!$B$6,'Enter data'!$B$12:$B$411,32),""),"")</f>
        <v/>
      </c>
    </row>
    <row r="67" customFormat="false" ht="15" hidden="false" customHeight="false" outlineLevel="0" collapsed="false">
      <c r="B67" s="17" t="n">
        <v>33</v>
      </c>
      <c r="C67" s="18" t="str">
        <f aca="false">IFERROR(IF(33&lt;=Results!$C$6,SUMIFS('Enter data'!$D$12:$D$411,'Enter data'!$A$12:$A$411,'Enter data'!$A$6,'Enter data'!$B$12:$B$411,33),""),"")</f>
        <v/>
      </c>
      <c r="D67" s="18" t="str">
        <f aca="false">IFERROR(IF(33&lt;=Results!$C$7,SUMIFS('Enter data'!$D$12:$D$411,'Enter data'!$A$12:$A$411,'Enter data'!$B$6,'Enter data'!$B$12:$B$411,33),""),"")</f>
        <v/>
      </c>
    </row>
    <row r="68" customFormat="false" ht="15" hidden="false" customHeight="false" outlineLevel="0" collapsed="false">
      <c r="B68" s="17" t="n">
        <v>34</v>
      </c>
      <c r="C68" s="18" t="str">
        <f aca="false">IFERROR(IF(34&lt;=Results!$C$6,SUMIFS('Enter data'!$D$12:$D$411,'Enter data'!$A$12:$A$411,'Enter data'!$A$6,'Enter data'!$B$12:$B$411,34),""),"")</f>
        <v/>
      </c>
      <c r="D68" s="18" t="str">
        <f aca="false">IFERROR(IF(34&lt;=Results!$C$7,SUMIFS('Enter data'!$D$12:$D$411,'Enter data'!$A$12:$A$411,'Enter data'!$B$6,'Enter data'!$B$12:$B$411,34),""),"")</f>
        <v/>
      </c>
    </row>
    <row r="69" customFormat="false" ht="15" hidden="false" customHeight="false" outlineLevel="0" collapsed="false">
      <c r="B69" s="17" t="n">
        <v>35</v>
      </c>
      <c r="C69" s="18" t="str">
        <f aca="false">IFERROR(IF(35&lt;=Results!$C$6,SUMIFS('Enter data'!$D$12:$D$411,'Enter data'!$A$12:$A$411,'Enter data'!$A$6,'Enter data'!$B$12:$B$411,35),""),"")</f>
        <v/>
      </c>
      <c r="D69" s="18" t="str">
        <f aca="false">IFERROR(IF(35&lt;=Results!$C$7,SUMIFS('Enter data'!$D$12:$D$411,'Enter data'!$A$12:$A$411,'Enter data'!$B$6,'Enter data'!$B$12:$B$411,35),""),"")</f>
        <v/>
      </c>
    </row>
    <row r="70" customFormat="false" ht="15" hidden="false" customHeight="false" outlineLevel="0" collapsed="false">
      <c r="B70" s="17" t="n">
        <v>36</v>
      </c>
      <c r="C70" s="18" t="str">
        <f aca="false">IFERROR(IF(36&lt;=Results!$C$6,SUMIFS('Enter data'!$D$12:$D$411,'Enter data'!$A$12:$A$411,'Enter data'!$A$6,'Enter data'!$B$12:$B$411,36),""),"")</f>
        <v/>
      </c>
      <c r="D70" s="18" t="str">
        <f aca="false">IFERROR(IF(36&lt;=Results!$C$7,SUMIFS('Enter data'!$D$12:$D$411,'Enter data'!$A$12:$A$411,'Enter data'!$B$6,'Enter data'!$B$12:$B$411,36),""),"")</f>
        <v/>
      </c>
    </row>
    <row r="71" customFormat="false" ht="15" hidden="false" customHeight="false" outlineLevel="0" collapsed="false">
      <c r="B71" s="17" t="n">
        <v>37</v>
      </c>
      <c r="C71" s="18" t="str">
        <f aca="false">IFERROR(IF(37&lt;=Results!$C$6,SUMIFS('Enter data'!$D$12:$D$411,'Enter data'!$A$12:$A$411,'Enter data'!$A$6,'Enter data'!$B$12:$B$411,37),""),"")</f>
        <v/>
      </c>
      <c r="D71" s="18" t="str">
        <f aca="false">IFERROR(IF(37&lt;=Results!$C$7,SUMIFS('Enter data'!$D$12:$D$411,'Enter data'!$A$12:$A$411,'Enter data'!$B$6,'Enter data'!$B$12:$B$411,37),""),"")</f>
        <v/>
      </c>
    </row>
    <row r="72" customFormat="false" ht="15" hidden="false" customHeight="false" outlineLevel="0" collapsed="false">
      <c r="B72" s="17" t="n">
        <v>38</v>
      </c>
      <c r="C72" s="18" t="str">
        <f aca="false">IFERROR(IF(38&lt;=Results!$C$6,SUMIFS('Enter data'!$D$12:$D$411,'Enter data'!$A$12:$A$411,'Enter data'!$A$6,'Enter data'!$B$12:$B$411,38),""),"")</f>
        <v/>
      </c>
      <c r="D72" s="18" t="str">
        <f aca="false">IFERROR(IF(38&lt;=Results!$C$7,SUMIFS('Enter data'!$D$12:$D$411,'Enter data'!$A$12:$A$411,'Enter data'!$B$6,'Enter data'!$B$12:$B$411,38),""),"")</f>
        <v/>
      </c>
    </row>
    <row r="73" customFormat="false" ht="15" hidden="false" customHeight="false" outlineLevel="0" collapsed="false">
      <c r="B73" s="17" t="n">
        <v>39</v>
      </c>
      <c r="C73" s="18" t="str">
        <f aca="false">IFERROR(IF(39&lt;=Results!$C$6,SUMIFS('Enter data'!$D$12:$D$411,'Enter data'!$A$12:$A$411,'Enter data'!$A$6,'Enter data'!$B$12:$B$411,39),""),"")</f>
        <v/>
      </c>
      <c r="D73" s="18" t="str">
        <f aca="false">IFERROR(IF(39&lt;=Results!$C$7,SUMIFS('Enter data'!$D$12:$D$411,'Enter data'!$A$12:$A$411,'Enter data'!$B$6,'Enter data'!$B$12:$B$411,39),""),"")</f>
        <v/>
      </c>
    </row>
    <row r="74" customFormat="false" ht="15" hidden="false" customHeight="false" outlineLevel="0" collapsed="false">
      <c r="B74" s="17" t="n">
        <v>40</v>
      </c>
      <c r="C74" s="18" t="str">
        <f aca="false">IFERROR(IF(40&lt;=Results!$C$6,SUMIFS('Enter data'!$D$12:$D$411,'Enter data'!$A$12:$A$411,'Enter data'!$A$6,'Enter data'!$B$12:$B$411,40),""),"")</f>
        <v/>
      </c>
      <c r="D74" s="18" t="str">
        <f aca="false">IFERROR(IF(40&lt;=Results!$C$7,SUMIFS('Enter data'!$D$12:$D$411,'Enter data'!$A$12:$A$411,'Enter data'!$B$6,'Enter data'!$B$12:$B$411,40),""),"")</f>
        <v/>
      </c>
    </row>
    <row r="77" customFormat="false" ht="15" hidden="false" customHeight="false" outlineLevel="0" collapsed="false">
      <c r="B77" s="9" t="s">
        <v>53</v>
      </c>
    </row>
    <row r="78" customFormat="false" ht="30" hidden="false" customHeight="true" outlineLevel="0" collapsed="false">
      <c r="B78" s="10" t="s">
        <v>55</v>
      </c>
      <c r="C78" s="10" t="s">
        <v>56</v>
      </c>
      <c r="D78" s="10" t="s">
        <v>57</v>
      </c>
      <c r="E78" s="10" t="s">
        <v>58</v>
      </c>
      <c r="F78" s="10" t="s">
        <v>59</v>
      </c>
      <c r="G78" s="10" t="s">
        <v>60</v>
      </c>
      <c r="H78" s="10" t="s">
        <v>61</v>
      </c>
    </row>
    <row r="79" customFormat="false" ht="15" hidden="false" customHeight="false" outlineLevel="0" collapsed="false">
      <c r="B79" s="14" t="n">
        <f aca="false">IFERROR('Enter data'!$A$6,"")</f>
        <v>0</v>
      </c>
      <c r="C79" s="18" t="n">
        <f aca="false">IFERROR(COUNT($C$35:$C$74),"")</f>
        <v>30</v>
      </c>
      <c r="D79" s="19" t="n">
        <f aca="false">IFERROR(AVERAGE($C$35:$C$74),"")</f>
        <v>0</v>
      </c>
      <c r="E79" s="19" t="n">
        <f aca="false">IFERROR(STDEV($C$35:$C$74),"")</f>
        <v>0</v>
      </c>
      <c r="F79" s="19" t="n">
        <f aca="false">IFERROR(STDEV($C$35:$C$74)/SQRT(COUNT($C$35:$C$74)),"")</f>
        <v>0</v>
      </c>
      <c r="G79" s="19" t="n">
        <f aca="false">IFERROR(MIN($C$35:$C$74),"")</f>
        <v>0</v>
      </c>
      <c r="H79" s="19" t="n">
        <f aca="false">IFERROR(MAX($C$35:$C$74),"")</f>
        <v>0</v>
      </c>
    </row>
    <row r="80" customFormat="false" ht="15" hidden="false" customHeight="false" outlineLevel="0" collapsed="false">
      <c r="B80" s="14" t="n">
        <f aca="false">IFERROR('Enter data'!$B$6,"")</f>
        <v>0</v>
      </c>
      <c r="C80" s="18" t="n">
        <f aca="false">IFERROR(COUNT($D$35:$D$74),"")</f>
        <v>30</v>
      </c>
      <c r="D80" s="19" t="n">
        <f aca="false">IFERROR(AVERAGE($D$35:$D$74),"")</f>
        <v>0</v>
      </c>
      <c r="E80" s="19" t="n">
        <f aca="false">IFERROR(STDEV($D$35:$D$74),"")</f>
        <v>0</v>
      </c>
      <c r="F80" s="19" t="n">
        <f aca="false">IFERROR(STDEV($D$35:$D$74)/SQRT(COUNT($D$35:$D$74)),"")</f>
        <v>0</v>
      </c>
      <c r="G80" s="19" t="n">
        <f aca="false">IFERROR(MIN($D$35:$D$74),"")</f>
        <v>0</v>
      </c>
      <c r="H80" s="19" t="n">
        <f aca="false">IFERROR(MAX($D$35:$D$74),"")</f>
        <v>0</v>
      </c>
    </row>
    <row r="83" customFormat="false" ht="15" hidden="false" customHeight="false" outlineLevel="0" collapsed="false">
      <c r="B83" s="9" t="s">
        <v>62</v>
      </c>
    </row>
    <row r="84" customFormat="false" ht="15" hidden="false" customHeight="false" outlineLevel="0" collapsed="false">
      <c r="B84" s="13" t="s">
        <v>63</v>
      </c>
      <c r="C84" s="20" t="n">
        <f aca="false">IFERROR($D$79-$D$80,"")</f>
        <v>0</v>
      </c>
    </row>
    <row r="85" customFormat="false" ht="15" hidden="false" customHeight="false" outlineLevel="0" collapsed="false">
      <c r="B85" s="13" t="s">
        <v>64</v>
      </c>
      <c r="C85" s="20" t="n">
        <f aca="false">IFERROR(SQRT($F$79^2+$F$80^2),"")</f>
        <v>0</v>
      </c>
    </row>
    <row r="86" customFormat="false" ht="15" hidden="false" customHeight="false" outlineLevel="0" collapsed="false">
      <c r="B86" s="13" t="s">
        <v>65</v>
      </c>
      <c r="C86" s="21" t="str">
        <f aca="false">IFERROR((($E$79^2/$C$79+$E$80^2/$C$80)^2/(($E$79^2/$C$79)^2/($C$79-1)+($E$80^2/$C$80)^2/($C$80-1))),"")</f>
        <v/>
      </c>
    </row>
    <row r="87" customFormat="false" ht="15" hidden="false" customHeight="false" outlineLevel="0" collapsed="false">
      <c r="B87" s="13" t="s">
        <v>66</v>
      </c>
      <c r="C87" s="22" t="str">
        <f aca="false">IFERROR(TTEST($C$35:$C$74,$D$35:$D$74,2,3),"")</f>
        <v/>
      </c>
    </row>
    <row r="88" customFormat="false" ht="15" hidden="false" customHeight="false" outlineLevel="0" collapsed="false">
      <c r="B88" s="13" t="s">
        <v>67</v>
      </c>
      <c r="C88" s="20" t="str">
        <f aca="false">IFERROR($C$84-TINV(0.05,$C$86)*$C$85,"")</f>
        <v/>
      </c>
    </row>
    <row r="89" customFormat="false" ht="15" hidden="false" customHeight="false" outlineLevel="0" collapsed="false">
      <c r="B89" s="13" t="s">
        <v>68</v>
      </c>
      <c r="C89" s="20" t="str">
        <f aca="false">IFERROR($C$84+TINV(0.05,$C$86)*$C$85,"")</f>
        <v/>
      </c>
    </row>
    <row r="91" customFormat="false" ht="15" hidden="false" customHeight="false" outlineLevel="0" collapsed="false">
      <c r="B91" s="9" t="s">
        <v>69</v>
      </c>
    </row>
    <row r="92" customFormat="false" ht="15" hidden="false" customHeight="false" outlineLevel="0" collapsed="false">
      <c r="B92" s="13" t="s">
        <v>70</v>
      </c>
      <c r="C92" s="23" t="str">
        <f aca="false">IFERROR(ROUNDUP(($E$79/$D$79/0.1)^2,0),"")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2026-10-01T00:32:34Z</dcterms:modified>
  <cp:revision>0</cp:revision>
  <dc:subject/>
  <dc:title>ECO-01 Quadrat sampling: density, frequency, cover, importance value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