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Enter data" sheetId="2" state="visible" r:id="rId4"/>
    <sheet name="Resul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<sst xmlns="http://schemas.openxmlformats.org/spreadsheetml/2006/main" count="68" uniqueCount="57">
  <si>
    <t xml:space="preserve">AP-07  Blood pressure and oxygen saturation: repeatability, posture, device agreement</t>
  </si>
  <si>
    <t xml:space="preserve">Excel version of the card. It does the same calculations as the R script ap07_bp_spo2.R.</t>
  </si>
  <si>
    <t xml:space="preserve">How to use this workbook</t>
  </si>
  <si>
    <t xml:space="preserve">1.  Go to the 'Enter data' sheet. Type only in the yellow cells with blue text. Grey cells are calculated for you.</t>
  </si>
  <si>
    <t xml:space="preserve">2.  Fill the blocks that apply. Leave rows you did not use empty. The grey italic row above each table is an example of the format and is not used.</t>
  </si>
  <si>
    <t xml:space="preserve">3.  Open the 'Results' sheet. Everything there is calculated. Yellow cells on that sheet are settings you may change.</t>
  </si>
  <si>
    <t xml:space="preserve">What the colours mean</t>
  </si>
  <si>
    <t xml:space="preserve">Yellow cell, blue text:  you type here.</t>
  </si>
  <si>
    <t xml:space="preserve">Grey cell:  a formula. Sheets are protected without a password so formulas are not overwritten by accident (Review &gt; Unprotect Sheet).</t>
  </si>
  <si>
    <t xml:space="preserve">Assumptions and sources</t>
  </si>
  <si>
    <t xml:space="preserve">Teaching only; not medical advice; do not interpret anyone's values clinically. Use anonymous codes. Approval for student-subject activities is assumed to have been granted, and taking part is voluntary.</t>
  </si>
  <si>
    <t xml:space="preserve">Repeatability coefficient = 1.96 x sqrt(2) x within-subject sd. Device agreement: differences of subject means, limits = mean difference +/- 1.96 sd (Bland-Altman).</t>
  </si>
  <si>
    <t xml:space="preserve">Practice data in the filled example were invented for the card. They are not real measurements.</t>
  </si>
  <si>
    <t xml:space="preserve">Compiled by Emmanuel G. Lozano, Department of Biology, College of Arts and Sciences, Pampanga State University. Original material is licensed CC BY-NC 4.0: credit required, non-commercial use only.</t>
  </si>
  <si>
    <t xml:space="preserve">Enter your data</t>
  </si>
  <si>
    <t xml:space="preserve">Type only in yellow cells. Leave unused rows empty.</t>
  </si>
  <si>
    <t xml:space="preserve">1. Repeatability: three seated systolic readings on device A</t>
  </si>
  <si>
    <t xml:space="preserve">Subject code</t>
  </si>
  <si>
    <t xml:space="preserve">Reading 1 (mmHg)</t>
  </si>
  <si>
    <t xml:space="preserve">Reading 2</t>
  </si>
  <si>
    <t xml:space="preserve">Reading 3</t>
  </si>
  <si>
    <t xml:space="preserve">Within-subject variance</t>
  </si>
  <si>
    <t xml:space="preserve">S1</t>
  </si>
  <si>
    <t xml:space="preserve">2. Posture (device A subject means)</t>
  </si>
  <si>
    <t xml:space="preserve">Seated systolic</t>
  </si>
  <si>
    <t xml:space="preserve">Standing systolic</t>
  </si>
  <si>
    <t xml:space="preserve">Seated heart rate</t>
  </si>
  <si>
    <t xml:space="preserve">Standing heart rate</t>
  </si>
  <si>
    <t xml:space="preserve">Systolic change (standing minus seated)</t>
  </si>
  <si>
    <t xml:space="preserve">Heart rate change</t>
  </si>
  <si>
    <t xml:space="preserve">3. Device agreement (seated systolic subject means)</t>
  </si>
  <si>
    <t xml:space="preserve">Device A</t>
  </si>
  <si>
    <t xml:space="preserve">Device B</t>
  </si>
  <si>
    <t xml:space="preserve">B minus A</t>
  </si>
  <si>
    <t xml:space="preserve">Results</t>
  </si>
  <si>
    <t xml:space="preserve">Everything on this sheet is calculated. Change only the yellow settings.</t>
  </si>
  <si>
    <t xml:space="preserve">Repeatability of systolic pressure (device A, seated)</t>
  </si>
  <si>
    <t xml:space="preserve">Within-subject standard deviation (mmHg)</t>
  </si>
  <si>
    <t xml:space="preserve">Repeatability coefficient (mmHg)</t>
  </si>
  <si>
    <t xml:space="preserve">Standard error of a person's mean by number of readings</t>
  </si>
  <si>
    <t xml:space="preserve">Readings</t>
  </si>
  <si>
    <t xml:space="preserve">Standard error (mmHg)</t>
  </si>
  <si>
    <t xml:space="preserve">Systolic pressure: standing minus seated (paired t test)</t>
  </si>
  <si>
    <t xml:space="preserve">Subjects</t>
  </si>
  <si>
    <t xml:space="preserve">Mean change</t>
  </si>
  <si>
    <t xml:space="preserve">Standard deviation of changes</t>
  </si>
  <si>
    <t xml:space="preserve">95% interval, lower</t>
  </si>
  <si>
    <t xml:space="preserve">95% interval, upper</t>
  </si>
  <si>
    <t xml:space="preserve">p value</t>
  </si>
  <si>
    <t xml:space="preserve">Heart rate: standing minus seated (paired t test)</t>
  </si>
  <si>
    <t xml:space="preserve">Device agreement (Bland-Altman)</t>
  </si>
  <si>
    <t xml:space="preserve">Mean difference, B minus A (mmHg)</t>
  </si>
  <si>
    <t xml:space="preserve">Standard deviation of differences</t>
  </si>
  <si>
    <t xml:space="preserve">95% limit of agreement, lower</t>
  </si>
  <si>
    <t xml:space="preserve">95% limit of agreement, upper</t>
  </si>
  <si>
    <t xml:space="preserve">Correlation between devices</t>
  </si>
  <si>
    <t xml:space="preserve">High correlation can hide a constant offset.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</si>
</sst>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"/>
    <numFmt numFmtId="166" formatCode="0"/>
    <numFmt numFmtId="167" formatCode="0.0000"/>
    <numFmt numFmtId="168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7F7F7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EDEDED"/>
        <bgColor rgb="FFE2EFDA"/>
      </patternFill>
    </fill>
    <fill>
      <patternFill patternType="solid">
        <fgColor rgb="FF1F4E78"/>
        <bgColor rgb="FF003366"/>
      </patternFill>
    </fill>
    <fill>
      <patternFill patternType="solid">
        <fgColor rgb="FFE2EFDA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B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8"/>
  </cols>
  <sheetData>
    <row r="1" customFormat="false" ht="32.8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2"/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2" t="s">
        <v>3</v>
      </c>
    </row>
    <row r="6" customFormat="false" ht="23.85" hidden="false" customHeight="false" outlineLevel="0" collapsed="false">
      <c r="B6" s="2" t="s">
        <v>4</v>
      </c>
    </row>
    <row r="7" customFormat="false" ht="15" hidden="false" customHeight="false" outlineLevel="0" collapsed="false">
      <c r="B7" s="2" t="s">
        <v>5</v>
      </c>
    </row>
    <row r="8" customFormat="false" ht="15" hidden="false" customHeight="false" outlineLevel="0" collapsed="false">
      <c r="B8" s="2"/>
    </row>
    <row r="9" customFormat="false" ht="15" hidden="false" customHeight="false" outlineLevel="0" collapsed="false">
      <c r="B9" s="3" t="s">
        <v>6</v>
      </c>
    </row>
    <row r="10" customFormat="false" ht="15" hidden="false" customHeight="false" outlineLevel="0" collapsed="false">
      <c r="B10" s="4" t="s">
        <v>7</v>
      </c>
    </row>
    <row r="11" customFormat="false" ht="23.85" hidden="false" customHeight="false" outlineLevel="0" collapsed="false">
      <c r="B11" s="5" t="s">
        <v>8</v>
      </c>
    </row>
    <row r="12" customFormat="false" ht="15" hidden="false" customHeight="false" outlineLevel="0" collapsed="false">
      <c r="B12" s="2"/>
    </row>
    <row r="13" customFormat="false" ht="15" hidden="false" customHeight="false" outlineLevel="0" collapsed="false">
      <c r="B13" s="3" t="s">
        <v>9</v>
      </c>
    </row>
    <row r="14" customFormat="false" ht="23.85" hidden="false" customHeight="false" outlineLevel="0" collapsed="false">
      <c r="B14" s="2" t="s">
        <v>10</v>
      </c>
    </row>
    <row r="15" customFormat="false" ht="23.85" hidden="false" customHeight="false" outlineLevel="0" collapsed="false">
      <c r="B15" s="2" t="s">
        <v>11</v>
      </c>
    </row>
    <row r="16" customFormat="false" ht="15" hidden="false" customHeight="false" outlineLevel="0" collapsed="false">
      <c r="B16" s="2"/>
    </row>
    <row r="17" customFormat="false" ht="15" hidden="false" customHeight="false" outlineLevel="0" collapsed="false">
      <c r="B17" s="6" t="s">
        <v>12</v>
      </c>
    </row>
    <row r="18" customFormat="false" ht="15" hidden="false" customHeight="false" outlineLevel="0" collapsed="false">
      <c r="B18" s="2"/>
    </row>
    <row r="19" customFormat="false" ht="22.35" hidden="false" customHeight="false" outlineLevel="0" collapsed="false">
      <c r="B19" s="6" t="s">
        <v>13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2" min="2" style="0" width="21"/>
  </cols>
  <sheetData>
    <row r="1" customFormat="false" ht="17.35" hidden="false" customHeight="false" outlineLevel="0" collapsed="false">
      <c r="A1" s="7" t="s">
        <v>14</v>
      </c>
    </row>
    <row r="2" customFormat="false" ht="15" hidden="false" customHeight="false" outlineLevel="0" collapsed="false">
      <c r="A2" s="8" t="s">
        <v>15</v>
      </c>
    </row>
    <row r="4" customFormat="false" ht="15" hidden="false" customHeight="false" outlineLevel="0" collapsed="false">
      <c r="A4" s="9" t="s">
        <v>16</v>
      </c>
    </row>
    <row r="5" customFormat="false" ht="31.5" hidden="false" customHeight="true" outlineLevel="0" collapsed="false">
      <c r="A5" s="10" t="s">
        <v>17</v>
      </c>
      <c r="B5" s="10" t="s">
        <v>18</v>
      </c>
      <c r="C5" s="10" t="s">
        <v>19</v>
      </c>
      <c r="D5" s="10" t="s">
        <v>20</v>
      </c>
      <c r="E5" s="10" t="s">
        <v>21</v>
      </c>
    </row>
    <row r="6" customFormat="false" ht="15" hidden="false" customHeight="false" outlineLevel="0" collapsed="false">
      <c r="A6" s="11" t="s">
        <v>22</v>
      </c>
      <c r="B6" s="11" t="n">
        <v>112</v>
      </c>
      <c r="C6" s="11" t="n">
        <v>115</v>
      </c>
      <c r="D6" s="11" t="n">
        <v>110</v>
      </c>
    </row>
    <row r="7" customFormat="false" ht="15" hidden="false" customHeight="false" outlineLevel="0" collapsed="false">
      <c r="A7" s="12"/>
      <c r="B7" s="12"/>
      <c r="C7" s="12"/>
      <c r="D7" s="12"/>
      <c r="E7" s="13" t="str">
        <f aca="false">IF(COUNT(B7:D7)&gt;=2,VAR(B7:D7),"")</f>
        <v/>
      </c>
    </row>
    <row r="8" customFormat="false" ht="15" hidden="false" customHeight="false" outlineLevel="0" collapsed="false">
      <c r="A8" s="12"/>
      <c r="B8" s="12"/>
      <c r="C8" s="12"/>
      <c r="D8" s="12"/>
      <c r="E8" s="13" t="str">
        <f aca="false">IF(COUNT(B8:D8)&gt;=2,VAR(B8:D8),"")</f>
        <v/>
      </c>
    </row>
    <row r="9" customFormat="false" ht="15" hidden="false" customHeight="false" outlineLevel="0" collapsed="false">
      <c r="A9" s="12"/>
      <c r="B9" s="12"/>
      <c r="C9" s="12"/>
      <c r="D9" s="12"/>
      <c r="E9" s="13" t="str">
        <f aca="false">IF(COUNT(B9:D9)&gt;=2,VAR(B9:D9),"")</f>
        <v/>
      </c>
    </row>
    <row r="10" customFormat="false" ht="15" hidden="false" customHeight="false" outlineLevel="0" collapsed="false">
      <c r="A10" s="12"/>
      <c r="B10" s="12"/>
      <c r="C10" s="12"/>
      <c r="D10" s="12"/>
      <c r="E10" s="13" t="str">
        <f aca="false">IF(COUNT(B10:D10)&gt;=2,VAR(B10:D10),"")</f>
        <v/>
      </c>
    </row>
    <row r="11" customFormat="false" ht="15" hidden="false" customHeight="false" outlineLevel="0" collapsed="false">
      <c r="A11" s="12"/>
      <c r="B11" s="12"/>
      <c r="C11" s="12"/>
      <c r="D11" s="12"/>
      <c r="E11" s="13" t="str">
        <f aca="false">IF(COUNT(B11:D11)&gt;=2,VAR(B11:D11),"")</f>
        <v/>
      </c>
    </row>
    <row r="12" customFormat="false" ht="15" hidden="false" customHeight="false" outlineLevel="0" collapsed="false">
      <c r="A12" s="12"/>
      <c r="B12" s="12"/>
      <c r="C12" s="12"/>
      <c r="D12" s="12"/>
      <c r="E12" s="13" t="str">
        <f aca="false">IF(COUNT(B12:D12)&gt;=2,VAR(B12:D12),"")</f>
        <v/>
      </c>
    </row>
    <row r="13" customFormat="false" ht="15" hidden="false" customHeight="false" outlineLevel="0" collapsed="false">
      <c r="A13" s="12"/>
      <c r="B13" s="12"/>
      <c r="C13" s="12"/>
      <c r="D13" s="12"/>
      <c r="E13" s="13" t="str">
        <f aca="false">IF(COUNT(B13:D13)&gt;=2,VAR(B13:D13),"")</f>
        <v/>
      </c>
    </row>
    <row r="14" customFormat="false" ht="15" hidden="false" customHeight="false" outlineLevel="0" collapsed="false">
      <c r="A14" s="12"/>
      <c r="B14" s="12"/>
      <c r="C14" s="12"/>
      <c r="D14" s="12"/>
      <c r="E14" s="13" t="str">
        <f aca="false">IF(COUNT(B14:D14)&gt;=2,VAR(B14:D14),"")</f>
        <v/>
      </c>
    </row>
    <row r="15" customFormat="false" ht="15" hidden="false" customHeight="false" outlineLevel="0" collapsed="false">
      <c r="A15" s="12"/>
      <c r="B15" s="12"/>
      <c r="C15" s="12"/>
      <c r="D15" s="12"/>
      <c r="E15" s="13" t="str">
        <f aca="false">IF(COUNT(B15:D15)&gt;=2,VAR(B15:D15),"")</f>
        <v/>
      </c>
    </row>
    <row r="16" customFormat="false" ht="15" hidden="false" customHeight="false" outlineLevel="0" collapsed="false">
      <c r="A16" s="12"/>
      <c r="B16" s="12"/>
      <c r="C16" s="12"/>
      <c r="D16" s="12"/>
      <c r="E16" s="13" t="str">
        <f aca="false">IF(COUNT(B16:D16)&gt;=2,VAR(B16:D16),"")</f>
        <v/>
      </c>
    </row>
    <row r="17" customFormat="false" ht="15" hidden="false" customHeight="false" outlineLevel="0" collapsed="false">
      <c r="A17" s="12"/>
      <c r="B17" s="12"/>
      <c r="C17" s="12"/>
      <c r="D17" s="12"/>
      <c r="E17" s="13" t="str">
        <f aca="false">IF(COUNT(B17:D17)&gt;=2,VAR(B17:D17),"")</f>
        <v/>
      </c>
    </row>
    <row r="18" customFormat="false" ht="15" hidden="false" customHeight="false" outlineLevel="0" collapsed="false">
      <c r="A18" s="12"/>
      <c r="B18" s="12"/>
      <c r="C18" s="12"/>
      <c r="D18" s="12"/>
      <c r="E18" s="13" t="str">
        <f aca="false">IF(COUNT(B18:D18)&gt;=2,VAR(B18:D18),"")</f>
        <v/>
      </c>
    </row>
    <row r="19" customFormat="false" ht="15" hidden="false" customHeight="false" outlineLevel="0" collapsed="false">
      <c r="A19" s="12"/>
      <c r="B19" s="12"/>
      <c r="C19" s="12"/>
      <c r="D19" s="12"/>
      <c r="E19" s="13" t="str">
        <f aca="false">IF(COUNT(B19:D19)&gt;=2,VAR(B19:D19),"")</f>
        <v/>
      </c>
    </row>
    <row r="20" customFormat="false" ht="15" hidden="false" customHeight="false" outlineLevel="0" collapsed="false">
      <c r="A20" s="12"/>
      <c r="B20" s="12"/>
      <c r="C20" s="12"/>
      <c r="D20" s="12"/>
      <c r="E20" s="13" t="str">
        <f aca="false">IF(COUNT(B20:D20)&gt;=2,VAR(B20:D20),"")</f>
        <v/>
      </c>
    </row>
    <row r="21" customFormat="false" ht="15" hidden="false" customHeight="false" outlineLevel="0" collapsed="false">
      <c r="A21" s="12"/>
      <c r="B21" s="12"/>
      <c r="C21" s="12"/>
      <c r="D21" s="12"/>
      <c r="E21" s="13" t="str">
        <f aca="false">IF(COUNT(B21:D21)&gt;=2,VAR(B21:D21),"")</f>
        <v/>
      </c>
    </row>
    <row r="22" customFormat="false" ht="15" hidden="false" customHeight="false" outlineLevel="0" collapsed="false">
      <c r="A22" s="12"/>
      <c r="B22" s="12"/>
      <c r="C22" s="12"/>
      <c r="D22" s="12"/>
      <c r="E22" s="13" t="str">
        <f aca="false">IF(COUNT(B22:D22)&gt;=2,VAR(B22:D22),"")</f>
        <v/>
      </c>
    </row>
    <row r="23" customFormat="false" ht="15" hidden="false" customHeight="false" outlineLevel="0" collapsed="false">
      <c r="A23" s="12"/>
      <c r="B23" s="12"/>
      <c r="C23" s="12"/>
      <c r="D23" s="12"/>
      <c r="E23" s="13" t="str">
        <f aca="false">IF(COUNT(B23:D23)&gt;=2,VAR(B23:D23),"")</f>
        <v/>
      </c>
    </row>
    <row r="24" customFormat="false" ht="15" hidden="false" customHeight="false" outlineLevel="0" collapsed="false">
      <c r="A24" s="12"/>
      <c r="B24" s="12"/>
      <c r="C24" s="12"/>
      <c r="D24" s="12"/>
      <c r="E24" s="13" t="str">
        <f aca="false">IF(COUNT(B24:D24)&gt;=2,VAR(B24:D24),"")</f>
        <v/>
      </c>
    </row>
    <row r="25" customFormat="false" ht="15" hidden="false" customHeight="false" outlineLevel="0" collapsed="false">
      <c r="A25" s="12"/>
      <c r="B25" s="12"/>
      <c r="C25" s="12"/>
      <c r="D25" s="12"/>
      <c r="E25" s="13" t="str">
        <f aca="false">IF(COUNT(B25:D25)&gt;=2,VAR(B25:D25),"")</f>
        <v/>
      </c>
    </row>
    <row r="26" customFormat="false" ht="15" hidden="false" customHeight="false" outlineLevel="0" collapsed="false">
      <c r="A26" s="12"/>
      <c r="B26" s="12"/>
      <c r="C26" s="12"/>
      <c r="D26" s="12"/>
      <c r="E26" s="13" t="str">
        <f aca="false">IF(COUNT(B26:D26)&gt;=2,VAR(B26:D26),"")</f>
        <v/>
      </c>
    </row>
    <row r="27" customFormat="false" ht="15" hidden="false" customHeight="false" outlineLevel="0" collapsed="false">
      <c r="A27" s="12"/>
      <c r="B27" s="12"/>
      <c r="C27" s="12"/>
      <c r="D27" s="12"/>
      <c r="E27" s="13" t="str">
        <f aca="false">IF(COUNT(B27:D27)&gt;=2,VAR(B27:D27),"")</f>
        <v/>
      </c>
    </row>
    <row r="28" customFormat="false" ht="15" hidden="false" customHeight="false" outlineLevel="0" collapsed="false">
      <c r="A28" s="12"/>
      <c r="B28" s="12"/>
      <c r="C28" s="12"/>
      <c r="D28" s="12"/>
      <c r="E28" s="13" t="str">
        <f aca="false">IF(COUNT(B28:D28)&gt;=2,VAR(B28:D28),"")</f>
        <v/>
      </c>
    </row>
    <row r="29" customFormat="false" ht="15" hidden="false" customHeight="false" outlineLevel="0" collapsed="false">
      <c r="A29" s="12"/>
      <c r="B29" s="12"/>
      <c r="C29" s="12"/>
      <c r="D29" s="12"/>
      <c r="E29" s="13" t="str">
        <f aca="false">IF(COUNT(B29:D29)&gt;=2,VAR(B29:D29),"")</f>
        <v/>
      </c>
    </row>
    <row r="30" customFormat="false" ht="15" hidden="false" customHeight="false" outlineLevel="0" collapsed="false">
      <c r="A30" s="12"/>
      <c r="B30" s="12"/>
      <c r="C30" s="12"/>
      <c r="D30" s="12"/>
      <c r="E30" s="13" t="str">
        <f aca="false">IF(COUNT(B30:D30)&gt;=2,VAR(B30:D30),"")</f>
        <v/>
      </c>
    </row>
    <row r="31" customFormat="false" ht="15" hidden="false" customHeight="false" outlineLevel="0" collapsed="false">
      <c r="A31" s="12"/>
      <c r="B31" s="12"/>
      <c r="C31" s="12"/>
      <c r="D31" s="12"/>
      <c r="E31" s="13" t="str">
        <f aca="false">IF(COUNT(B31:D31)&gt;=2,VAR(B31:D31),"")</f>
        <v/>
      </c>
    </row>
    <row r="32" customFormat="false" ht="15" hidden="false" customHeight="false" outlineLevel="0" collapsed="false">
      <c r="A32" s="12"/>
      <c r="B32" s="12"/>
      <c r="C32" s="12"/>
      <c r="D32" s="12"/>
      <c r="E32" s="13" t="str">
        <f aca="false">IF(COUNT(B32:D32)&gt;=2,VAR(B32:D32),"")</f>
        <v/>
      </c>
    </row>
    <row r="33" customFormat="false" ht="15" hidden="false" customHeight="false" outlineLevel="0" collapsed="false">
      <c r="A33" s="12"/>
      <c r="B33" s="12"/>
      <c r="C33" s="12"/>
      <c r="D33" s="12"/>
      <c r="E33" s="13" t="str">
        <f aca="false">IF(COUNT(B33:D33)&gt;=2,VAR(B33:D33),"")</f>
        <v/>
      </c>
    </row>
    <row r="34" customFormat="false" ht="15" hidden="false" customHeight="false" outlineLevel="0" collapsed="false">
      <c r="A34" s="12"/>
      <c r="B34" s="12"/>
      <c r="C34" s="12"/>
      <c r="D34" s="12"/>
      <c r="E34" s="13" t="str">
        <f aca="false">IF(COUNT(B34:D34)&gt;=2,VAR(B34:D34),"")</f>
        <v/>
      </c>
    </row>
    <row r="35" customFormat="false" ht="15" hidden="false" customHeight="false" outlineLevel="0" collapsed="false">
      <c r="A35" s="12"/>
      <c r="B35" s="12"/>
      <c r="C35" s="12"/>
      <c r="D35" s="12"/>
      <c r="E35" s="13" t="str">
        <f aca="false">IF(COUNT(B35:D35)&gt;=2,VAR(B35:D35),"")</f>
        <v/>
      </c>
    </row>
    <row r="36" customFormat="false" ht="15" hidden="false" customHeight="false" outlineLevel="0" collapsed="false">
      <c r="A36" s="12"/>
      <c r="B36" s="12"/>
      <c r="C36" s="12"/>
      <c r="D36" s="12"/>
      <c r="E36" s="13" t="str">
        <f aca="false">IF(COUNT(B36:D36)&gt;=2,VAR(B36:D36),"")</f>
        <v/>
      </c>
    </row>
    <row r="39" customFormat="false" ht="15" hidden="false" customHeight="false" outlineLevel="0" collapsed="false">
      <c r="A39" s="9" t="s">
        <v>23</v>
      </c>
    </row>
    <row r="40" customFormat="false" ht="31.5" hidden="false" customHeight="true" outlineLevel="0" collapsed="false">
      <c r="A40" s="10" t="s">
        <v>17</v>
      </c>
      <c r="B40" s="10" t="s">
        <v>24</v>
      </c>
      <c r="C40" s="10" t="s">
        <v>25</v>
      </c>
      <c r="D40" s="10" t="s">
        <v>26</v>
      </c>
      <c r="E40" s="10" t="s">
        <v>27</v>
      </c>
      <c r="F40" s="10" t="s">
        <v>28</v>
      </c>
      <c r="G40" s="10" t="s">
        <v>29</v>
      </c>
    </row>
    <row r="41" customFormat="false" ht="15" hidden="false" customHeight="false" outlineLevel="0" collapsed="false">
      <c r="A41" s="11" t="s">
        <v>22</v>
      </c>
      <c r="B41" s="11" t="n">
        <v>112</v>
      </c>
      <c r="C41" s="11" t="n">
        <v>114</v>
      </c>
      <c r="D41" s="11" t="n">
        <v>72</v>
      </c>
      <c r="E41" s="11" t="n">
        <v>82</v>
      </c>
    </row>
    <row r="42" customFormat="false" ht="15" hidden="false" customHeight="false" outlineLevel="0" collapsed="false">
      <c r="A42" s="12"/>
      <c r="B42" s="12"/>
      <c r="C42" s="12"/>
      <c r="D42" s="12"/>
      <c r="E42" s="12"/>
      <c r="F42" s="13" t="str">
        <f aca="false">IF(AND(ISNUMBER(B42),ISNUMBER(C42)),C42-B42,"")</f>
        <v/>
      </c>
      <c r="G42" s="13" t="str">
        <f aca="false">IF(AND(ISNUMBER(D42),ISNUMBER(E42)),E42-D42,"")</f>
        <v/>
      </c>
    </row>
    <row r="43" customFormat="false" ht="15" hidden="false" customHeight="false" outlineLevel="0" collapsed="false">
      <c r="A43" s="12"/>
      <c r="B43" s="12"/>
      <c r="C43" s="12"/>
      <c r="D43" s="12"/>
      <c r="E43" s="12"/>
      <c r="F43" s="13" t="str">
        <f aca="false">IF(AND(ISNUMBER(B43),ISNUMBER(C43)),C43-B43,"")</f>
        <v/>
      </c>
      <c r="G43" s="13" t="str">
        <f aca="false">IF(AND(ISNUMBER(D43),ISNUMBER(E43)),E43-D43,"")</f>
        <v/>
      </c>
    </row>
    <row r="44" customFormat="false" ht="15" hidden="false" customHeight="false" outlineLevel="0" collapsed="false">
      <c r="A44" s="12"/>
      <c r="B44" s="12"/>
      <c r="C44" s="12"/>
      <c r="D44" s="12"/>
      <c r="E44" s="12"/>
      <c r="F44" s="13" t="str">
        <f aca="false">IF(AND(ISNUMBER(B44),ISNUMBER(C44)),C44-B44,"")</f>
        <v/>
      </c>
      <c r="G44" s="13" t="str">
        <f aca="false">IF(AND(ISNUMBER(D44),ISNUMBER(E44)),E44-D44,"")</f>
        <v/>
      </c>
    </row>
    <row r="45" customFormat="false" ht="15" hidden="false" customHeight="false" outlineLevel="0" collapsed="false">
      <c r="A45" s="12"/>
      <c r="B45" s="12"/>
      <c r="C45" s="12"/>
      <c r="D45" s="12"/>
      <c r="E45" s="12"/>
      <c r="F45" s="13" t="str">
        <f aca="false">IF(AND(ISNUMBER(B45),ISNUMBER(C45)),C45-B45,"")</f>
        <v/>
      </c>
      <c r="G45" s="13" t="str">
        <f aca="false">IF(AND(ISNUMBER(D45),ISNUMBER(E45)),E45-D45,"")</f>
        <v/>
      </c>
    </row>
    <row r="46" customFormat="false" ht="15" hidden="false" customHeight="false" outlineLevel="0" collapsed="false">
      <c r="A46" s="12"/>
      <c r="B46" s="12"/>
      <c r="C46" s="12"/>
      <c r="D46" s="12"/>
      <c r="E46" s="12"/>
      <c r="F46" s="13" t="str">
        <f aca="false">IF(AND(ISNUMBER(B46),ISNUMBER(C46)),C46-B46,"")</f>
        <v/>
      </c>
      <c r="G46" s="13" t="str">
        <f aca="false">IF(AND(ISNUMBER(D46),ISNUMBER(E46)),E46-D46,"")</f>
        <v/>
      </c>
    </row>
    <row r="47" customFormat="false" ht="15" hidden="false" customHeight="false" outlineLevel="0" collapsed="false">
      <c r="A47" s="12"/>
      <c r="B47" s="12"/>
      <c r="C47" s="12"/>
      <c r="D47" s="12"/>
      <c r="E47" s="12"/>
      <c r="F47" s="13" t="str">
        <f aca="false">IF(AND(ISNUMBER(B47),ISNUMBER(C47)),C47-B47,"")</f>
        <v/>
      </c>
      <c r="G47" s="13" t="str">
        <f aca="false">IF(AND(ISNUMBER(D47),ISNUMBER(E47)),E47-D47,"")</f>
        <v/>
      </c>
    </row>
    <row r="48" customFormat="false" ht="15" hidden="false" customHeight="false" outlineLevel="0" collapsed="false">
      <c r="A48" s="12"/>
      <c r="B48" s="12"/>
      <c r="C48" s="12"/>
      <c r="D48" s="12"/>
      <c r="E48" s="12"/>
      <c r="F48" s="13" t="str">
        <f aca="false">IF(AND(ISNUMBER(B48),ISNUMBER(C48)),C48-B48,"")</f>
        <v/>
      </c>
      <c r="G48" s="13" t="str">
        <f aca="false">IF(AND(ISNUMBER(D48),ISNUMBER(E48)),E48-D48,"")</f>
        <v/>
      </c>
    </row>
    <row r="49" customFormat="false" ht="15" hidden="false" customHeight="false" outlineLevel="0" collapsed="false">
      <c r="A49" s="12"/>
      <c r="B49" s="12"/>
      <c r="C49" s="12"/>
      <c r="D49" s="12"/>
      <c r="E49" s="12"/>
      <c r="F49" s="13" t="str">
        <f aca="false">IF(AND(ISNUMBER(B49),ISNUMBER(C49)),C49-B49,"")</f>
        <v/>
      </c>
      <c r="G49" s="13" t="str">
        <f aca="false">IF(AND(ISNUMBER(D49),ISNUMBER(E49)),E49-D49,"")</f>
        <v/>
      </c>
    </row>
    <row r="50" customFormat="false" ht="15" hidden="false" customHeight="false" outlineLevel="0" collapsed="false">
      <c r="A50" s="12"/>
      <c r="B50" s="12"/>
      <c r="C50" s="12"/>
      <c r="D50" s="12"/>
      <c r="E50" s="12"/>
      <c r="F50" s="13" t="str">
        <f aca="false">IF(AND(ISNUMBER(B50),ISNUMBER(C50)),C50-B50,"")</f>
        <v/>
      </c>
      <c r="G50" s="13" t="str">
        <f aca="false">IF(AND(ISNUMBER(D50),ISNUMBER(E50)),E50-D50,"")</f>
        <v/>
      </c>
    </row>
    <row r="51" customFormat="false" ht="15" hidden="false" customHeight="false" outlineLevel="0" collapsed="false">
      <c r="A51" s="12"/>
      <c r="B51" s="12"/>
      <c r="C51" s="12"/>
      <c r="D51" s="12"/>
      <c r="E51" s="12"/>
      <c r="F51" s="13" t="str">
        <f aca="false">IF(AND(ISNUMBER(B51),ISNUMBER(C51)),C51-B51,"")</f>
        <v/>
      </c>
      <c r="G51" s="13" t="str">
        <f aca="false">IF(AND(ISNUMBER(D51),ISNUMBER(E51)),E51-D51,"")</f>
        <v/>
      </c>
    </row>
    <row r="52" customFormat="false" ht="15" hidden="false" customHeight="false" outlineLevel="0" collapsed="false">
      <c r="A52" s="12"/>
      <c r="B52" s="12"/>
      <c r="C52" s="12"/>
      <c r="D52" s="12"/>
      <c r="E52" s="12"/>
      <c r="F52" s="13" t="str">
        <f aca="false">IF(AND(ISNUMBER(B52),ISNUMBER(C52)),C52-B52,"")</f>
        <v/>
      </c>
      <c r="G52" s="13" t="str">
        <f aca="false">IF(AND(ISNUMBER(D52),ISNUMBER(E52)),E52-D52,"")</f>
        <v/>
      </c>
    </row>
    <row r="53" customFormat="false" ht="15" hidden="false" customHeight="false" outlineLevel="0" collapsed="false">
      <c r="A53" s="12"/>
      <c r="B53" s="12"/>
      <c r="C53" s="12"/>
      <c r="D53" s="12"/>
      <c r="E53" s="12"/>
      <c r="F53" s="13" t="str">
        <f aca="false">IF(AND(ISNUMBER(B53),ISNUMBER(C53)),C53-B53,"")</f>
        <v/>
      </c>
      <c r="G53" s="13" t="str">
        <f aca="false">IF(AND(ISNUMBER(D53),ISNUMBER(E53)),E53-D53,"")</f>
        <v/>
      </c>
    </row>
    <row r="54" customFormat="false" ht="15" hidden="false" customHeight="false" outlineLevel="0" collapsed="false">
      <c r="A54" s="12"/>
      <c r="B54" s="12"/>
      <c r="C54" s="12"/>
      <c r="D54" s="12"/>
      <c r="E54" s="12"/>
      <c r="F54" s="13" t="str">
        <f aca="false">IF(AND(ISNUMBER(B54),ISNUMBER(C54)),C54-B54,"")</f>
        <v/>
      </c>
      <c r="G54" s="13" t="str">
        <f aca="false">IF(AND(ISNUMBER(D54),ISNUMBER(E54)),E54-D54,"")</f>
        <v/>
      </c>
    </row>
    <row r="55" customFormat="false" ht="15" hidden="false" customHeight="false" outlineLevel="0" collapsed="false">
      <c r="A55" s="12"/>
      <c r="B55" s="12"/>
      <c r="C55" s="12"/>
      <c r="D55" s="12"/>
      <c r="E55" s="12"/>
      <c r="F55" s="13" t="str">
        <f aca="false">IF(AND(ISNUMBER(B55),ISNUMBER(C55)),C55-B55,"")</f>
        <v/>
      </c>
      <c r="G55" s="13" t="str">
        <f aca="false">IF(AND(ISNUMBER(D55),ISNUMBER(E55)),E55-D55,"")</f>
        <v/>
      </c>
    </row>
    <row r="56" customFormat="false" ht="15" hidden="false" customHeight="false" outlineLevel="0" collapsed="false">
      <c r="A56" s="12"/>
      <c r="B56" s="12"/>
      <c r="C56" s="12"/>
      <c r="D56" s="12"/>
      <c r="E56" s="12"/>
      <c r="F56" s="13" t="str">
        <f aca="false">IF(AND(ISNUMBER(B56),ISNUMBER(C56)),C56-B56,"")</f>
        <v/>
      </c>
      <c r="G56" s="13" t="str">
        <f aca="false">IF(AND(ISNUMBER(D56),ISNUMBER(E56)),E56-D56,"")</f>
        <v/>
      </c>
    </row>
    <row r="57" customFormat="false" ht="15" hidden="false" customHeight="false" outlineLevel="0" collapsed="false">
      <c r="A57" s="12"/>
      <c r="B57" s="12"/>
      <c r="C57" s="12"/>
      <c r="D57" s="12"/>
      <c r="E57" s="12"/>
      <c r="F57" s="13" t="str">
        <f aca="false">IF(AND(ISNUMBER(B57),ISNUMBER(C57)),C57-B57,"")</f>
        <v/>
      </c>
      <c r="G57" s="13" t="str">
        <f aca="false">IF(AND(ISNUMBER(D57),ISNUMBER(E57)),E57-D57,"")</f>
        <v/>
      </c>
    </row>
    <row r="58" customFormat="false" ht="15" hidden="false" customHeight="false" outlineLevel="0" collapsed="false">
      <c r="A58" s="12"/>
      <c r="B58" s="12"/>
      <c r="C58" s="12"/>
      <c r="D58" s="12"/>
      <c r="E58" s="12"/>
      <c r="F58" s="13" t="str">
        <f aca="false">IF(AND(ISNUMBER(B58),ISNUMBER(C58)),C58-B58,"")</f>
        <v/>
      </c>
      <c r="G58" s="13" t="str">
        <f aca="false">IF(AND(ISNUMBER(D58),ISNUMBER(E58)),E58-D58,"")</f>
        <v/>
      </c>
    </row>
    <row r="59" customFormat="false" ht="15" hidden="false" customHeight="false" outlineLevel="0" collapsed="false">
      <c r="A59" s="12"/>
      <c r="B59" s="12"/>
      <c r="C59" s="12"/>
      <c r="D59" s="12"/>
      <c r="E59" s="12"/>
      <c r="F59" s="13" t="str">
        <f aca="false">IF(AND(ISNUMBER(B59),ISNUMBER(C59)),C59-B59,"")</f>
        <v/>
      </c>
      <c r="G59" s="13" t="str">
        <f aca="false">IF(AND(ISNUMBER(D59),ISNUMBER(E59)),E59-D59,"")</f>
        <v/>
      </c>
    </row>
    <row r="60" customFormat="false" ht="15" hidden="false" customHeight="false" outlineLevel="0" collapsed="false">
      <c r="A60" s="12"/>
      <c r="B60" s="12"/>
      <c r="C60" s="12"/>
      <c r="D60" s="12"/>
      <c r="E60" s="12"/>
      <c r="F60" s="13" t="str">
        <f aca="false">IF(AND(ISNUMBER(B60),ISNUMBER(C60)),C60-B60,"")</f>
        <v/>
      </c>
      <c r="G60" s="13" t="str">
        <f aca="false">IF(AND(ISNUMBER(D60),ISNUMBER(E60)),E60-D60,"")</f>
        <v/>
      </c>
    </row>
    <row r="61" customFormat="false" ht="15" hidden="false" customHeight="false" outlineLevel="0" collapsed="false">
      <c r="A61" s="12"/>
      <c r="B61" s="12"/>
      <c r="C61" s="12"/>
      <c r="D61" s="12"/>
      <c r="E61" s="12"/>
      <c r="F61" s="13" t="str">
        <f aca="false">IF(AND(ISNUMBER(B61),ISNUMBER(C61)),C61-B61,"")</f>
        <v/>
      </c>
      <c r="G61" s="13" t="str">
        <f aca="false">IF(AND(ISNUMBER(D61),ISNUMBER(E61)),E61-D61,"")</f>
        <v/>
      </c>
    </row>
    <row r="62" customFormat="false" ht="15" hidden="false" customHeight="false" outlineLevel="0" collapsed="false">
      <c r="A62" s="12"/>
      <c r="B62" s="12"/>
      <c r="C62" s="12"/>
      <c r="D62" s="12"/>
      <c r="E62" s="12"/>
      <c r="F62" s="13" t="str">
        <f aca="false">IF(AND(ISNUMBER(B62),ISNUMBER(C62)),C62-B62,"")</f>
        <v/>
      </c>
      <c r="G62" s="13" t="str">
        <f aca="false">IF(AND(ISNUMBER(D62),ISNUMBER(E62)),E62-D62,"")</f>
        <v/>
      </c>
    </row>
    <row r="63" customFormat="false" ht="15" hidden="false" customHeight="false" outlineLevel="0" collapsed="false">
      <c r="A63" s="12"/>
      <c r="B63" s="12"/>
      <c r="C63" s="12"/>
      <c r="D63" s="12"/>
      <c r="E63" s="12"/>
      <c r="F63" s="13" t="str">
        <f aca="false">IF(AND(ISNUMBER(B63),ISNUMBER(C63)),C63-B63,"")</f>
        <v/>
      </c>
      <c r="G63" s="13" t="str">
        <f aca="false">IF(AND(ISNUMBER(D63),ISNUMBER(E63)),E63-D63,"")</f>
        <v/>
      </c>
    </row>
    <row r="64" customFormat="false" ht="15" hidden="false" customHeight="false" outlineLevel="0" collapsed="false">
      <c r="A64" s="12"/>
      <c r="B64" s="12"/>
      <c r="C64" s="12"/>
      <c r="D64" s="12"/>
      <c r="E64" s="12"/>
      <c r="F64" s="13" t="str">
        <f aca="false">IF(AND(ISNUMBER(B64),ISNUMBER(C64)),C64-B64,"")</f>
        <v/>
      </c>
      <c r="G64" s="13" t="str">
        <f aca="false">IF(AND(ISNUMBER(D64),ISNUMBER(E64)),E64-D64,"")</f>
        <v/>
      </c>
    </row>
    <row r="65" customFormat="false" ht="15" hidden="false" customHeight="false" outlineLevel="0" collapsed="false">
      <c r="A65" s="12"/>
      <c r="B65" s="12"/>
      <c r="C65" s="12"/>
      <c r="D65" s="12"/>
      <c r="E65" s="12"/>
      <c r="F65" s="13" t="str">
        <f aca="false">IF(AND(ISNUMBER(B65),ISNUMBER(C65)),C65-B65,"")</f>
        <v/>
      </c>
      <c r="G65" s="13" t="str">
        <f aca="false">IF(AND(ISNUMBER(D65),ISNUMBER(E65)),E65-D65,"")</f>
        <v/>
      </c>
    </row>
    <row r="66" customFormat="false" ht="15" hidden="false" customHeight="false" outlineLevel="0" collapsed="false">
      <c r="A66" s="12"/>
      <c r="B66" s="12"/>
      <c r="C66" s="12"/>
      <c r="D66" s="12"/>
      <c r="E66" s="12"/>
      <c r="F66" s="13" t="str">
        <f aca="false">IF(AND(ISNUMBER(B66),ISNUMBER(C66)),C66-B66,"")</f>
        <v/>
      </c>
      <c r="G66" s="13" t="str">
        <f aca="false">IF(AND(ISNUMBER(D66),ISNUMBER(E66)),E66-D66,"")</f>
        <v/>
      </c>
    </row>
    <row r="67" customFormat="false" ht="15" hidden="false" customHeight="false" outlineLevel="0" collapsed="false">
      <c r="A67" s="12"/>
      <c r="B67" s="12"/>
      <c r="C67" s="12"/>
      <c r="D67" s="12"/>
      <c r="E67" s="12"/>
      <c r="F67" s="13" t="str">
        <f aca="false">IF(AND(ISNUMBER(B67),ISNUMBER(C67)),C67-B67,"")</f>
        <v/>
      </c>
      <c r="G67" s="13" t="str">
        <f aca="false">IF(AND(ISNUMBER(D67),ISNUMBER(E67)),E67-D67,"")</f>
        <v/>
      </c>
    </row>
    <row r="68" customFormat="false" ht="15" hidden="false" customHeight="false" outlineLevel="0" collapsed="false">
      <c r="A68" s="12"/>
      <c r="B68" s="12"/>
      <c r="C68" s="12"/>
      <c r="D68" s="12"/>
      <c r="E68" s="12"/>
      <c r="F68" s="13" t="str">
        <f aca="false">IF(AND(ISNUMBER(B68),ISNUMBER(C68)),C68-B68,"")</f>
        <v/>
      </c>
      <c r="G68" s="13" t="str">
        <f aca="false">IF(AND(ISNUMBER(D68),ISNUMBER(E68)),E68-D68,"")</f>
        <v/>
      </c>
    </row>
    <row r="69" customFormat="false" ht="15" hidden="false" customHeight="false" outlineLevel="0" collapsed="false">
      <c r="A69" s="12"/>
      <c r="B69" s="12"/>
      <c r="C69" s="12"/>
      <c r="D69" s="12"/>
      <c r="E69" s="12"/>
      <c r="F69" s="13" t="str">
        <f aca="false">IF(AND(ISNUMBER(B69),ISNUMBER(C69)),C69-B69,"")</f>
        <v/>
      </c>
      <c r="G69" s="13" t="str">
        <f aca="false">IF(AND(ISNUMBER(D69),ISNUMBER(E69)),E69-D69,"")</f>
        <v/>
      </c>
    </row>
    <row r="70" customFormat="false" ht="15" hidden="false" customHeight="false" outlineLevel="0" collapsed="false">
      <c r="A70" s="12"/>
      <c r="B70" s="12"/>
      <c r="C70" s="12"/>
      <c r="D70" s="12"/>
      <c r="E70" s="12"/>
      <c r="F70" s="13" t="str">
        <f aca="false">IF(AND(ISNUMBER(B70),ISNUMBER(C70)),C70-B70,"")</f>
        <v/>
      </c>
      <c r="G70" s="13" t="str">
        <f aca="false">IF(AND(ISNUMBER(D70),ISNUMBER(E70)),E70-D70,"")</f>
        <v/>
      </c>
    </row>
    <row r="71" customFormat="false" ht="15" hidden="false" customHeight="false" outlineLevel="0" collapsed="false">
      <c r="A71" s="12"/>
      <c r="B71" s="12"/>
      <c r="C71" s="12"/>
      <c r="D71" s="12"/>
      <c r="E71" s="12"/>
      <c r="F71" s="13" t="str">
        <f aca="false">IF(AND(ISNUMBER(B71),ISNUMBER(C71)),C71-B71,"")</f>
        <v/>
      </c>
      <c r="G71" s="13" t="str">
        <f aca="false">IF(AND(ISNUMBER(D71),ISNUMBER(E71)),E71-D71,"")</f>
        <v/>
      </c>
    </row>
    <row r="74" customFormat="false" ht="15" hidden="false" customHeight="false" outlineLevel="0" collapsed="false">
      <c r="A74" s="9" t="s">
        <v>30</v>
      </c>
    </row>
    <row r="75" customFormat="false" ht="31.5" hidden="false" customHeight="true" outlineLevel="0" collapsed="false">
      <c r="A75" s="10" t="s">
        <v>17</v>
      </c>
      <c r="B75" s="10" t="s">
        <v>31</v>
      </c>
      <c r="C75" s="10" t="s">
        <v>32</v>
      </c>
      <c r="D75" s="10" t="s">
        <v>33</v>
      </c>
    </row>
    <row r="76" customFormat="false" ht="15" hidden="false" customHeight="false" outlineLevel="0" collapsed="false">
      <c r="A76" s="11" t="s">
        <v>22</v>
      </c>
      <c r="B76" s="11" t="n">
        <v>112</v>
      </c>
      <c r="C76" s="11" t="n">
        <v>116</v>
      </c>
    </row>
    <row r="77" customFormat="false" ht="15" hidden="false" customHeight="false" outlineLevel="0" collapsed="false">
      <c r="A77" s="12"/>
      <c r="B77" s="12"/>
      <c r="C77" s="12"/>
      <c r="D77" s="13" t="str">
        <f aca="false">IF(AND(ISNUMBER(B77),ISNUMBER(C77)),C77-B77,"")</f>
        <v/>
      </c>
    </row>
    <row r="78" customFormat="false" ht="15" hidden="false" customHeight="false" outlineLevel="0" collapsed="false">
      <c r="A78" s="12"/>
      <c r="B78" s="12"/>
      <c r="C78" s="12"/>
      <c r="D78" s="13" t="str">
        <f aca="false">IF(AND(ISNUMBER(B78),ISNUMBER(C78)),C78-B78,"")</f>
        <v/>
      </c>
    </row>
    <row r="79" customFormat="false" ht="15" hidden="false" customHeight="false" outlineLevel="0" collapsed="false">
      <c r="A79" s="12"/>
      <c r="B79" s="12"/>
      <c r="C79" s="12"/>
      <c r="D79" s="13" t="str">
        <f aca="false">IF(AND(ISNUMBER(B79),ISNUMBER(C79)),C79-B79,"")</f>
        <v/>
      </c>
    </row>
    <row r="80" customFormat="false" ht="15" hidden="false" customHeight="false" outlineLevel="0" collapsed="false">
      <c r="A80" s="12"/>
      <c r="B80" s="12"/>
      <c r="C80" s="12"/>
      <c r="D80" s="13" t="str">
        <f aca="false">IF(AND(ISNUMBER(B80),ISNUMBER(C80)),C80-B80,"")</f>
        <v/>
      </c>
    </row>
    <row r="81" customFormat="false" ht="15" hidden="false" customHeight="false" outlineLevel="0" collapsed="false">
      <c r="A81" s="12"/>
      <c r="B81" s="12"/>
      <c r="C81" s="12"/>
      <c r="D81" s="13" t="str">
        <f aca="false">IF(AND(ISNUMBER(B81),ISNUMBER(C81)),C81-B81,"")</f>
        <v/>
      </c>
    </row>
    <row r="82" customFormat="false" ht="15" hidden="false" customHeight="false" outlineLevel="0" collapsed="false">
      <c r="A82" s="12"/>
      <c r="B82" s="12"/>
      <c r="C82" s="12"/>
      <c r="D82" s="13" t="str">
        <f aca="false">IF(AND(ISNUMBER(B82),ISNUMBER(C82)),C82-B82,"")</f>
        <v/>
      </c>
    </row>
    <row r="83" customFormat="false" ht="15" hidden="false" customHeight="false" outlineLevel="0" collapsed="false">
      <c r="A83" s="12"/>
      <c r="B83" s="12"/>
      <c r="C83" s="12"/>
      <c r="D83" s="13" t="str">
        <f aca="false">IF(AND(ISNUMBER(B83),ISNUMBER(C83)),C83-B83,"")</f>
        <v/>
      </c>
    </row>
    <row r="84" customFormat="false" ht="15" hidden="false" customHeight="false" outlineLevel="0" collapsed="false">
      <c r="A84" s="12"/>
      <c r="B84" s="12"/>
      <c r="C84" s="12"/>
      <c r="D84" s="13" t="str">
        <f aca="false">IF(AND(ISNUMBER(B84),ISNUMBER(C84)),C84-B84,"")</f>
        <v/>
      </c>
    </row>
    <row r="85" customFormat="false" ht="15" hidden="false" customHeight="false" outlineLevel="0" collapsed="false">
      <c r="A85" s="12"/>
      <c r="B85" s="12"/>
      <c r="C85" s="12"/>
      <c r="D85" s="13" t="str">
        <f aca="false">IF(AND(ISNUMBER(B85),ISNUMBER(C85)),C85-B85,"")</f>
        <v/>
      </c>
    </row>
    <row r="86" customFormat="false" ht="15" hidden="false" customHeight="false" outlineLevel="0" collapsed="false">
      <c r="A86" s="12"/>
      <c r="B86" s="12"/>
      <c r="C86" s="12"/>
      <c r="D86" s="13" t="str">
        <f aca="false">IF(AND(ISNUMBER(B86),ISNUMBER(C86)),C86-B86,"")</f>
        <v/>
      </c>
    </row>
    <row r="87" customFormat="false" ht="15" hidden="false" customHeight="false" outlineLevel="0" collapsed="false">
      <c r="A87" s="12"/>
      <c r="B87" s="12"/>
      <c r="C87" s="12"/>
      <c r="D87" s="13" t="str">
        <f aca="false">IF(AND(ISNUMBER(B87),ISNUMBER(C87)),C87-B87,"")</f>
        <v/>
      </c>
    </row>
    <row r="88" customFormat="false" ht="15" hidden="false" customHeight="false" outlineLevel="0" collapsed="false">
      <c r="A88" s="12"/>
      <c r="B88" s="12"/>
      <c r="C88" s="12"/>
      <c r="D88" s="13" t="str">
        <f aca="false">IF(AND(ISNUMBER(B88),ISNUMBER(C88)),C88-B88,"")</f>
        <v/>
      </c>
    </row>
    <row r="89" customFormat="false" ht="15" hidden="false" customHeight="false" outlineLevel="0" collapsed="false">
      <c r="A89" s="12"/>
      <c r="B89" s="12"/>
      <c r="C89" s="12"/>
      <c r="D89" s="13" t="str">
        <f aca="false">IF(AND(ISNUMBER(B89),ISNUMBER(C89)),C89-B89,"")</f>
        <v/>
      </c>
    </row>
    <row r="90" customFormat="false" ht="15" hidden="false" customHeight="false" outlineLevel="0" collapsed="false">
      <c r="A90" s="12"/>
      <c r="B90" s="12"/>
      <c r="C90" s="12"/>
      <c r="D90" s="13" t="str">
        <f aca="false">IF(AND(ISNUMBER(B90),ISNUMBER(C90)),C90-B90,"")</f>
        <v/>
      </c>
    </row>
    <row r="91" customFormat="false" ht="15" hidden="false" customHeight="false" outlineLevel="0" collapsed="false">
      <c r="A91" s="12"/>
      <c r="B91" s="12"/>
      <c r="C91" s="12"/>
      <c r="D91" s="13" t="str">
        <f aca="false">IF(AND(ISNUMBER(B91),ISNUMBER(C91)),C91-B91,"")</f>
        <v/>
      </c>
    </row>
    <row r="92" customFormat="false" ht="15" hidden="false" customHeight="false" outlineLevel="0" collapsed="false">
      <c r="A92" s="12"/>
      <c r="B92" s="12"/>
      <c r="C92" s="12"/>
      <c r="D92" s="13" t="str">
        <f aca="false">IF(AND(ISNUMBER(B92),ISNUMBER(C92)),C92-B92,"")</f>
        <v/>
      </c>
    </row>
    <row r="93" customFormat="false" ht="15" hidden="false" customHeight="false" outlineLevel="0" collapsed="false">
      <c r="A93" s="12"/>
      <c r="B93" s="12"/>
      <c r="C93" s="12"/>
      <c r="D93" s="13" t="str">
        <f aca="false">IF(AND(ISNUMBER(B93),ISNUMBER(C93)),C93-B93,"")</f>
        <v/>
      </c>
    </row>
    <row r="94" customFormat="false" ht="15" hidden="false" customHeight="false" outlineLevel="0" collapsed="false">
      <c r="A94" s="12"/>
      <c r="B94" s="12"/>
      <c r="C94" s="12"/>
      <c r="D94" s="13" t="str">
        <f aca="false">IF(AND(ISNUMBER(B94),ISNUMBER(C94)),C94-B94,"")</f>
        <v/>
      </c>
    </row>
    <row r="95" customFormat="false" ht="15" hidden="false" customHeight="false" outlineLevel="0" collapsed="false">
      <c r="A95" s="12"/>
      <c r="B95" s="12"/>
      <c r="C95" s="12"/>
      <c r="D95" s="13" t="str">
        <f aca="false">IF(AND(ISNUMBER(B95),ISNUMBER(C95)),C95-B95,"")</f>
        <v/>
      </c>
    </row>
    <row r="96" customFormat="false" ht="15" hidden="false" customHeight="false" outlineLevel="0" collapsed="false">
      <c r="A96" s="12"/>
      <c r="B96" s="12"/>
      <c r="C96" s="12"/>
      <c r="D96" s="13" t="str">
        <f aca="false">IF(AND(ISNUMBER(B96),ISNUMBER(C96)),C96-B96,"")</f>
        <v/>
      </c>
    </row>
    <row r="97" customFormat="false" ht="15" hidden="false" customHeight="false" outlineLevel="0" collapsed="false">
      <c r="A97" s="12"/>
      <c r="B97" s="12"/>
      <c r="C97" s="12"/>
      <c r="D97" s="13" t="str">
        <f aca="false">IF(AND(ISNUMBER(B97),ISNUMBER(C97)),C97-B97,"")</f>
        <v/>
      </c>
    </row>
    <row r="98" customFormat="false" ht="15" hidden="false" customHeight="false" outlineLevel="0" collapsed="false">
      <c r="A98" s="12"/>
      <c r="B98" s="12"/>
      <c r="C98" s="12"/>
      <c r="D98" s="13" t="str">
        <f aca="false">IF(AND(ISNUMBER(B98),ISNUMBER(C98)),C98-B98,"")</f>
        <v/>
      </c>
    </row>
    <row r="99" customFormat="false" ht="15" hidden="false" customHeight="false" outlineLevel="0" collapsed="false">
      <c r="A99" s="12"/>
      <c r="B99" s="12"/>
      <c r="C99" s="12"/>
      <c r="D99" s="13" t="str">
        <f aca="false">IF(AND(ISNUMBER(B99),ISNUMBER(C99)),C99-B99,"")</f>
        <v/>
      </c>
    </row>
    <row r="100" customFormat="false" ht="15" hidden="false" customHeight="false" outlineLevel="0" collapsed="false">
      <c r="A100" s="12"/>
      <c r="B100" s="12"/>
      <c r="C100" s="12"/>
      <c r="D100" s="13" t="str">
        <f aca="false">IF(AND(ISNUMBER(B100),ISNUMBER(C100)),C100-B100,"")</f>
        <v/>
      </c>
    </row>
    <row r="101" customFormat="false" ht="15" hidden="false" customHeight="false" outlineLevel="0" collapsed="false">
      <c r="A101" s="12"/>
      <c r="B101" s="12"/>
      <c r="C101" s="12"/>
      <c r="D101" s="13" t="str">
        <f aca="false">IF(AND(ISNUMBER(B101),ISNUMBER(C101)),C101-B101,"")</f>
        <v/>
      </c>
    </row>
    <row r="102" customFormat="false" ht="15" hidden="false" customHeight="false" outlineLevel="0" collapsed="false">
      <c r="A102" s="12"/>
      <c r="B102" s="12"/>
      <c r="C102" s="12"/>
      <c r="D102" s="13" t="str">
        <f aca="false">IF(AND(ISNUMBER(B102),ISNUMBER(C102)),C102-B102,"")</f>
        <v/>
      </c>
    </row>
    <row r="103" customFormat="false" ht="15" hidden="false" customHeight="false" outlineLevel="0" collapsed="false">
      <c r="A103" s="12"/>
      <c r="B103" s="12"/>
      <c r="C103" s="12"/>
      <c r="D103" s="13" t="str">
        <f aca="false">IF(AND(ISNUMBER(B103),ISNUMBER(C103)),C103-B103,"")</f>
        <v/>
      </c>
    </row>
    <row r="104" customFormat="false" ht="15" hidden="false" customHeight="false" outlineLevel="0" collapsed="false">
      <c r="A104" s="12"/>
      <c r="B104" s="12"/>
      <c r="C104" s="12"/>
      <c r="D104" s="13" t="str">
        <f aca="false">IF(AND(ISNUMBER(B104),ISNUMBER(C104)),C104-B104,"")</f>
        <v/>
      </c>
    </row>
    <row r="105" customFormat="false" ht="15" hidden="false" customHeight="false" outlineLevel="0" collapsed="false">
      <c r="A105" s="12"/>
      <c r="B105" s="12"/>
      <c r="C105" s="12"/>
      <c r="D105" s="13" t="str">
        <f aca="false">IF(AND(ISNUMBER(B105),ISNUMBER(C105)),C105-B105,"")</f>
        <v/>
      </c>
    </row>
    <row r="106" customFormat="false" ht="15" hidden="false" customHeight="false" outlineLevel="0" collapsed="false">
      <c r="A106" s="12"/>
      <c r="B106" s="12"/>
      <c r="C106" s="12"/>
      <c r="D106" s="13" t="str">
        <f aca="false">IF(AND(ISNUMBER(B106),ISNUMBER(C106)),C106-B106,"")</f>
        <v/>
      </c>
    </row>
  </sheetData>
  <sheetProtection sheet="true" formatColumns="false"/>
  <dataValidations count="1">
    <dataValidation allowBlank="true" error="Enter a number." errorStyle="stop" errorTitle="Number needed" operator="between" showDropDown="false" showErrorMessage="true" showInputMessage="false" sqref="B7:D36 B42:E71 B77:C106" type="decimal">
      <formula1>-1000000000</formula1>
      <formula2>1000000000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D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4"/>
    <col collapsed="false" customWidth="true" hidden="false" outlineLevel="0" max="14" min="3" style="0" width="15"/>
  </cols>
  <sheetData>
    <row r="1" customFormat="false" ht="17.35" hidden="false" customHeight="false" outlineLevel="0" collapsed="false">
      <c r="B1" s="7" t="s">
        <v>34</v>
      </c>
    </row>
    <row r="2" customFormat="false" ht="15" hidden="false" customHeight="false" outlineLevel="0" collapsed="false">
      <c r="B2" s="8" t="s">
        <v>35</v>
      </c>
    </row>
    <row r="4" customFormat="false" ht="15" hidden="false" customHeight="false" outlineLevel="0" collapsed="false">
      <c r="B4" s="9" t="s">
        <v>36</v>
      </c>
    </row>
    <row r="5" customFormat="false" ht="15" hidden="false" customHeight="false" outlineLevel="0" collapsed="false">
      <c r="B5" s="14" t="s">
        <v>37</v>
      </c>
      <c r="C5" s="15" t="str">
        <f aca="false">IFERROR(SQRT(AVERAGE('Enter data'!$E$7:$E$36)),"")</f>
        <v/>
      </c>
    </row>
    <row r="6" customFormat="false" ht="15" hidden="false" customHeight="false" outlineLevel="0" collapsed="false">
      <c r="B6" s="14" t="s">
        <v>38</v>
      </c>
      <c r="C6" s="15" t="str">
        <f aca="false">IFERROR(1.96*SQRT(2)*$C$5,"")</f>
        <v/>
      </c>
    </row>
    <row r="8" customFormat="false" ht="15" hidden="false" customHeight="false" outlineLevel="0" collapsed="false">
      <c r="B8" s="9" t="s">
        <v>39</v>
      </c>
    </row>
    <row r="9" customFormat="false" ht="30" hidden="false" customHeight="true" outlineLevel="0" collapsed="false">
      <c r="B9" s="10" t="s">
        <v>40</v>
      </c>
      <c r="C9" s="10" t="s">
        <v>41</v>
      </c>
    </row>
    <row r="10" customFormat="false" ht="15" hidden="false" customHeight="false" outlineLevel="0" collapsed="false">
      <c r="B10" s="16" t="n">
        <v>1</v>
      </c>
      <c r="C10" s="17" t="str">
        <f aca="false">IFERROR($C$5/SQRT(B10),"")</f>
        <v/>
      </c>
    </row>
    <row r="11" customFormat="false" ht="15" hidden="false" customHeight="false" outlineLevel="0" collapsed="false">
      <c r="B11" s="16" t="n">
        <v>2</v>
      </c>
      <c r="C11" s="17" t="str">
        <f aca="false">IFERROR($C$5/SQRT(B11),"")</f>
        <v/>
      </c>
    </row>
    <row r="12" customFormat="false" ht="15" hidden="false" customHeight="false" outlineLevel="0" collapsed="false">
      <c r="B12" s="16" t="n">
        <v>3</v>
      </c>
      <c r="C12" s="17" t="str">
        <f aca="false">IFERROR($C$5/SQRT(B12),"")</f>
        <v/>
      </c>
    </row>
    <row r="13" customFormat="false" ht="15" hidden="false" customHeight="false" outlineLevel="0" collapsed="false">
      <c r="B13" s="16" t="n">
        <v>5</v>
      </c>
      <c r="C13" s="17" t="str">
        <f aca="false">IFERROR($C$5/SQRT(B13),"")</f>
        <v/>
      </c>
    </row>
    <row r="16" customFormat="false" ht="15" hidden="false" customHeight="false" outlineLevel="0" collapsed="false">
      <c r="B16" s="9" t="s">
        <v>42</v>
      </c>
    </row>
    <row r="17" customFormat="false" ht="15" hidden="false" customHeight="false" outlineLevel="0" collapsed="false">
      <c r="B17" s="14" t="s">
        <v>43</v>
      </c>
      <c r="C17" s="18" t="n">
        <f aca="false">IFERROR(COUNT('Enter data'!$F$42:$F$71),"")</f>
        <v>0</v>
      </c>
    </row>
    <row r="18" customFormat="false" ht="15" hidden="false" customHeight="false" outlineLevel="0" collapsed="false">
      <c r="B18" s="14" t="s">
        <v>44</v>
      </c>
      <c r="C18" s="15" t="str">
        <f aca="false">IFERROR(AVERAGE('Enter data'!$F$42:$F$71),"")</f>
        <v/>
      </c>
    </row>
    <row r="19" customFormat="false" ht="15" hidden="false" customHeight="false" outlineLevel="0" collapsed="false">
      <c r="B19" s="14" t="s">
        <v>45</v>
      </c>
      <c r="C19" s="15" t="str">
        <f aca="false">IFERROR(STDEV('Enter data'!$F$42:$F$71),"")</f>
        <v/>
      </c>
    </row>
    <row r="20" customFormat="false" ht="15" hidden="false" customHeight="false" outlineLevel="0" collapsed="false">
      <c r="B20" s="14" t="s">
        <v>46</v>
      </c>
      <c r="C20" s="15" t="str">
        <f aca="false">IFERROR($C$18-TINV(0.05,$C$17-1)*$C$19/SQRT($C$17),"")</f>
        <v/>
      </c>
    </row>
    <row r="21" customFormat="false" ht="15" hidden="false" customHeight="false" outlineLevel="0" collapsed="false">
      <c r="B21" s="14" t="s">
        <v>47</v>
      </c>
      <c r="C21" s="15" t="str">
        <f aca="false">IFERROR($C$18+TINV(0.05,$C$17-1)*$C$19/SQRT($C$17),"")</f>
        <v/>
      </c>
    </row>
    <row r="22" customFormat="false" ht="15" hidden="false" customHeight="false" outlineLevel="0" collapsed="false">
      <c r="B22" s="14" t="s">
        <v>48</v>
      </c>
      <c r="C22" s="19" t="str">
        <f aca="false">IFERROR(TDIST(ABS($C$18/($C$19/SQRT($C$17))),$C$17-1,2),"")</f>
        <v/>
      </c>
    </row>
    <row r="24" customFormat="false" ht="15" hidden="false" customHeight="false" outlineLevel="0" collapsed="false">
      <c r="B24" s="9" t="s">
        <v>49</v>
      </c>
    </row>
    <row r="25" customFormat="false" ht="15" hidden="false" customHeight="false" outlineLevel="0" collapsed="false">
      <c r="B25" s="14" t="s">
        <v>43</v>
      </c>
      <c r="C25" s="18" t="n">
        <f aca="false">IFERROR(COUNT('Enter data'!$G$42:$G$71),"")</f>
        <v>0</v>
      </c>
    </row>
    <row r="26" customFormat="false" ht="15" hidden="false" customHeight="false" outlineLevel="0" collapsed="false">
      <c r="B26" s="14" t="s">
        <v>44</v>
      </c>
      <c r="C26" s="15" t="str">
        <f aca="false">IFERROR(AVERAGE('Enter data'!$G$42:$G$71),"")</f>
        <v/>
      </c>
    </row>
    <row r="27" customFormat="false" ht="15" hidden="false" customHeight="false" outlineLevel="0" collapsed="false">
      <c r="B27" s="14" t="s">
        <v>45</v>
      </c>
      <c r="C27" s="15" t="str">
        <f aca="false">IFERROR(STDEV('Enter data'!$G$42:$G$71),"")</f>
        <v/>
      </c>
    </row>
    <row r="28" customFormat="false" ht="15" hidden="false" customHeight="false" outlineLevel="0" collapsed="false">
      <c r="B28" s="14" t="s">
        <v>46</v>
      </c>
      <c r="C28" s="15" t="str">
        <f aca="false">IFERROR($C$26-TINV(0.05,$C$25-1)*$C$27/SQRT($C$25),"")</f>
        <v/>
      </c>
    </row>
    <row r="29" customFormat="false" ht="15" hidden="false" customHeight="false" outlineLevel="0" collapsed="false">
      <c r="B29" s="14" t="s">
        <v>47</v>
      </c>
      <c r="C29" s="15" t="str">
        <f aca="false">IFERROR($C$26+TINV(0.05,$C$25-1)*$C$27/SQRT($C$25),"")</f>
        <v/>
      </c>
    </row>
    <row r="30" customFormat="false" ht="15" hidden="false" customHeight="false" outlineLevel="0" collapsed="false">
      <c r="B30" s="14" t="s">
        <v>48</v>
      </c>
      <c r="C30" s="19" t="str">
        <f aca="false">IFERROR(TDIST(ABS($C$26/($C$27/SQRT($C$25))),$C$25-1,2),"")</f>
        <v/>
      </c>
    </row>
    <row r="32" customFormat="false" ht="15" hidden="false" customHeight="false" outlineLevel="0" collapsed="false">
      <c r="B32" s="9" t="s">
        <v>50</v>
      </c>
    </row>
    <row r="33" customFormat="false" ht="15" hidden="false" customHeight="false" outlineLevel="0" collapsed="false">
      <c r="B33" s="14" t="s">
        <v>43</v>
      </c>
      <c r="C33" s="18" t="n">
        <f aca="false">IFERROR(COUNT('Enter data'!$D$77:$D$106),"")</f>
        <v>0</v>
      </c>
    </row>
    <row r="34" customFormat="false" ht="15" hidden="false" customHeight="false" outlineLevel="0" collapsed="false">
      <c r="B34" s="14" t="s">
        <v>51</v>
      </c>
      <c r="C34" s="15" t="str">
        <f aca="false">IFERROR(AVERAGE('Enter data'!$D$77:$D$106),"")</f>
        <v/>
      </c>
    </row>
    <row r="35" customFormat="false" ht="15" hidden="false" customHeight="false" outlineLevel="0" collapsed="false">
      <c r="B35" s="14" t="s">
        <v>52</v>
      </c>
      <c r="C35" s="15" t="str">
        <f aca="false">IFERROR(STDEV('Enter data'!$D$77:$D$106),"")</f>
        <v/>
      </c>
    </row>
    <row r="36" customFormat="false" ht="15" hidden="false" customHeight="false" outlineLevel="0" collapsed="false">
      <c r="B36" s="14" t="s">
        <v>53</v>
      </c>
      <c r="C36" s="15" t="str">
        <f aca="false">IFERROR($C$34-1.96*$C$35,"")</f>
        <v/>
      </c>
    </row>
    <row r="37" customFormat="false" ht="15" hidden="false" customHeight="false" outlineLevel="0" collapsed="false">
      <c r="B37" s="14" t="s">
        <v>54</v>
      </c>
      <c r="C37" s="15" t="str">
        <f aca="false">IFERROR($C$34+1.96*$C$35,"")</f>
        <v/>
      </c>
    </row>
    <row r="38" customFormat="false" ht="15" hidden="false" customHeight="false" outlineLevel="0" collapsed="false">
      <c r="B38" s="14" t="s">
        <v>55</v>
      </c>
      <c r="C38" s="20" t="str">
        <f aca="false">IFERROR(CORREL('Enter data'!$B$77:$B$106,'Enter data'!$C$77:$C$106),"")</f>
        <v/>
      </c>
      <c r="D38" s="8" t="s">
        <v>56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2026-10-01T00:31:10Z</dcterms:created>
  <dc:creator>Emmanuel G. Lozano</dc:creator>
  <dc:description>Compiled by Emmanuel G. Lozano, Department of Biology, College of Arts and Sciences, Pampanga State University. Original material is licensed CC BY-NC 4.0: credit required, non-commercial use only.</dc:description>
  <dc:language>en-US</dc:language>
  <cp:lastModifiedBy/>
  <dcterms:modified xsi:type="dcterms:W3CDTF">2026-10-01T00:31:10Z</dcterms:modified>
  <cp:revision>0</cp:revision>
  <dc:subject/>
  <dc:title>AP-07 Blood pressure and oxygen saturation: repeatability, posture, device agreement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