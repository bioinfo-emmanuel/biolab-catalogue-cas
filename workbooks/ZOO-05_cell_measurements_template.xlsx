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<sst xmlns="http://schemas.openxmlformats.org/spreadsheetml/2006/main" count="67" uniqueCount="58">
  <si>
    <t xml:space="preserve">ZOO-05  Animal tissues: cell shape measurements</t>
  </si>
  <si>
    <t xml:space="preserve">Excel version of the card. It does the same calculations as the R script zoo05_cell_measurements.R.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</si>
  <si>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</si>
  <si>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</si>
  <si>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</si>
  <si>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</si>
  <si>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</si>
  <si>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</si>
  <si>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</si>
  <si>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</si>
  <si>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Ratio = long axis / short axis of each measured cell or nucleus as cut in the section. Ratios need no calibration; use the same unit for both axes.</t>
  </si>
  <si>
    <t xml:space="preserve">Choose cells cut through the nucleus, and describe where you measured.</t>
  </si>
  <si>
    <t xml:space="preserve">Differences from the R script on the card</t>
  </si>
  <si>
    <t xml:space="preserve">The R script uses a Kruskal-Wallis test and pairwise Wilcoxon tests. This workbook uses one-way ANOVA and Welch t tests with a Bonferroni adjustment on the ratios.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</si>
  <si>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</si>
  <si>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</si>
  <si>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</si>
  <si>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</si>
  <si>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Tissue names</t>
  </si>
  <si>
    <t xml:space="preserve">Tissue 1</t>
  </si>
  <si>
    <t xml:space="preserve">Tissue 2</t>
  </si>
  <si>
    <t xml:space="preserve">Tissue 3</t>
  </si>
  <si>
    <t xml:space="preserve">Tissue 4</t>
  </si>
  <si>
    <t xml:space="preserve">2. Cells of tissue 1</t>
  </si>
  <si>
    <t xml:space="preserve">Long axis</t>
  </si>
  <si>
    <t xml:space="preserve">Short axis</t>
  </si>
  <si>
    <t xml:space="preserve">Long / short</t>
  </si>
  <si>
    <t xml:space="preserve">3. Cells of tissue 2</t>
  </si>
  <si>
    <t xml:space="preserve">4. Cells of tissue 3</t>
  </si>
  <si>
    <t xml:space="preserve">5. Cells of tissue 4</t>
  </si>
  <si>
    <t xml:space="preserve">6. Observer agreement: the same cells measured by two observers (ratio)</t>
  </si>
  <si>
    <t xml:space="preserve">Observer A ratio</t>
  </si>
  <si>
    <t xml:space="preserve">Observer B ratio</t>
  </si>
  <si>
    <t xml:space="preserve">Results</t>
  </si>
  <si>
    <t xml:space="preserve">Everything on this sheet is calculated. Change only the yellow settings.</t>
  </si>
  <si>
    <t xml:space="preserve">Long : short axis ratio by tissue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</si>
  <si>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</si>
  <si>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</si>
  <si>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</si>
  <si>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</si>
  <si>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</si>
  <si>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</si>
  <si>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</si>
  <si>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One-way analysis of variance</t>
  </si>
  <si>
    <t xml:space="preserve">Total observations</t>
  </si>
  <si>
    <t xml:space="preserve">Grand mean</t>
  </si>
  <si>
    <t xml:space="preserve">Sum of squares between groups</t>
  </si>
  <si>
    <t xml:space="preserve">Sum of squares within groups</t>
  </si>
  <si>
    <t xml:space="preserve">F ratio</t>
  </si>
  <si>
    <t xml:space="preserve">p value</t>
  </si>
  <si>
    <t xml:space="preserve">Pair (Welch t tests)</t>
  </si>
  <si>
    <t xml:space="preserve">Difference in means</t>
  </si>
  <si>
    <t xml:space="preserve">p (unadjusted)</t>
  </si>
  <si>
    <t xml:space="preserve">p (Bonferroni)</t>
  </si>
  <si>
    <t xml:space="preserve">Observer agreement</t>
  </si>
  <si>
    <t xml:space="preserve">Cells measured twice</t>
  </si>
  <si>
    <t xml:space="preserve">Mean difference (B minus A)</t>
  </si>
  <si>
    <t xml:space="preserve">Correlation between observers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</si>
</sst>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General"/>
    <numFmt numFmtId="167" formatCode="0"/>
    <numFmt numFmtId="168" formatCode="0.00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</row>
    <row r="6" customFormat="false" ht="15" hidden="false" customHeight="false" outlineLevel="0" collapsed="false">
      <c r="A6" s="11"/>
      <c r="B6" s="11"/>
      <c r="C6" s="11"/>
      <c r="D6" s="11"/>
    </row>
    <row r="9" customFormat="false" ht="15" hidden="false" customHeight="false" outlineLevel="0" collapsed="false">
      <c r="A9" s="9" t="s">
        <v>23</v>
      </c>
    </row>
    <row r="10" customFormat="false" ht="31.5" hidden="false" customHeight="true" outlineLevel="0" collapsed="false">
      <c r="A10" s="10" t="s">
        <v>24</v>
      </c>
      <c r="B10" s="10" t="s">
        <v>25</v>
      </c>
      <c r="C10" s="10" t="s">
        <v>26</v>
      </c>
    </row>
    <row r="11" customFormat="false" ht="15" hidden="false" customHeight="false" outlineLevel="0" collapsed="false">
      <c r="A11" s="12" t="n">
        <v>30</v>
      </c>
      <c r="B11" s="12" t="n">
        <v>4</v>
      </c>
    </row>
    <row r="12" customFormat="false" ht="15" hidden="false" customHeight="false" outlineLevel="0" collapsed="false">
      <c r="A12" s="11"/>
      <c r="B12" s="11"/>
      <c r="C12" s="13" t="str">
        <f aca="false">IF(AND(ISNUMBER(A12),ISNUMBER(B12)),A12/B12,"")</f>
        <v/>
      </c>
    </row>
    <row r="13" customFormat="false" ht="15" hidden="false" customHeight="false" outlineLevel="0" collapsed="false">
      <c r="A13" s="11"/>
      <c r="B13" s="11"/>
      <c r="C13" s="13" t="str">
        <f aca="false">IF(AND(ISNUMBER(A13),ISNUMBER(B13)),A13/B13,"")</f>
        <v/>
      </c>
    </row>
    <row r="14" customFormat="false" ht="15" hidden="false" customHeight="false" outlineLevel="0" collapsed="false">
      <c r="A14" s="11"/>
      <c r="B14" s="11"/>
      <c r="C14" s="13" t="str">
        <f aca="false">IF(AND(ISNUMBER(A14),ISNUMBER(B14)),A14/B14,"")</f>
        <v/>
      </c>
    </row>
    <row r="15" customFormat="false" ht="15" hidden="false" customHeight="false" outlineLevel="0" collapsed="false">
      <c r="A15" s="11"/>
      <c r="B15" s="11"/>
      <c r="C15" s="13" t="str">
        <f aca="false">IF(AND(ISNUMBER(A15),ISNUMBER(B15)),A15/B15,"")</f>
        <v/>
      </c>
    </row>
    <row r="16" customFormat="false" ht="15" hidden="false" customHeight="false" outlineLevel="0" collapsed="false">
      <c r="A16" s="11"/>
      <c r="B16" s="11"/>
      <c r="C16" s="13" t="str">
        <f aca="false">IF(AND(ISNUMBER(A16),ISNUMBER(B16)),A16/B16,"")</f>
        <v/>
      </c>
    </row>
    <row r="17" customFormat="false" ht="15" hidden="false" customHeight="false" outlineLevel="0" collapsed="false">
      <c r="A17" s="11"/>
      <c r="B17" s="11"/>
      <c r="C17" s="13" t="str">
        <f aca="false">IF(AND(ISNUMBER(A17),ISNUMBER(B17)),A17/B17,"")</f>
        <v/>
      </c>
    </row>
    <row r="18" customFormat="false" ht="15" hidden="false" customHeight="false" outlineLevel="0" collapsed="false">
      <c r="A18" s="11"/>
      <c r="B18" s="11"/>
      <c r="C18" s="13" t="str">
        <f aca="false">IF(AND(ISNUMBER(A18),ISNUMBER(B18)),A18/B18,"")</f>
        <v/>
      </c>
    </row>
    <row r="19" customFormat="false" ht="15" hidden="false" customHeight="false" outlineLevel="0" collapsed="false">
      <c r="A19" s="11"/>
      <c r="B19" s="11"/>
      <c r="C19" s="13" t="str">
        <f aca="false">IF(AND(ISNUMBER(A19),ISNUMBER(B19)),A19/B19,"")</f>
        <v/>
      </c>
    </row>
    <row r="20" customFormat="false" ht="15" hidden="false" customHeight="false" outlineLevel="0" collapsed="false">
      <c r="A20" s="11"/>
      <c r="B20" s="11"/>
      <c r="C20" s="13" t="str">
        <f aca="false">IF(AND(ISNUMBER(A20),ISNUMBER(B20)),A20/B20,"")</f>
        <v/>
      </c>
    </row>
    <row r="21" customFormat="false" ht="15" hidden="false" customHeight="false" outlineLevel="0" collapsed="false">
      <c r="A21" s="11"/>
      <c r="B21" s="11"/>
      <c r="C21" s="13" t="str">
        <f aca="false">IF(AND(ISNUMBER(A21),ISNUMBER(B21)),A21/B21,"")</f>
        <v/>
      </c>
    </row>
    <row r="22" customFormat="false" ht="15" hidden="false" customHeight="false" outlineLevel="0" collapsed="false">
      <c r="A22" s="11"/>
      <c r="B22" s="11"/>
      <c r="C22" s="13" t="str">
        <f aca="false">IF(AND(ISNUMBER(A22),ISNUMBER(B22)),A22/B22,"")</f>
        <v/>
      </c>
    </row>
    <row r="23" customFormat="false" ht="15" hidden="false" customHeight="false" outlineLevel="0" collapsed="false">
      <c r="A23" s="11"/>
      <c r="B23" s="11"/>
      <c r="C23" s="13" t="str">
        <f aca="false">IF(AND(ISNUMBER(A23),ISNUMBER(B23)),A23/B23,"")</f>
        <v/>
      </c>
    </row>
    <row r="24" customFormat="false" ht="15" hidden="false" customHeight="false" outlineLevel="0" collapsed="false">
      <c r="A24" s="11"/>
      <c r="B24" s="11"/>
      <c r="C24" s="13" t="str">
        <f aca="false">IF(AND(ISNUMBER(A24),ISNUMBER(B24)),A24/B24,"")</f>
        <v/>
      </c>
    </row>
    <row r="25" customFormat="false" ht="15" hidden="false" customHeight="false" outlineLevel="0" collapsed="false">
      <c r="A25" s="11"/>
      <c r="B25" s="11"/>
      <c r="C25" s="13" t="str">
        <f aca="false">IF(AND(ISNUMBER(A25),ISNUMBER(B25)),A25/B25,"")</f>
        <v/>
      </c>
    </row>
    <row r="26" customFormat="false" ht="15" hidden="false" customHeight="false" outlineLevel="0" collapsed="false">
      <c r="A26" s="11"/>
      <c r="B26" s="11"/>
      <c r="C26" s="13" t="str">
        <f aca="false">IF(AND(ISNUMBER(A26),ISNUMBER(B26)),A26/B26,"")</f>
        <v/>
      </c>
    </row>
    <row r="27" customFormat="false" ht="15" hidden="false" customHeight="false" outlineLevel="0" collapsed="false">
      <c r="A27" s="11"/>
      <c r="B27" s="11"/>
      <c r="C27" s="13" t="str">
        <f aca="false">IF(AND(ISNUMBER(A27),ISNUMBER(B27)),A27/B27,"")</f>
        <v/>
      </c>
    </row>
    <row r="28" customFormat="false" ht="15" hidden="false" customHeight="false" outlineLevel="0" collapsed="false">
      <c r="A28" s="11"/>
      <c r="B28" s="11"/>
      <c r="C28" s="13" t="str">
        <f aca="false">IF(AND(ISNUMBER(A28),ISNUMBER(B28)),A28/B28,"")</f>
        <v/>
      </c>
    </row>
    <row r="29" customFormat="false" ht="15" hidden="false" customHeight="false" outlineLevel="0" collapsed="false">
      <c r="A29" s="11"/>
      <c r="B29" s="11"/>
      <c r="C29" s="13" t="str">
        <f aca="false">IF(AND(ISNUMBER(A29),ISNUMBER(B29)),A29/B29,"")</f>
        <v/>
      </c>
    </row>
    <row r="30" customFormat="false" ht="15" hidden="false" customHeight="false" outlineLevel="0" collapsed="false">
      <c r="A30" s="11"/>
      <c r="B30" s="11"/>
      <c r="C30" s="13" t="str">
        <f aca="false">IF(AND(ISNUMBER(A30),ISNUMBER(B30)),A30/B30,"")</f>
        <v/>
      </c>
    </row>
    <row r="31" customFormat="false" ht="15" hidden="false" customHeight="false" outlineLevel="0" collapsed="false">
      <c r="A31" s="11"/>
      <c r="B31" s="11"/>
      <c r="C31" s="13" t="str">
        <f aca="false">IF(AND(ISNUMBER(A31),ISNUMBER(B31)),A31/B31,"")</f>
        <v/>
      </c>
    </row>
    <row r="32" customFormat="false" ht="15" hidden="false" customHeight="false" outlineLevel="0" collapsed="false">
      <c r="A32" s="11"/>
      <c r="B32" s="11"/>
      <c r="C32" s="13" t="str">
        <f aca="false">IF(AND(ISNUMBER(A32),ISNUMBER(B32)),A32/B32,"")</f>
        <v/>
      </c>
    </row>
    <row r="33" customFormat="false" ht="15" hidden="false" customHeight="false" outlineLevel="0" collapsed="false">
      <c r="A33" s="11"/>
      <c r="B33" s="11"/>
      <c r="C33" s="13" t="str">
        <f aca="false">IF(AND(ISNUMBER(A33),ISNUMBER(B33)),A33/B33,"")</f>
        <v/>
      </c>
    </row>
    <row r="34" customFormat="false" ht="15" hidden="false" customHeight="false" outlineLevel="0" collapsed="false">
      <c r="A34" s="11"/>
      <c r="B34" s="11"/>
      <c r="C34" s="13" t="str">
        <f aca="false">IF(AND(ISNUMBER(A34),ISNUMBER(B34)),A34/B34,"")</f>
        <v/>
      </c>
    </row>
    <row r="35" customFormat="false" ht="15" hidden="false" customHeight="false" outlineLevel="0" collapsed="false">
      <c r="A35" s="11"/>
      <c r="B35" s="11"/>
      <c r="C35" s="13" t="str">
        <f aca="false">IF(AND(ISNUMBER(A35),ISNUMBER(B35)),A35/B35,"")</f>
        <v/>
      </c>
    </row>
    <row r="36" customFormat="false" ht="15" hidden="false" customHeight="false" outlineLevel="0" collapsed="false">
      <c r="A36" s="11"/>
      <c r="B36" s="11"/>
      <c r="C36" s="13" t="str">
        <f aca="false">IF(AND(ISNUMBER(A36),ISNUMBER(B36)),A36/B36,"")</f>
        <v/>
      </c>
    </row>
    <row r="37" customFormat="false" ht="15" hidden="false" customHeight="false" outlineLevel="0" collapsed="false">
      <c r="A37" s="11"/>
      <c r="B37" s="11"/>
      <c r="C37" s="13" t="str">
        <f aca="false">IF(AND(ISNUMBER(A37),ISNUMBER(B37)),A37/B37,"")</f>
        <v/>
      </c>
    </row>
    <row r="38" customFormat="false" ht="15" hidden="false" customHeight="false" outlineLevel="0" collapsed="false">
      <c r="A38" s="11"/>
      <c r="B38" s="11"/>
      <c r="C38" s="13" t="str">
        <f aca="false">IF(AND(ISNUMBER(A38),ISNUMBER(B38)),A38/B38,"")</f>
        <v/>
      </c>
    </row>
    <row r="39" customFormat="false" ht="15" hidden="false" customHeight="false" outlineLevel="0" collapsed="false">
      <c r="A39" s="11"/>
      <c r="B39" s="11"/>
      <c r="C39" s="13" t="str">
        <f aca="false">IF(AND(ISNUMBER(A39),ISNUMBER(B39)),A39/B39,"")</f>
        <v/>
      </c>
    </row>
    <row r="40" customFormat="false" ht="15" hidden="false" customHeight="false" outlineLevel="0" collapsed="false">
      <c r="A40" s="11"/>
      <c r="B40" s="11"/>
      <c r="C40" s="13" t="str">
        <f aca="false">IF(AND(ISNUMBER(A40),ISNUMBER(B40)),A40/B40,"")</f>
        <v/>
      </c>
    </row>
    <row r="41" customFormat="false" ht="15" hidden="false" customHeight="false" outlineLevel="0" collapsed="false">
      <c r="A41" s="11"/>
      <c r="B41" s="11"/>
      <c r="C41" s="13" t="str">
        <f aca="false">IF(AND(ISNUMBER(A41),ISNUMBER(B41)),A41/B41,"")</f>
        <v/>
      </c>
    </row>
    <row r="44" customFormat="false" ht="15" hidden="false" customHeight="false" outlineLevel="0" collapsed="false">
      <c r="A44" s="9" t="s">
        <v>27</v>
      </c>
    </row>
    <row r="45" customFormat="false" ht="31.5" hidden="false" customHeight="true" outlineLevel="0" collapsed="false">
      <c r="A45" s="10" t="s">
        <v>24</v>
      </c>
      <c r="B45" s="10" t="s">
        <v>25</v>
      </c>
      <c r="C45" s="10" t="s">
        <v>26</v>
      </c>
    </row>
    <row r="46" customFormat="false" ht="15" hidden="false" customHeight="false" outlineLevel="0" collapsed="false">
      <c r="A46" s="12" t="n">
        <v>30</v>
      </c>
      <c r="B46" s="12" t="n">
        <v>4</v>
      </c>
    </row>
    <row r="47" customFormat="false" ht="15" hidden="false" customHeight="false" outlineLevel="0" collapsed="false">
      <c r="A47" s="11"/>
      <c r="B47" s="11"/>
      <c r="C47" s="13" t="str">
        <f aca="false">IF(AND(ISNUMBER(A47),ISNUMBER(B47)),A47/B47,"")</f>
        <v/>
      </c>
    </row>
    <row r="48" customFormat="false" ht="15" hidden="false" customHeight="false" outlineLevel="0" collapsed="false">
      <c r="A48" s="11"/>
      <c r="B48" s="11"/>
      <c r="C48" s="13" t="str">
        <f aca="false">IF(AND(ISNUMBER(A48),ISNUMBER(B48)),A48/B48,"")</f>
        <v/>
      </c>
    </row>
    <row r="49" customFormat="false" ht="15" hidden="false" customHeight="false" outlineLevel="0" collapsed="false">
      <c r="A49" s="11"/>
      <c r="B49" s="11"/>
      <c r="C49" s="13" t="str">
        <f aca="false">IF(AND(ISNUMBER(A49),ISNUMBER(B49)),A49/B49,"")</f>
        <v/>
      </c>
    </row>
    <row r="50" customFormat="false" ht="15" hidden="false" customHeight="false" outlineLevel="0" collapsed="false">
      <c r="A50" s="11"/>
      <c r="B50" s="11"/>
      <c r="C50" s="13" t="str">
        <f aca="false">IF(AND(ISNUMBER(A50),ISNUMBER(B50)),A50/B50,"")</f>
        <v/>
      </c>
    </row>
    <row r="51" customFormat="false" ht="15" hidden="false" customHeight="false" outlineLevel="0" collapsed="false">
      <c r="A51" s="11"/>
      <c r="B51" s="11"/>
      <c r="C51" s="13" t="str">
        <f aca="false">IF(AND(ISNUMBER(A51),ISNUMBER(B51)),A51/B51,"")</f>
        <v/>
      </c>
    </row>
    <row r="52" customFormat="false" ht="15" hidden="false" customHeight="false" outlineLevel="0" collapsed="false">
      <c r="A52" s="11"/>
      <c r="B52" s="11"/>
      <c r="C52" s="13" t="str">
        <f aca="false">IF(AND(ISNUMBER(A52),ISNUMBER(B52)),A52/B52,"")</f>
        <v/>
      </c>
    </row>
    <row r="53" customFormat="false" ht="15" hidden="false" customHeight="false" outlineLevel="0" collapsed="false">
      <c r="A53" s="11"/>
      <c r="B53" s="11"/>
      <c r="C53" s="13" t="str">
        <f aca="false">IF(AND(ISNUMBER(A53),ISNUMBER(B53)),A53/B53,"")</f>
        <v/>
      </c>
    </row>
    <row r="54" customFormat="false" ht="15" hidden="false" customHeight="false" outlineLevel="0" collapsed="false">
      <c r="A54" s="11"/>
      <c r="B54" s="11"/>
      <c r="C54" s="13" t="str">
        <f aca="false">IF(AND(ISNUMBER(A54),ISNUMBER(B54)),A54/B54,"")</f>
        <v/>
      </c>
    </row>
    <row r="55" customFormat="false" ht="15" hidden="false" customHeight="false" outlineLevel="0" collapsed="false">
      <c r="A55" s="11"/>
      <c r="B55" s="11"/>
      <c r="C55" s="13" t="str">
        <f aca="false">IF(AND(ISNUMBER(A55),ISNUMBER(B55)),A55/B55,"")</f>
        <v/>
      </c>
    </row>
    <row r="56" customFormat="false" ht="15" hidden="false" customHeight="false" outlineLevel="0" collapsed="false">
      <c r="A56" s="11"/>
      <c r="B56" s="11"/>
      <c r="C56" s="13" t="str">
        <f aca="false">IF(AND(ISNUMBER(A56),ISNUMBER(B56)),A56/B56,"")</f>
        <v/>
      </c>
    </row>
    <row r="57" customFormat="false" ht="15" hidden="false" customHeight="false" outlineLevel="0" collapsed="false">
      <c r="A57" s="11"/>
      <c r="B57" s="11"/>
      <c r="C57" s="13" t="str">
        <f aca="false">IF(AND(ISNUMBER(A57),ISNUMBER(B57)),A57/B57,"")</f>
        <v/>
      </c>
    </row>
    <row r="58" customFormat="false" ht="15" hidden="false" customHeight="false" outlineLevel="0" collapsed="false">
      <c r="A58" s="11"/>
      <c r="B58" s="11"/>
      <c r="C58" s="13" t="str">
        <f aca="false">IF(AND(ISNUMBER(A58),ISNUMBER(B58)),A58/B58,"")</f>
        <v/>
      </c>
    </row>
    <row r="59" customFormat="false" ht="15" hidden="false" customHeight="false" outlineLevel="0" collapsed="false">
      <c r="A59" s="11"/>
      <c r="B59" s="11"/>
      <c r="C59" s="13" t="str">
        <f aca="false">IF(AND(ISNUMBER(A59),ISNUMBER(B59)),A59/B59,"")</f>
        <v/>
      </c>
    </row>
    <row r="60" customFormat="false" ht="15" hidden="false" customHeight="false" outlineLevel="0" collapsed="false">
      <c r="A60" s="11"/>
      <c r="B60" s="11"/>
      <c r="C60" s="13" t="str">
        <f aca="false">IF(AND(ISNUMBER(A60),ISNUMBER(B60)),A60/B60,"")</f>
        <v/>
      </c>
    </row>
    <row r="61" customFormat="false" ht="15" hidden="false" customHeight="false" outlineLevel="0" collapsed="false">
      <c r="A61" s="11"/>
      <c r="B61" s="11"/>
      <c r="C61" s="13" t="str">
        <f aca="false">IF(AND(ISNUMBER(A61),ISNUMBER(B61)),A61/B61,"")</f>
        <v/>
      </c>
    </row>
    <row r="62" customFormat="false" ht="15" hidden="false" customHeight="false" outlineLevel="0" collapsed="false">
      <c r="A62" s="11"/>
      <c r="B62" s="11"/>
      <c r="C62" s="13" t="str">
        <f aca="false">IF(AND(ISNUMBER(A62),ISNUMBER(B62)),A62/B62,"")</f>
        <v/>
      </c>
    </row>
    <row r="63" customFormat="false" ht="15" hidden="false" customHeight="false" outlineLevel="0" collapsed="false">
      <c r="A63" s="11"/>
      <c r="B63" s="11"/>
      <c r="C63" s="13" t="str">
        <f aca="false">IF(AND(ISNUMBER(A63),ISNUMBER(B63)),A63/B63,"")</f>
        <v/>
      </c>
    </row>
    <row r="64" customFormat="false" ht="15" hidden="false" customHeight="false" outlineLevel="0" collapsed="false">
      <c r="A64" s="11"/>
      <c r="B64" s="11"/>
      <c r="C64" s="13" t="str">
        <f aca="false">IF(AND(ISNUMBER(A64),ISNUMBER(B64)),A64/B64,"")</f>
        <v/>
      </c>
    </row>
    <row r="65" customFormat="false" ht="15" hidden="false" customHeight="false" outlineLevel="0" collapsed="false">
      <c r="A65" s="11"/>
      <c r="B65" s="11"/>
      <c r="C65" s="13" t="str">
        <f aca="false">IF(AND(ISNUMBER(A65),ISNUMBER(B65)),A65/B65,"")</f>
        <v/>
      </c>
    </row>
    <row r="66" customFormat="false" ht="15" hidden="false" customHeight="false" outlineLevel="0" collapsed="false">
      <c r="A66" s="11"/>
      <c r="B66" s="11"/>
      <c r="C66" s="13" t="str">
        <f aca="false">IF(AND(ISNUMBER(A66),ISNUMBER(B66)),A66/B66,"")</f>
        <v/>
      </c>
    </row>
    <row r="67" customFormat="false" ht="15" hidden="false" customHeight="false" outlineLevel="0" collapsed="false">
      <c r="A67" s="11"/>
      <c r="B67" s="11"/>
      <c r="C67" s="13" t="str">
        <f aca="false">IF(AND(ISNUMBER(A67),ISNUMBER(B67)),A67/B67,"")</f>
        <v/>
      </c>
    </row>
    <row r="68" customFormat="false" ht="15" hidden="false" customHeight="false" outlineLevel="0" collapsed="false">
      <c r="A68" s="11"/>
      <c r="B68" s="11"/>
      <c r="C68" s="13" t="str">
        <f aca="false">IF(AND(ISNUMBER(A68),ISNUMBER(B68)),A68/B68,"")</f>
        <v/>
      </c>
    </row>
    <row r="69" customFormat="false" ht="15" hidden="false" customHeight="false" outlineLevel="0" collapsed="false">
      <c r="A69" s="11"/>
      <c r="B69" s="11"/>
      <c r="C69" s="13" t="str">
        <f aca="false">IF(AND(ISNUMBER(A69),ISNUMBER(B69)),A69/B69,"")</f>
        <v/>
      </c>
    </row>
    <row r="70" customFormat="false" ht="15" hidden="false" customHeight="false" outlineLevel="0" collapsed="false">
      <c r="A70" s="11"/>
      <c r="B70" s="11"/>
      <c r="C70" s="13" t="str">
        <f aca="false">IF(AND(ISNUMBER(A70),ISNUMBER(B70)),A70/B70,"")</f>
        <v/>
      </c>
    </row>
    <row r="71" customFormat="false" ht="15" hidden="false" customHeight="false" outlineLevel="0" collapsed="false">
      <c r="A71" s="11"/>
      <c r="B71" s="11"/>
      <c r="C71" s="13" t="str">
        <f aca="false">IF(AND(ISNUMBER(A71),ISNUMBER(B71)),A71/B71,"")</f>
        <v/>
      </c>
    </row>
    <row r="72" customFormat="false" ht="15" hidden="false" customHeight="false" outlineLevel="0" collapsed="false">
      <c r="A72" s="11"/>
      <c r="B72" s="11"/>
      <c r="C72" s="13" t="str">
        <f aca="false">IF(AND(ISNUMBER(A72),ISNUMBER(B72)),A72/B72,"")</f>
        <v/>
      </c>
    </row>
    <row r="73" customFormat="false" ht="15" hidden="false" customHeight="false" outlineLevel="0" collapsed="false">
      <c r="A73" s="11"/>
      <c r="B73" s="11"/>
      <c r="C73" s="13" t="str">
        <f aca="false">IF(AND(ISNUMBER(A73),ISNUMBER(B73)),A73/B73,"")</f>
        <v/>
      </c>
    </row>
    <row r="74" customFormat="false" ht="15" hidden="false" customHeight="false" outlineLevel="0" collapsed="false">
      <c r="A74" s="11"/>
      <c r="B74" s="11"/>
      <c r="C74" s="13" t="str">
        <f aca="false">IF(AND(ISNUMBER(A74),ISNUMBER(B74)),A74/B74,"")</f>
        <v/>
      </c>
    </row>
    <row r="75" customFormat="false" ht="15" hidden="false" customHeight="false" outlineLevel="0" collapsed="false">
      <c r="A75" s="11"/>
      <c r="B75" s="11"/>
      <c r="C75" s="13" t="str">
        <f aca="false">IF(AND(ISNUMBER(A75),ISNUMBER(B75)),A75/B75,"")</f>
        <v/>
      </c>
    </row>
    <row r="76" customFormat="false" ht="15" hidden="false" customHeight="false" outlineLevel="0" collapsed="false">
      <c r="A76" s="11"/>
      <c r="B76" s="11"/>
      <c r="C76" s="13" t="str">
        <f aca="false">IF(AND(ISNUMBER(A76),ISNUMBER(B76)),A76/B76,"")</f>
        <v/>
      </c>
    </row>
    <row r="79" customFormat="false" ht="15" hidden="false" customHeight="false" outlineLevel="0" collapsed="false">
      <c r="A79" s="9" t="s">
        <v>28</v>
      </c>
    </row>
    <row r="80" customFormat="false" ht="31.5" hidden="false" customHeight="true" outlineLevel="0" collapsed="false">
      <c r="A80" s="10" t="s">
        <v>24</v>
      </c>
      <c r="B80" s="10" t="s">
        <v>25</v>
      </c>
      <c r="C80" s="10" t="s">
        <v>26</v>
      </c>
    </row>
    <row r="81" customFormat="false" ht="15" hidden="false" customHeight="false" outlineLevel="0" collapsed="false">
      <c r="A81" s="12" t="n">
        <v>30</v>
      </c>
      <c r="B81" s="12" t="n">
        <v>4</v>
      </c>
    </row>
    <row r="82" customFormat="false" ht="15" hidden="false" customHeight="false" outlineLevel="0" collapsed="false">
      <c r="A82" s="11"/>
      <c r="B82" s="11"/>
      <c r="C82" s="13" t="str">
        <f aca="false">IF(AND(ISNUMBER(A82),ISNUMBER(B82)),A82/B82,"")</f>
        <v/>
      </c>
    </row>
    <row r="83" customFormat="false" ht="15" hidden="false" customHeight="false" outlineLevel="0" collapsed="false">
      <c r="A83" s="11"/>
      <c r="B83" s="11"/>
      <c r="C83" s="13" t="str">
        <f aca="false">IF(AND(ISNUMBER(A83),ISNUMBER(B83)),A83/B83,"")</f>
        <v/>
      </c>
    </row>
    <row r="84" customFormat="false" ht="15" hidden="false" customHeight="false" outlineLevel="0" collapsed="false">
      <c r="A84" s="11"/>
      <c r="B84" s="11"/>
      <c r="C84" s="13" t="str">
        <f aca="false">IF(AND(ISNUMBER(A84),ISNUMBER(B84)),A84/B84,"")</f>
        <v/>
      </c>
    </row>
    <row r="85" customFormat="false" ht="15" hidden="false" customHeight="false" outlineLevel="0" collapsed="false">
      <c r="A85" s="11"/>
      <c r="B85" s="11"/>
      <c r="C85" s="13" t="str">
        <f aca="false">IF(AND(ISNUMBER(A85),ISNUMBER(B85)),A85/B85,"")</f>
        <v/>
      </c>
    </row>
    <row r="86" customFormat="false" ht="15" hidden="false" customHeight="false" outlineLevel="0" collapsed="false">
      <c r="A86" s="11"/>
      <c r="B86" s="11"/>
      <c r="C86" s="13" t="str">
        <f aca="false">IF(AND(ISNUMBER(A86),ISNUMBER(B86)),A86/B86,"")</f>
        <v/>
      </c>
    </row>
    <row r="87" customFormat="false" ht="15" hidden="false" customHeight="false" outlineLevel="0" collapsed="false">
      <c r="A87" s="11"/>
      <c r="B87" s="11"/>
      <c r="C87" s="13" t="str">
        <f aca="false">IF(AND(ISNUMBER(A87),ISNUMBER(B87)),A87/B87,"")</f>
        <v/>
      </c>
    </row>
    <row r="88" customFormat="false" ht="15" hidden="false" customHeight="false" outlineLevel="0" collapsed="false">
      <c r="A88" s="11"/>
      <c r="B88" s="11"/>
      <c r="C88" s="13" t="str">
        <f aca="false">IF(AND(ISNUMBER(A88),ISNUMBER(B88)),A88/B88,"")</f>
        <v/>
      </c>
    </row>
    <row r="89" customFormat="false" ht="15" hidden="false" customHeight="false" outlineLevel="0" collapsed="false">
      <c r="A89" s="11"/>
      <c r="B89" s="11"/>
      <c r="C89" s="13" t="str">
        <f aca="false">IF(AND(ISNUMBER(A89),ISNUMBER(B89)),A89/B89,"")</f>
        <v/>
      </c>
    </row>
    <row r="90" customFormat="false" ht="15" hidden="false" customHeight="false" outlineLevel="0" collapsed="false">
      <c r="A90" s="11"/>
      <c r="B90" s="11"/>
      <c r="C90" s="13" t="str">
        <f aca="false">IF(AND(ISNUMBER(A90),ISNUMBER(B90)),A90/B90,"")</f>
        <v/>
      </c>
    </row>
    <row r="91" customFormat="false" ht="15" hidden="false" customHeight="false" outlineLevel="0" collapsed="false">
      <c r="A91" s="11"/>
      <c r="B91" s="11"/>
      <c r="C91" s="13" t="str">
        <f aca="false">IF(AND(ISNUMBER(A91),ISNUMBER(B91)),A91/B91,"")</f>
        <v/>
      </c>
    </row>
    <row r="92" customFormat="false" ht="15" hidden="false" customHeight="false" outlineLevel="0" collapsed="false">
      <c r="A92" s="11"/>
      <c r="B92" s="11"/>
      <c r="C92" s="13" t="str">
        <f aca="false">IF(AND(ISNUMBER(A92),ISNUMBER(B92)),A92/B92,"")</f>
        <v/>
      </c>
    </row>
    <row r="93" customFormat="false" ht="15" hidden="false" customHeight="false" outlineLevel="0" collapsed="false">
      <c r="A93" s="11"/>
      <c r="B93" s="11"/>
      <c r="C93" s="13" t="str">
        <f aca="false">IF(AND(ISNUMBER(A93),ISNUMBER(B93)),A93/B93,"")</f>
        <v/>
      </c>
    </row>
    <row r="94" customFormat="false" ht="15" hidden="false" customHeight="false" outlineLevel="0" collapsed="false">
      <c r="A94" s="11"/>
      <c r="B94" s="11"/>
      <c r="C94" s="13" t="str">
        <f aca="false">IF(AND(ISNUMBER(A94),ISNUMBER(B94)),A94/B94,"")</f>
        <v/>
      </c>
    </row>
    <row r="95" customFormat="false" ht="15" hidden="false" customHeight="false" outlineLevel="0" collapsed="false">
      <c r="A95" s="11"/>
      <c r="B95" s="11"/>
      <c r="C95" s="13" t="str">
        <f aca="false">IF(AND(ISNUMBER(A95),ISNUMBER(B95)),A95/B95,"")</f>
        <v/>
      </c>
    </row>
    <row r="96" customFormat="false" ht="15" hidden="false" customHeight="false" outlineLevel="0" collapsed="false">
      <c r="A96" s="11"/>
      <c r="B96" s="11"/>
      <c r="C96" s="13" t="str">
        <f aca="false">IF(AND(ISNUMBER(A96),ISNUMBER(B96)),A96/B96,"")</f>
        <v/>
      </c>
    </row>
    <row r="97" customFormat="false" ht="15" hidden="false" customHeight="false" outlineLevel="0" collapsed="false">
      <c r="A97" s="11"/>
      <c r="B97" s="11"/>
      <c r="C97" s="13" t="str">
        <f aca="false">IF(AND(ISNUMBER(A97),ISNUMBER(B97)),A97/B97,"")</f>
        <v/>
      </c>
    </row>
    <row r="98" customFormat="false" ht="15" hidden="false" customHeight="false" outlineLevel="0" collapsed="false">
      <c r="A98" s="11"/>
      <c r="B98" s="11"/>
      <c r="C98" s="13" t="str">
        <f aca="false">IF(AND(ISNUMBER(A98),ISNUMBER(B98)),A98/B98,"")</f>
        <v/>
      </c>
    </row>
    <row r="99" customFormat="false" ht="15" hidden="false" customHeight="false" outlineLevel="0" collapsed="false">
      <c r="A99" s="11"/>
      <c r="B99" s="11"/>
      <c r="C99" s="13" t="str">
        <f aca="false">IF(AND(ISNUMBER(A99),ISNUMBER(B99)),A99/B99,"")</f>
        <v/>
      </c>
    </row>
    <row r="100" customFormat="false" ht="15" hidden="false" customHeight="false" outlineLevel="0" collapsed="false">
      <c r="A100" s="11"/>
      <c r="B100" s="11"/>
      <c r="C100" s="13" t="str">
        <f aca="false">IF(AND(ISNUMBER(A100),ISNUMBER(B100)),A100/B100,"")</f>
        <v/>
      </c>
    </row>
    <row r="101" customFormat="false" ht="15" hidden="false" customHeight="false" outlineLevel="0" collapsed="false">
      <c r="A101" s="11"/>
      <c r="B101" s="11"/>
      <c r="C101" s="13" t="str">
        <f aca="false">IF(AND(ISNUMBER(A101),ISNUMBER(B101)),A101/B101,"")</f>
        <v/>
      </c>
    </row>
    <row r="102" customFormat="false" ht="15" hidden="false" customHeight="false" outlineLevel="0" collapsed="false">
      <c r="A102" s="11"/>
      <c r="B102" s="11"/>
      <c r="C102" s="13" t="str">
        <f aca="false">IF(AND(ISNUMBER(A102),ISNUMBER(B102)),A102/B102,"")</f>
        <v/>
      </c>
    </row>
    <row r="103" customFormat="false" ht="15" hidden="false" customHeight="false" outlineLevel="0" collapsed="false">
      <c r="A103" s="11"/>
      <c r="B103" s="11"/>
      <c r="C103" s="13" t="str">
        <f aca="false">IF(AND(ISNUMBER(A103),ISNUMBER(B103)),A103/B103,"")</f>
        <v/>
      </c>
    </row>
    <row r="104" customFormat="false" ht="15" hidden="false" customHeight="false" outlineLevel="0" collapsed="false">
      <c r="A104" s="11"/>
      <c r="B104" s="11"/>
      <c r="C104" s="13" t="str">
        <f aca="false">IF(AND(ISNUMBER(A104),ISNUMBER(B104)),A104/B104,"")</f>
        <v/>
      </c>
    </row>
    <row r="105" customFormat="false" ht="15" hidden="false" customHeight="false" outlineLevel="0" collapsed="false">
      <c r="A105" s="11"/>
      <c r="B105" s="11"/>
      <c r="C105" s="13" t="str">
        <f aca="false">IF(AND(ISNUMBER(A105),ISNUMBER(B105)),A105/B105,"")</f>
        <v/>
      </c>
    </row>
    <row r="106" customFormat="false" ht="15" hidden="false" customHeight="false" outlineLevel="0" collapsed="false">
      <c r="A106" s="11"/>
      <c r="B106" s="11"/>
      <c r="C106" s="13" t="str">
        <f aca="false">IF(AND(ISNUMBER(A106),ISNUMBER(B106)),A106/B106,"")</f>
        <v/>
      </c>
    </row>
    <row r="107" customFormat="false" ht="15" hidden="false" customHeight="false" outlineLevel="0" collapsed="false">
      <c r="A107" s="11"/>
      <c r="B107" s="11"/>
      <c r="C107" s="13" t="str">
        <f aca="false">IF(AND(ISNUMBER(A107),ISNUMBER(B107)),A107/B107,"")</f>
        <v/>
      </c>
    </row>
    <row r="108" customFormat="false" ht="15" hidden="false" customHeight="false" outlineLevel="0" collapsed="false">
      <c r="A108" s="11"/>
      <c r="B108" s="11"/>
      <c r="C108" s="13" t="str">
        <f aca="false">IF(AND(ISNUMBER(A108),ISNUMBER(B108)),A108/B108,"")</f>
        <v/>
      </c>
    </row>
    <row r="109" customFormat="false" ht="15" hidden="false" customHeight="false" outlineLevel="0" collapsed="false">
      <c r="A109" s="11"/>
      <c r="B109" s="11"/>
      <c r="C109" s="13" t="str">
        <f aca="false">IF(AND(ISNUMBER(A109),ISNUMBER(B109)),A109/B109,"")</f>
        <v/>
      </c>
    </row>
    <row r="110" customFormat="false" ht="15" hidden="false" customHeight="false" outlineLevel="0" collapsed="false">
      <c r="A110" s="11"/>
      <c r="B110" s="11"/>
      <c r="C110" s="13" t="str">
        <f aca="false">IF(AND(ISNUMBER(A110),ISNUMBER(B110)),A110/B110,"")</f>
        <v/>
      </c>
    </row>
    <row r="111" customFormat="false" ht="15" hidden="false" customHeight="false" outlineLevel="0" collapsed="false">
      <c r="A111" s="11"/>
      <c r="B111" s="11"/>
      <c r="C111" s="13" t="str">
        <f aca="false">IF(AND(ISNUMBER(A111),ISNUMBER(B111)),A111/B111,"")</f>
        <v/>
      </c>
    </row>
    <row r="114" customFormat="false" ht="15" hidden="false" customHeight="false" outlineLevel="0" collapsed="false">
      <c r="A114" s="9" t="s">
        <v>29</v>
      </c>
    </row>
    <row r="115" customFormat="false" ht="31.5" hidden="false" customHeight="true" outlineLevel="0" collapsed="false">
      <c r="A115" s="10" t="s">
        <v>24</v>
      </c>
      <c r="B115" s="10" t="s">
        <v>25</v>
      </c>
      <c r="C115" s="10" t="s">
        <v>26</v>
      </c>
    </row>
    <row r="116" customFormat="false" ht="15" hidden="false" customHeight="false" outlineLevel="0" collapsed="false">
      <c r="A116" s="12" t="n">
        <v>30</v>
      </c>
      <c r="B116" s="12" t="n">
        <v>4</v>
      </c>
    </row>
    <row r="117" customFormat="false" ht="15" hidden="false" customHeight="false" outlineLevel="0" collapsed="false">
      <c r="A117" s="11"/>
      <c r="B117" s="11"/>
      <c r="C117" s="13" t="str">
        <f aca="false">IF(AND(ISNUMBER(A117),ISNUMBER(B117)),A117/B117,"")</f>
        <v/>
      </c>
    </row>
    <row r="118" customFormat="false" ht="15" hidden="false" customHeight="false" outlineLevel="0" collapsed="false">
      <c r="A118" s="11"/>
      <c r="B118" s="11"/>
      <c r="C118" s="13" t="str">
        <f aca="false">IF(AND(ISNUMBER(A118),ISNUMBER(B118)),A118/B118,"")</f>
        <v/>
      </c>
    </row>
    <row r="119" customFormat="false" ht="15" hidden="false" customHeight="false" outlineLevel="0" collapsed="false">
      <c r="A119" s="11"/>
      <c r="B119" s="11"/>
      <c r="C119" s="13" t="str">
        <f aca="false">IF(AND(ISNUMBER(A119),ISNUMBER(B119)),A119/B119,"")</f>
        <v/>
      </c>
    </row>
    <row r="120" customFormat="false" ht="15" hidden="false" customHeight="false" outlineLevel="0" collapsed="false">
      <c r="A120" s="11"/>
      <c r="B120" s="11"/>
      <c r="C120" s="13" t="str">
        <f aca="false">IF(AND(ISNUMBER(A120),ISNUMBER(B120)),A120/B120,"")</f>
        <v/>
      </c>
    </row>
    <row r="121" customFormat="false" ht="15" hidden="false" customHeight="false" outlineLevel="0" collapsed="false">
      <c r="A121" s="11"/>
      <c r="B121" s="11"/>
      <c r="C121" s="13" t="str">
        <f aca="false">IF(AND(ISNUMBER(A121),ISNUMBER(B121)),A121/B121,"")</f>
        <v/>
      </c>
    </row>
    <row r="122" customFormat="false" ht="15" hidden="false" customHeight="false" outlineLevel="0" collapsed="false">
      <c r="A122" s="11"/>
      <c r="B122" s="11"/>
      <c r="C122" s="13" t="str">
        <f aca="false">IF(AND(ISNUMBER(A122),ISNUMBER(B122)),A122/B122,"")</f>
        <v/>
      </c>
    </row>
    <row r="123" customFormat="false" ht="15" hidden="false" customHeight="false" outlineLevel="0" collapsed="false">
      <c r="A123" s="11"/>
      <c r="B123" s="11"/>
      <c r="C123" s="13" t="str">
        <f aca="false">IF(AND(ISNUMBER(A123),ISNUMBER(B123)),A123/B123,"")</f>
        <v/>
      </c>
    </row>
    <row r="124" customFormat="false" ht="15" hidden="false" customHeight="false" outlineLevel="0" collapsed="false">
      <c r="A124" s="11"/>
      <c r="B124" s="11"/>
      <c r="C124" s="13" t="str">
        <f aca="false">IF(AND(ISNUMBER(A124),ISNUMBER(B124)),A124/B124,"")</f>
        <v/>
      </c>
    </row>
    <row r="125" customFormat="false" ht="15" hidden="false" customHeight="false" outlineLevel="0" collapsed="false">
      <c r="A125" s="11"/>
      <c r="B125" s="11"/>
      <c r="C125" s="13" t="str">
        <f aca="false">IF(AND(ISNUMBER(A125),ISNUMBER(B125)),A125/B125,"")</f>
        <v/>
      </c>
    </row>
    <row r="126" customFormat="false" ht="15" hidden="false" customHeight="false" outlineLevel="0" collapsed="false">
      <c r="A126" s="11"/>
      <c r="B126" s="11"/>
      <c r="C126" s="13" t="str">
        <f aca="false">IF(AND(ISNUMBER(A126),ISNUMBER(B126)),A126/B126,"")</f>
        <v/>
      </c>
    </row>
    <row r="127" customFormat="false" ht="15" hidden="false" customHeight="false" outlineLevel="0" collapsed="false">
      <c r="A127" s="11"/>
      <c r="B127" s="11"/>
      <c r="C127" s="13" t="str">
        <f aca="false">IF(AND(ISNUMBER(A127),ISNUMBER(B127)),A127/B127,"")</f>
        <v/>
      </c>
    </row>
    <row r="128" customFormat="false" ht="15" hidden="false" customHeight="false" outlineLevel="0" collapsed="false">
      <c r="A128" s="11"/>
      <c r="B128" s="11"/>
      <c r="C128" s="13" t="str">
        <f aca="false">IF(AND(ISNUMBER(A128),ISNUMBER(B128)),A128/B128,"")</f>
        <v/>
      </c>
    </row>
    <row r="129" customFormat="false" ht="15" hidden="false" customHeight="false" outlineLevel="0" collapsed="false">
      <c r="A129" s="11"/>
      <c r="B129" s="11"/>
      <c r="C129" s="13" t="str">
        <f aca="false">IF(AND(ISNUMBER(A129),ISNUMBER(B129)),A129/B129,"")</f>
        <v/>
      </c>
    </row>
    <row r="130" customFormat="false" ht="15" hidden="false" customHeight="false" outlineLevel="0" collapsed="false">
      <c r="A130" s="11"/>
      <c r="B130" s="11"/>
      <c r="C130" s="13" t="str">
        <f aca="false">IF(AND(ISNUMBER(A130),ISNUMBER(B130)),A130/B130,"")</f>
        <v/>
      </c>
    </row>
    <row r="131" customFormat="false" ht="15" hidden="false" customHeight="false" outlineLevel="0" collapsed="false">
      <c r="A131" s="11"/>
      <c r="B131" s="11"/>
      <c r="C131" s="13" t="str">
        <f aca="false">IF(AND(ISNUMBER(A131),ISNUMBER(B131)),A131/B131,"")</f>
        <v/>
      </c>
    </row>
    <row r="132" customFormat="false" ht="15" hidden="false" customHeight="false" outlineLevel="0" collapsed="false">
      <c r="A132" s="11"/>
      <c r="B132" s="11"/>
      <c r="C132" s="13" t="str">
        <f aca="false">IF(AND(ISNUMBER(A132),ISNUMBER(B132)),A132/B132,"")</f>
        <v/>
      </c>
    </row>
    <row r="133" customFormat="false" ht="15" hidden="false" customHeight="false" outlineLevel="0" collapsed="false">
      <c r="A133" s="11"/>
      <c r="B133" s="11"/>
      <c r="C133" s="13" t="str">
        <f aca="false">IF(AND(ISNUMBER(A133),ISNUMBER(B133)),A133/B133,"")</f>
        <v/>
      </c>
    </row>
    <row r="134" customFormat="false" ht="15" hidden="false" customHeight="false" outlineLevel="0" collapsed="false">
      <c r="A134" s="11"/>
      <c r="B134" s="11"/>
      <c r="C134" s="13" t="str">
        <f aca="false">IF(AND(ISNUMBER(A134),ISNUMBER(B134)),A134/B134,"")</f>
        <v/>
      </c>
    </row>
    <row r="135" customFormat="false" ht="15" hidden="false" customHeight="false" outlineLevel="0" collapsed="false">
      <c r="A135" s="11"/>
      <c r="B135" s="11"/>
      <c r="C135" s="13" t="str">
        <f aca="false">IF(AND(ISNUMBER(A135),ISNUMBER(B135)),A135/B135,"")</f>
        <v/>
      </c>
    </row>
    <row r="136" customFormat="false" ht="15" hidden="false" customHeight="false" outlineLevel="0" collapsed="false">
      <c r="A136" s="11"/>
      <c r="B136" s="11"/>
      <c r="C136" s="13" t="str">
        <f aca="false">IF(AND(ISNUMBER(A136),ISNUMBER(B136)),A136/B136,"")</f>
        <v/>
      </c>
    </row>
    <row r="137" customFormat="false" ht="15" hidden="false" customHeight="false" outlineLevel="0" collapsed="false">
      <c r="A137" s="11"/>
      <c r="B137" s="11"/>
      <c r="C137" s="13" t="str">
        <f aca="false">IF(AND(ISNUMBER(A137),ISNUMBER(B137)),A137/B137,"")</f>
        <v/>
      </c>
    </row>
    <row r="138" customFormat="false" ht="15" hidden="false" customHeight="false" outlineLevel="0" collapsed="false">
      <c r="A138" s="11"/>
      <c r="B138" s="11"/>
      <c r="C138" s="13" t="str">
        <f aca="false">IF(AND(ISNUMBER(A138),ISNUMBER(B138)),A138/B138,"")</f>
        <v/>
      </c>
    </row>
    <row r="139" customFormat="false" ht="15" hidden="false" customHeight="false" outlineLevel="0" collapsed="false">
      <c r="A139" s="11"/>
      <c r="B139" s="11"/>
      <c r="C139" s="13" t="str">
        <f aca="false">IF(AND(ISNUMBER(A139),ISNUMBER(B139)),A139/B139,"")</f>
        <v/>
      </c>
    </row>
    <row r="140" customFormat="false" ht="15" hidden="false" customHeight="false" outlineLevel="0" collapsed="false">
      <c r="A140" s="11"/>
      <c r="B140" s="11"/>
      <c r="C140" s="13" t="str">
        <f aca="false">IF(AND(ISNUMBER(A140),ISNUMBER(B140)),A140/B140,"")</f>
        <v/>
      </c>
    </row>
    <row r="141" customFormat="false" ht="15" hidden="false" customHeight="false" outlineLevel="0" collapsed="false">
      <c r="A141" s="11"/>
      <c r="B141" s="11"/>
      <c r="C141" s="13" t="str">
        <f aca="false">IF(AND(ISNUMBER(A141),ISNUMBER(B141)),A141/B141,"")</f>
        <v/>
      </c>
    </row>
    <row r="142" customFormat="false" ht="15" hidden="false" customHeight="false" outlineLevel="0" collapsed="false">
      <c r="A142" s="11"/>
      <c r="B142" s="11"/>
      <c r="C142" s="13" t="str">
        <f aca="false">IF(AND(ISNUMBER(A142),ISNUMBER(B142)),A142/B142,"")</f>
        <v/>
      </c>
    </row>
    <row r="143" customFormat="false" ht="15" hidden="false" customHeight="false" outlineLevel="0" collapsed="false">
      <c r="A143" s="11"/>
      <c r="B143" s="11"/>
      <c r="C143" s="13" t="str">
        <f aca="false">IF(AND(ISNUMBER(A143),ISNUMBER(B143)),A143/B143,"")</f>
        <v/>
      </c>
    </row>
    <row r="144" customFormat="false" ht="15" hidden="false" customHeight="false" outlineLevel="0" collapsed="false">
      <c r="A144" s="11"/>
      <c r="B144" s="11"/>
      <c r="C144" s="13" t="str">
        <f aca="false">IF(AND(ISNUMBER(A144),ISNUMBER(B144)),A144/B144,"")</f>
        <v/>
      </c>
    </row>
    <row r="145" customFormat="false" ht="15" hidden="false" customHeight="false" outlineLevel="0" collapsed="false">
      <c r="A145" s="11"/>
      <c r="B145" s="11"/>
      <c r="C145" s="13" t="str">
        <f aca="false">IF(AND(ISNUMBER(A145),ISNUMBER(B145)),A145/B145,"")</f>
        <v/>
      </c>
    </row>
    <row r="146" customFormat="false" ht="15" hidden="false" customHeight="false" outlineLevel="0" collapsed="false">
      <c r="A146" s="11"/>
      <c r="B146" s="11"/>
      <c r="C146" s="13" t="str">
        <f aca="false">IF(AND(ISNUMBER(A146),ISNUMBER(B146)),A146/B146,"")</f>
        <v/>
      </c>
    </row>
    <row r="149" customFormat="false" ht="15" hidden="false" customHeight="false" outlineLevel="0" collapsed="false">
      <c r="A149" s="9" t="s">
        <v>30</v>
      </c>
    </row>
    <row r="150" customFormat="false" ht="31.5" hidden="false" customHeight="true" outlineLevel="0" collapsed="false">
      <c r="A150" s="10" t="s">
        <v>31</v>
      </c>
      <c r="B150" s="10" t="s">
        <v>32</v>
      </c>
    </row>
    <row r="151" customFormat="false" ht="15" hidden="false" customHeight="false" outlineLevel="0" collapsed="false">
      <c r="A151" s="12" t="n">
        <v>5.1</v>
      </c>
      <c r="B151" s="12" t="n">
        <v>5.3</v>
      </c>
    </row>
    <row r="152" customFormat="false" ht="15" hidden="false" customHeight="false" outlineLevel="0" collapsed="false">
      <c r="A152" s="11"/>
      <c r="B152" s="11"/>
    </row>
    <row r="153" customFormat="false" ht="15" hidden="false" customHeight="false" outlineLevel="0" collapsed="false">
      <c r="A153" s="11"/>
      <c r="B153" s="11"/>
    </row>
    <row r="154" customFormat="false" ht="15" hidden="false" customHeight="false" outlineLevel="0" collapsed="false">
      <c r="A154" s="11"/>
      <c r="B154" s="11"/>
    </row>
    <row r="155" customFormat="false" ht="15" hidden="false" customHeight="false" outlineLevel="0" collapsed="false">
      <c r="A155" s="11"/>
      <c r="B155" s="11"/>
    </row>
    <row r="156" customFormat="false" ht="15" hidden="false" customHeight="false" outlineLevel="0" collapsed="false">
      <c r="A156" s="11"/>
      <c r="B156" s="11"/>
    </row>
    <row r="157" customFormat="false" ht="15" hidden="false" customHeight="false" outlineLevel="0" collapsed="false">
      <c r="A157" s="11"/>
      <c r="B157" s="11"/>
    </row>
    <row r="158" customFormat="false" ht="15" hidden="false" customHeight="false" outlineLevel="0" collapsed="false">
      <c r="A158" s="11"/>
      <c r="B158" s="11"/>
    </row>
    <row r="159" customFormat="false" ht="15" hidden="false" customHeight="false" outlineLevel="0" collapsed="false">
      <c r="A159" s="11"/>
      <c r="B159" s="11"/>
    </row>
    <row r="160" customFormat="false" ht="15" hidden="false" customHeight="false" outlineLevel="0" collapsed="false">
      <c r="A160" s="11"/>
      <c r="B160" s="11"/>
    </row>
    <row r="161" customFormat="false" ht="15" hidden="false" customHeight="false" outlineLevel="0" collapsed="false">
      <c r="A161" s="11"/>
      <c r="B161" s="11"/>
    </row>
    <row r="162" customFormat="false" ht="15" hidden="false" customHeight="false" outlineLevel="0" collapsed="false">
      <c r="A162" s="11"/>
      <c r="B162" s="11"/>
    </row>
    <row r="163" customFormat="false" ht="15" hidden="false" customHeight="false" outlineLevel="0" collapsed="false">
      <c r="A163" s="11"/>
      <c r="B163" s="11"/>
    </row>
    <row r="164" customFormat="false" ht="15" hidden="false" customHeight="false" outlineLevel="0" collapsed="false">
      <c r="A164" s="11"/>
      <c r="B164" s="11"/>
    </row>
    <row r="165" customFormat="false" ht="15" hidden="false" customHeight="false" outlineLevel="0" collapsed="false">
      <c r="A165" s="11"/>
      <c r="B165" s="11"/>
    </row>
    <row r="166" customFormat="false" ht="15" hidden="false" customHeight="false" outlineLevel="0" collapsed="false">
      <c r="A166" s="11"/>
      <c r="B166" s="11"/>
    </row>
    <row r="167" customFormat="false" ht="15" hidden="false" customHeight="false" outlineLevel="0" collapsed="false">
      <c r="A167" s="11"/>
      <c r="B167" s="11"/>
    </row>
    <row r="168" customFormat="false" ht="15" hidden="false" customHeight="false" outlineLevel="0" collapsed="false">
      <c r="A168" s="11"/>
      <c r="B168" s="11"/>
    </row>
    <row r="169" customFormat="false" ht="15" hidden="false" customHeight="false" outlineLevel="0" collapsed="false">
      <c r="A169" s="11"/>
      <c r="B169" s="11"/>
    </row>
    <row r="170" customFormat="false" ht="15" hidden="false" customHeight="false" outlineLevel="0" collapsed="false">
      <c r="A170" s="11"/>
      <c r="B170" s="11"/>
    </row>
    <row r="171" customFormat="false" ht="15" hidden="false" customHeight="false" outlineLevel="0" collapsed="false">
      <c r="A171" s="11"/>
      <c r="B171" s="11"/>
    </row>
    <row r="172" customFormat="false" ht="15" hidden="false" customHeight="false" outlineLevel="0" collapsed="false">
      <c r="A172" s="11"/>
      <c r="B172" s="11"/>
    </row>
    <row r="173" customFormat="false" ht="15" hidden="false" customHeight="false" outlineLevel="0" collapsed="false">
      <c r="A173" s="11"/>
      <c r="B173" s="11"/>
    </row>
    <row r="174" customFormat="false" ht="15" hidden="false" customHeight="false" outlineLevel="0" collapsed="false">
      <c r="A174" s="11"/>
      <c r="B174" s="11"/>
    </row>
    <row r="175" customFormat="false" ht="15" hidden="false" customHeight="false" outlineLevel="0" collapsed="false">
      <c r="A175" s="11"/>
      <c r="B175" s="11"/>
    </row>
    <row r="176" customFormat="false" ht="15" hidden="false" customHeight="false" outlineLevel="0" collapsed="false">
      <c r="A176" s="11"/>
      <c r="B176" s="11"/>
    </row>
    <row r="177" customFormat="false" ht="15" hidden="false" customHeight="false" outlineLevel="0" collapsed="false">
      <c r="A177" s="11"/>
      <c r="B177" s="11"/>
    </row>
    <row r="178" customFormat="false" ht="15" hidden="false" customHeight="false" outlineLevel="0" collapsed="false">
      <c r="A178" s="11"/>
      <c r="B178" s="11"/>
    </row>
    <row r="179" customFormat="false" ht="15" hidden="false" customHeight="false" outlineLevel="0" collapsed="false">
      <c r="A179" s="11"/>
      <c r="B179" s="11"/>
    </row>
    <row r="180" customFormat="false" ht="15" hidden="false" customHeight="false" outlineLevel="0" collapsed="false">
      <c r="A180" s="11"/>
      <c r="B180" s="11"/>
    </row>
    <row r="181" customFormat="false" ht="15" hidden="false" customHeight="false" outlineLevel="0" collapsed="false">
      <c r="A181" s="11"/>
      <c r="B181" s="11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12:B41 A47:B76 A82:B111 A117:B146 A152:B18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33</v>
      </c>
    </row>
    <row r="2" customFormat="false" ht="15" hidden="false" customHeight="false" outlineLevel="0" collapsed="false">
      <c r="B2" s="8" t="s">
        <v>34</v>
      </c>
    </row>
    <row r="4" customFormat="false" ht="15" hidden="false" customHeight="false" outlineLevel="0" collapsed="false">
      <c r="B4" s="9" t="s">
        <v>35</v>
      </c>
    </row>
    <row r="5" customFormat="false" ht="30" hidden="false" customHeight="true" outlineLevel="0" collapsed="false">
      <c r="B5" s="10" t="s">
        <v>36</v>
      </c>
      <c r="C5" s="10" t="s">
        <v>37</v>
      </c>
      <c r="D5" s="10" t="s">
        <v>38</v>
      </c>
      <c r="E5" s="10" t="s">
        <v>39</v>
      </c>
      <c r="F5" s="10" t="s">
        <v>40</v>
      </c>
      <c r="G5" s="10" t="s">
        <v>41</v>
      </c>
      <c r="H5" s="10" t="s">
        <v>42</v>
      </c>
    </row>
    <row r="6" customFormat="false" ht="15" hidden="false" customHeight="false" outlineLevel="0" collapsed="false">
      <c r="B6" s="14" t="n">
        <f aca="false">IFERROR('Enter data'!$A$6,"")</f>
        <v>0</v>
      </c>
      <c r="C6" s="15" t="n">
        <f aca="false">IFERROR(COUNT('Enter data'!$C$12:$C$41),"")</f>
        <v>0</v>
      </c>
      <c r="D6" s="16" t="str">
        <f aca="false">IFERROR(AVERAGE('Enter data'!$C$12:$C$41),"")</f>
        <v/>
      </c>
      <c r="E6" s="16" t="str">
        <f aca="false">IFERROR(STDEV('Enter data'!$C$12:$C$41),"")</f>
        <v/>
      </c>
      <c r="F6" s="16" t="str">
        <f aca="false">IFERROR(STDEV('Enter data'!$C$12:$C$41)/SQRT(COUNT('Enter data'!$C$12:$C$41)),"")</f>
        <v/>
      </c>
      <c r="G6" s="16" t="n">
        <f aca="false">IFERROR(MIN('Enter data'!$C$12:$C$41),"")</f>
        <v>0</v>
      </c>
      <c r="H6" s="16" t="n">
        <f aca="false">IFERROR(MAX('Enter data'!$C$12:$C$41),"")</f>
        <v>0</v>
      </c>
    </row>
    <row r="7" customFormat="false" ht="15" hidden="false" customHeight="false" outlineLevel="0" collapsed="false">
      <c r="B7" s="14" t="n">
        <f aca="false">IFERROR('Enter data'!$B$6,"")</f>
        <v>0</v>
      </c>
      <c r="C7" s="15" t="n">
        <f aca="false">IFERROR(COUNT('Enter data'!$C$47:$C$76),"")</f>
        <v>0</v>
      </c>
      <c r="D7" s="16" t="str">
        <f aca="false">IFERROR(AVERAGE('Enter data'!$C$47:$C$76),"")</f>
        <v/>
      </c>
      <c r="E7" s="16" t="str">
        <f aca="false">IFERROR(STDEV('Enter data'!$C$47:$C$76),"")</f>
        <v/>
      </c>
      <c r="F7" s="16" t="str">
        <f aca="false">IFERROR(STDEV('Enter data'!$C$47:$C$76)/SQRT(COUNT('Enter data'!$C$47:$C$76)),"")</f>
        <v/>
      </c>
      <c r="G7" s="16" t="n">
        <f aca="false">IFERROR(MIN('Enter data'!$C$47:$C$76),"")</f>
        <v>0</v>
      </c>
      <c r="H7" s="16" t="n">
        <f aca="false">IFERROR(MAX('Enter data'!$C$47:$C$76),"")</f>
        <v>0</v>
      </c>
    </row>
    <row r="8" customFormat="false" ht="15" hidden="false" customHeight="false" outlineLevel="0" collapsed="false">
      <c r="B8" s="14" t="n">
        <f aca="false">IFERROR('Enter data'!$C$6,"")</f>
        <v>0</v>
      </c>
      <c r="C8" s="15" t="n">
        <f aca="false">IFERROR(COUNT('Enter data'!$C$82:$C$111),"")</f>
        <v>0</v>
      </c>
      <c r="D8" s="16" t="str">
        <f aca="false">IFERROR(AVERAGE('Enter data'!$C$82:$C$111),"")</f>
        <v/>
      </c>
      <c r="E8" s="16" t="str">
        <f aca="false">IFERROR(STDEV('Enter data'!$C$82:$C$111),"")</f>
        <v/>
      </c>
      <c r="F8" s="16" t="str">
        <f aca="false">IFERROR(STDEV('Enter data'!$C$82:$C$111)/SQRT(COUNT('Enter data'!$C$82:$C$111)),"")</f>
        <v/>
      </c>
      <c r="G8" s="16" t="n">
        <f aca="false">IFERROR(MIN('Enter data'!$C$82:$C$111),"")</f>
        <v>0</v>
      </c>
      <c r="H8" s="16" t="n">
        <f aca="false">IFERROR(MAX('Enter data'!$C$82:$C$111),"")</f>
        <v>0</v>
      </c>
    </row>
    <row r="9" customFormat="false" ht="15" hidden="false" customHeight="false" outlineLevel="0" collapsed="false">
      <c r="B9" s="14" t="n">
        <f aca="false">IFERROR('Enter data'!$D$6,"")</f>
        <v>0</v>
      </c>
      <c r="C9" s="15" t="n">
        <f aca="false">IFERROR(COUNT('Enter data'!$C$117:$C$146),"")</f>
        <v>0</v>
      </c>
      <c r="D9" s="16" t="str">
        <f aca="false">IFERROR(AVERAGE('Enter data'!$C$117:$C$146),"")</f>
        <v/>
      </c>
      <c r="E9" s="16" t="str">
        <f aca="false">IFERROR(STDEV('Enter data'!$C$117:$C$146),"")</f>
        <v/>
      </c>
      <c r="F9" s="16" t="str">
        <f aca="false">IFERROR(STDEV('Enter data'!$C$117:$C$146)/SQRT(COUNT('Enter data'!$C$117:$C$146)),"")</f>
        <v/>
      </c>
      <c r="G9" s="16" t="n">
        <f aca="false">IFERROR(MIN('Enter data'!$C$117:$C$146),"")</f>
        <v>0</v>
      </c>
      <c r="H9" s="16" t="n">
        <f aca="false">IFERROR(MAX('Enter data'!$C$117:$C$146),"")</f>
        <v>0</v>
      </c>
    </row>
    <row r="12" customFormat="false" ht="15" hidden="false" customHeight="false" outlineLevel="0" collapsed="false">
      <c r="B12" s="9" t="s">
        <v>43</v>
      </c>
    </row>
    <row r="13" customFormat="false" ht="15" hidden="false" customHeight="false" outlineLevel="0" collapsed="false">
      <c r="B13" s="17" t="s">
        <v>44</v>
      </c>
      <c r="C13" s="18" t="n">
        <f aca="false">IFERROR(SUM($C$6:$C$9),"")</f>
        <v>0</v>
      </c>
    </row>
    <row r="14" customFormat="false" ht="15" hidden="false" customHeight="false" outlineLevel="0" collapsed="false">
      <c r="B14" s="17" t="s">
        <v>45</v>
      </c>
      <c r="C14" s="19" t="str">
        <f aca="false">IFERROR(SUMPRODUCT($C$6:$C$9,$D$6:$D$9)/$C$13,"")</f>
        <v/>
      </c>
    </row>
    <row r="15" customFormat="false" ht="15" hidden="false" customHeight="false" outlineLevel="0" collapsed="false">
      <c r="B15" s="17" t="s">
        <v>46</v>
      </c>
      <c r="C15" s="19" t="str">
        <f aca="false">IFERROR(SUMPRODUCT($C$6:$C$9,($D$6:$D$9-$C$14)^2),"")</f>
        <v/>
      </c>
    </row>
    <row r="16" customFormat="false" ht="15" hidden="false" customHeight="false" outlineLevel="0" collapsed="false">
      <c r="B16" s="17" t="s">
        <v>47</v>
      </c>
      <c r="C16" s="19" t="str">
        <f aca="false">IFERROR(SUMPRODUCT($C$6:$C$9-1,$E$6:$E$9^2),"")</f>
        <v/>
      </c>
    </row>
    <row r="17" customFormat="false" ht="15" hidden="false" customHeight="false" outlineLevel="0" collapsed="false">
      <c r="B17" s="17" t="s">
        <v>48</v>
      </c>
      <c r="C17" s="20" t="str">
        <f aca="false">IFERROR(($C$15/(4-1))/($C$16/($C$13-4)),"")</f>
        <v/>
      </c>
    </row>
    <row r="18" customFormat="false" ht="15" hidden="false" customHeight="false" outlineLevel="0" collapsed="false">
      <c r="B18" s="17" t="s">
        <v>49</v>
      </c>
      <c r="C18" s="21" t="str">
        <f aca="false">IFERROR(FDIST($C$17,4-1,$C$13-4),"")</f>
        <v/>
      </c>
    </row>
    <row r="19" customFormat="false" ht="30" hidden="false" customHeight="true" outlineLevel="0" collapsed="false">
      <c r="B19" s="10" t="s">
        <v>50</v>
      </c>
      <c r="C19" s="10" t="s">
        <v>51</v>
      </c>
      <c r="D19" s="10" t="s">
        <v>52</v>
      </c>
      <c r="E19" s="10" t="s">
        <v>53</v>
      </c>
    </row>
    <row r="20" customFormat="false" ht="15" hidden="false" customHeight="false" outlineLevel="0" collapsed="false">
      <c r="B20" s="14" t="str">
        <f aca="false">IFERROR('Enter data'!$A$6&amp;" vs "&amp;'Enter data'!$B$6,"")</f>
        <v> vs </v>
      </c>
      <c r="C20" s="22" t="str">
        <f aca="false">IFERROR($D$6-$D$7,"")</f>
        <v/>
      </c>
      <c r="D20" s="23" t="str">
        <f aca="false">IFERROR(TTEST('Enter data'!$C$12:$C$41,'Enter data'!$C$47:$C$76,2,3),"")</f>
        <v/>
      </c>
      <c r="E20" s="23" t="str">
        <f aca="false">IFERROR(MIN(1,6*D20),"")</f>
        <v/>
      </c>
    </row>
    <row r="21" customFormat="false" ht="15" hidden="false" customHeight="false" outlineLevel="0" collapsed="false">
      <c r="B21" s="14" t="str">
        <f aca="false">IFERROR('Enter data'!$A$6&amp;" vs "&amp;'Enter data'!$C$6,"")</f>
        <v> vs </v>
      </c>
      <c r="C21" s="22" t="str">
        <f aca="false">IFERROR($D$6-$D$8,"")</f>
        <v/>
      </c>
      <c r="D21" s="23" t="str">
        <f aca="false">IFERROR(TTEST('Enter data'!$C$12:$C$41,'Enter data'!$C$82:$C$111,2,3),"")</f>
        <v/>
      </c>
      <c r="E21" s="23" t="str">
        <f aca="false">IFERROR(MIN(1,6*D21),"")</f>
        <v/>
      </c>
    </row>
    <row r="22" customFormat="false" ht="15" hidden="false" customHeight="false" outlineLevel="0" collapsed="false">
      <c r="B22" s="14" t="str">
        <f aca="false">IFERROR('Enter data'!$A$6&amp;" vs "&amp;'Enter data'!$D$6,"")</f>
        <v> vs </v>
      </c>
      <c r="C22" s="22" t="str">
        <f aca="false">IFERROR($D$6-$D$9,"")</f>
        <v/>
      </c>
      <c r="D22" s="23" t="str">
        <f aca="false">IFERROR(TTEST('Enter data'!$C$12:$C$41,'Enter data'!$C$117:$C$146,2,3),"")</f>
        <v/>
      </c>
      <c r="E22" s="23" t="str">
        <f aca="false">IFERROR(MIN(1,6*D22),"")</f>
        <v/>
      </c>
    </row>
    <row r="23" customFormat="false" ht="15" hidden="false" customHeight="false" outlineLevel="0" collapsed="false">
      <c r="B23" s="14" t="str">
        <f aca="false">IFERROR('Enter data'!$B$6&amp;" vs "&amp;'Enter data'!$C$6,"")</f>
        <v> vs </v>
      </c>
      <c r="C23" s="22" t="str">
        <f aca="false">IFERROR($D$7-$D$8,"")</f>
        <v/>
      </c>
      <c r="D23" s="23" t="str">
        <f aca="false">IFERROR(TTEST('Enter data'!$C$47:$C$76,'Enter data'!$C$82:$C$111,2,3),"")</f>
        <v/>
      </c>
      <c r="E23" s="23" t="str">
        <f aca="false">IFERROR(MIN(1,6*D23),"")</f>
        <v/>
      </c>
    </row>
    <row r="24" customFormat="false" ht="15" hidden="false" customHeight="false" outlineLevel="0" collapsed="false">
      <c r="B24" s="14" t="str">
        <f aca="false">IFERROR('Enter data'!$B$6&amp;" vs "&amp;'Enter data'!$D$6,"")</f>
        <v> vs </v>
      </c>
      <c r="C24" s="22" t="str">
        <f aca="false">IFERROR($D$7-$D$9,"")</f>
        <v/>
      </c>
      <c r="D24" s="23" t="str">
        <f aca="false">IFERROR(TTEST('Enter data'!$C$47:$C$76,'Enter data'!$C$117:$C$146,2,3),"")</f>
        <v/>
      </c>
      <c r="E24" s="23" t="str">
        <f aca="false">IFERROR(MIN(1,6*D24),"")</f>
        <v/>
      </c>
    </row>
    <row r="25" customFormat="false" ht="15" hidden="false" customHeight="false" outlineLevel="0" collapsed="false">
      <c r="B25" s="14" t="str">
        <f aca="false">IFERROR('Enter data'!$C$6&amp;" vs "&amp;'Enter data'!$D$6,"")</f>
        <v> vs </v>
      </c>
      <c r="C25" s="22" t="str">
        <f aca="false">IFERROR($D$8-$D$9,"")</f>
        <v/>
      </c>
      <c r="D25" s="23" t="str">
        <f aca="false">IFERROR(TTEST('Enter data'!$C$82:$C$111,'Enter data'!$C$117:$C$146,2,3),"")</f>
        <v/>
      </c>
      <c r="E25" s="23" t="str">
        <f aca="false">IFERROR(MIN(1,6*D25),"")</f>
        <v/>
      </c>
    </row>
    <row r="28" customFormat="false" ht="15" hidden="false" customHeight="false" outlineLevel="0" collapsed="false">
      <c r="B28" s="9" t="s">
        <v>54</v>
      </c>
    </row>
    <row r="29" customFormat="false" ht="15" hidden="false" customHeight="false" outlineLevel="0" collapsed="false">
      <c r="B29" s="17" t="s">
        <v>55</v>
      </c>
      <c r="C29" s="18" t="n">
        <f aca="false">IFERROR(SUMPRODUCT(--ISNUMBER('Enter data'!$A$152:$A$181),--ISNUMBER('Enter data'!$B$152:$B$181)),"")</f>
        <v>0</v>
      </c>
    </row>
    <row r="30" customFormat="false" ht="15" hidden="false" customHeight="false" outlineLevel="0" collapsed="false">
      <c r="B30" s="17" t="s">
        <v>56</v>
      </c>
      <c r="C30" s="20" t="str">
        <f aca="false">IFERROR(AVERAGE('Enter data'!$B$152:$B$181)-AVERAGE('Enter data'!$A$152:$A$181),"")</f>
        <v/>
      </c>
    </row>
    <row r="31" customFormat="false" ht="15" hidden="false" customHeight="false" outlineLevel="0" collapsed="false">
      <c r="B31" s="17" t="s">
        <v>57</v>
      </c>
      <c r="C31" s="20" t="str">
        <f aca="false">IFERROR(CORREL('Enter data'!$A$152:$A$181,'Enter data'!$B$152:$B$181),"")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2026-10-01T00:30:14Z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2026-10-01T00:30:14Z</dcterms:modified>
  <cp:revision>0</cp:revision>
  <dc:subject/>
  <dc:title>ZOO-05 Animal tissues: cell shape measurements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