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<sst xmlns="http://schemas.openxmlformats.org/spreadsheetml/2006/main" count="39" uniqueCount="37">
  <si>
    <t xml:space="preserve">EVO-05  Testing Hardy-Weinberg proportions</t>
  </si>
  <si>
    <t xml:space="preserve">Excel version of the card. It does the same calculations as the R script evo05_hardy_weinberg.R.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</si>
  <si>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</si>
  <si>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</si>
  <si>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</si>
  <si>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</si>
  <si>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</si>
  <si>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</si>
  <si>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</si>
  <si>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</si>
  <si>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p = (2 AA + Aa) / 2n. Expected counts n p^2, 2 n p q, n q^2. Chi-square with 1 degree of freedom (3 classes, minus 1, minus 1 estimated allele frequency). F = 1 - observed / expected heterozygosity.</t>
  </si>
  <si>
    <t xml:space="preserve">The last row of the results pools all populations entered, to show a Wahlund effect (heterozygote deficit from pooling populations with different allele frequencies).</t>
  </si>
  <si>
    <t xml:space="preserve">Differences from the R script on the card</t>
  </si>
  <si>
    <t xml:space="preserve">The R script also runs an exact test and a power simulation. The exact test and the power table are not repeated here; with small samples an exact test is preferable.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</si>
  <si>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</si>
  <si>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</si>
  <si>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</si>
  <si>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</si>
  <si>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Genotype counts</t>
  </si>
  <si>
    <t xml:space="preserve">Population</t>
  </si>
  <si>
    <t xml:space="preserve">AA</t>
  </si>
  <si>
    <t xml:space="preserve">Aa</t>
  </si>
  <si>
    <t xml:space="preserve">aa</t>
  </si>
  <si>
    <t xml:space="preserve">A</t>
  </si>
  <si>
    <t xml:space="preserve">B</t>
  </si>
  <si>
    <t xml:space="preserve">C</t>
  </si>
  <si>
    <t xml:space="preserve">D</t>
  </si>
  <si>
    <t xml:space="preserve">Results</t>
  </si>
  <si>
    <t xml:space="preserve">Everything on this sheet is calculated. Change only the yellow settings.</t>
  </si>
  <si>
    <t xml:space="preserve">Hardy-Weinberg tests</t>
  </si>
  <si>
    <t xml:space="preserve">n</t>
  </si>
  <si>
    <t xml:space="preserve">Allele frequency p</t>
  </si>
  <si>
    <t xml:space="preserve">Expected heterozygosity</t>
  </si>
  <si>
    <t xml:space="preserve">Observed heterozygosity</t>
  </si>
  <si>
    <t xml:space="preserve">F</t>
  </si>
  <si>
    <t xml:space="preserve">Chi-square</t>
  </si>
  <si>
    <t xml:space="preserve">p value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</si>
</sst>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"/>
    <numFmt numFmtId="167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</row>
    <row r="6" customFormat="false" ht="15" hidden="false" customHeight="false" outlineLevel="0" collapsed="false">
      <c r="A6" s="11" t="s">
        <v>23</v>
      </c>
      <c r="B6" s="11" t="n">
        <v>100</v>
      </c>
      <c r="C6" s="11" t="n">
        <v>40</v>
      </c>
      <c r="D6" s="11" t="n">
        <v>60</v>
      </c>
    </row>
    <row r="7" customFormat="false" ht="15" hidden="false" customHeight="false" outlineLevel="0" collapsed="false">
      <c r="A7" s="12" t="s">
        <v>23</v>
      </c>
      <c r="B7" s="12" t="n">
        <v>129</v>
      </c>
      <c r="C7" s="12" t="n">
        <v>56</v>
      </c>
      <c r="D7" s="12" t="n">
        <v>15</v>
      </c>
    </row>
    <row r="8" customFormat="false" ht="15" hidden="false" customHeight="false" outlineLevel="0" collapsed="false">
      <c r="A8" s="12" t="s">
        <v>24</v>
      </c>
      <c r="B8" s="12" t="n">
        <v>9</v>
      </c>
      <c r="C8" s="12" t="n">
        <v>57</v>
      </c>
      <c r="D8" s="12" t="n">
        <v>134</v>
      </c>
    </row>
    <row r="9" customFormat="false" ht="15" hidden="false" customHeight="false" outlineLevel="0" collapsed="false">
      <c r="A9" s="12" t="s">
        <v>25</v>
      </c>
      <c r="B9" s="12" t="n">
        <v>56</v>
      </c>
      <c r="C9" s="12" t="n">
        <v>99</v>
      </c>
      <c r="D9" s="12" t="n">
        <v>45</v>
      </c>
    </row>
    <row r="10" customFormat="false" ht="15" hidden="false" customHeight="false" outlineLevel="0" collapsed="false">
      <c r="A10" s="12" t="s">
        <v>26</v>
      </c>
      <c r="B10" s="12" t="n">
        <v>72</v>
      </c>
      <c r="C10" s="12" t="n">
        <v>71</v>
      </c>
      <c r="D10" s="12" t="n">
        <v>57</v>
      </c>
    </row>
    <row r="11" customFormat="false" ht="15" hidden="false" customHeight="false" outlineLevel="0" collapsed="false">
      <c r="A11" s="12"/>
      <c r="B11" s="12"/>
      <c r="C11" s="12"/>
      <c r="D11" s="12"/>
    </row>
    <row r="12" customFormat="false" ht="15" hidden="false" customHeight="false" outlineLevel="0" collapsed="false">
      <c r="A12" s="12"/>
      <c r="B12" s="12"/>
      <c r="C12" s="12"/>
      <c r="D12" s="12"/>
    </row>
    <row r="13" customFormat="false" ht="15" hidden="false" customHeight="false" outlineLevel="0" collapsed="false">
      <c r="A13" s="12"/>
      <c r="B13" s="12"/>
      <c r="C13" s="12"/>
      <c r="D13" s="12"/>
    </row>
    <row r="14" customFormat="false" ht="15" hidden="false" customHeight="false" outlineLevel="0" collapsed="false">
      <c r="A14" s="12"/>
      <c r="B14" s="12"/>
      <c r="C14" s="12"/>
      <c r="D14" s="12"/>
    </row>
    <row r="15" customFormat="false" ht="15" hidden="false" customHeight="false" outlineLevel="0" collapsed="false">
      <c r="A15" s="12"/>
      <c r="B15" s="12"/>
      <c r="C15" s="12"/>
      <c r="D15" s="12"/>
    </row>
    <row r="16" customFormat="false" ht="15" hidden="false" customHeight="false" outlineLevel="0" collapsed="false">
      <c r="A16" s="12"/>
      <c r="B16" s="12"/>
      <c r="C16" s="12"/>
      <c r="D16" s="12"/>
    </row>
    <row r="17" customFormat="false" ht="15" hidden="false" customHeight="false" outlineLevel="0" collapsed="false">
      <c r="A17" s="12"/>
      <c r="B17" s="12"/>
      <c r="C17" s="12"/>
      <c r="D17" s="12"/>
    </row>
    <row r="18" customFormat="false" ht="15" hidden="false" customHeight="false" outlineLevel="0" collapsed="false">
      <c r="A18" s="12"/>
      <c r="B18" s="12"/>
      <c r="C18" s="12"/>
      <c r="D18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D18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27</v>
      </c>
    </row>
    <row r="2" customFormat="false" ht="15" hidden="false" customHeight="false" outlineLevel="0" collapsed="false">
      <c r="B2" s="8" t="s">
        <v>28</v>
      </c>
    </row>
    <row r="4" customFormat="false" ht="15" hidden="false" customHeight="false" outlineLevel="0" collapsed="false">
      <c r="B4" s="9" t="s">
        <v>29</v>
      </c>
    </row>
    <row r="5" customFormat="false" ht="30" hidden="false" customHeight="true" outlineLevel="0" collapsed="false">
      <c r="B5" s="10" t="s">
        <v>19</v>
      </c>
      <c r="C5" s="10" t="s">
        <v>30</v>
      </c>
      <c r="D5" s="10" t="s">
        <v>31</v>
      </c>
      <c r="E5" s="10" t="s">
        <v>32</v>
      </c>
      <c r="F5" s="10" t="s">
        <v>33</v>
      </c>
      <c r="G5" s="10" t="s">
        <v>34</v>
      </c>
      <c r="H5" s="10" t="s">
        <v>35</v>
      </c>
      <c r="I5" s="10" t="s">
        <v>36</v>
      </c>
    </row>
    <row r="6" customFormat="false" ht="15" hidden="false" customHeight="false" outlineLevel="0" collapsed="false">
      <c r="B6" s="13" t="str">
        <f aca="false">IFERROR(IF(COUNT('Enter data'!$B$7,'Enter data'!$C$7,'Enter data'!$D$7)=3,'Enter data'!$A$7,""),"")</f>
        <v>A</v>
      </c>
      <c r="C6" s="14" t="n">
        <f aca="false">IFERROR(IF(COUNT('Enter data'!$B$7,'Enter data'!$C$7,'Enter data'!$D$7)=3,('Enter data'!$B$7+'Enter data'!$C$7+'Enter data'!$D$7),""),"")</f>
        <v>200</v>
      </c>
      <c r="D6" s="15" t="n">
        <f aca="false">IFERROR(IF(COUNT('Enter data'!$B$7,'Enter data'!$C$7,'Enter data'!$D$7)=3,((2*'Enter data'!$B$7+'Enter data'!$C$7)/(2*('Enter data'!$B$7+'Enter data'!$C$7+'Enter data'!$D$7))),""),"")</f>
        <v>0.785</v>
      </c>
      <c r="E6" s="15" t="n">
        <f aca="false">IFERROR(IF(COUNT('Enter data'!$B$7,'Enter data'!$C$7,'Enter data'!$D$7)=3,2*D6*(1-D6),""),"")</f>
        <v>0.33755</v>
      </c>
      <c r="F6" s="15" t="n">
        <f aca="false">IFERROR(IF(COUNT('Enter data'!$B$7,'Enter data'!$C$7,'Enter data'!$D$7)=3,'Enter data'!$C$7/('Enter data'!$B$7+'Enter data'!$C$7+'Enter data'!$D$7),""),"")</f>
        <v>0.28</v>
      </c>
      <c r="G6" s="15" t="n">
        <f aca="false">IFERROR(IF(COUNT('Enter data'!$B$7,'Enter data'!$C$7,'Enter data'!$D$7)=3,1-F6/E6,""),"")</f>
        <v>0.170493260257739</v>
      </c>
      <c r="H6" s="15" t="n">
        <f aca="false">IFERROR(IF(COUNT('Enter data'!$B$7,'Enter data'!$C$7,'Enter data'!$D$7)=3,('Enter data'!$B$7-('Enter data'!$B$7+'Enter data'!$C$7+'Enter data'!$D$7)*D6^2)^2/(('Enter data'!$B$7+'Enter data'!$C$7+'Enter data'!$D$7)*D6^2)+('Enter data'!$C$7-2*('Enter data'!$B$7+'Enter data'!$C$7+'Enter data'!$D$7)*D6*(1-D6))^2/(2*('Enter data'!$B$7+'Enter data'!$C$7+'Enter data'!$D$7)*D6*(1-D6))+('Enter data'!$D$7-('Enter data'!$B$7+'Enter data'!$C$7+'Enter data'!$D$7)*(1-D6)^2)^2/(('Enter data'!$B$7+'Enter data'!$C$7+'Enter data'!$D$7)*(1-D6)^2),""),"")</f>
        <v>5.81359035866267</v>
      </c>
      <c r="I6" s="16" t="n">
        <f aca="false">IFERROR(IF(ISNUMBER(H6),CHIDIST(H6,1),""),"")</f>
        <v>0.015902794658737</v>
      </c>
    </row>
    <row r="7" customFormat="false" ht="15" hidden="false" customHeight="false" outlineLevel="0" collapsed="false">
      <c r="B7" s="13" t="str">
        <f aca="false">IFERROR(IF(COUNT('Enter data'!$B$8,'Enter data'!$C$8,'Enter data'!$D$8)=3,'Enter data'!$A$8,""),"")</f>
        <v>B</v>
      </c>
      <c r="C7" s="14" t="n">
        <f aca="false">IFERROR(IF(COUNT('Enter data'!$B$8,'Enter data'!$C$8,'Enter data'!$D$8)=3,('Enter data'!$B$8+'Enter data'!$C$8+'Enter data'!$D$8),""),"")</f>
        <v>200</v>
      </c>
      <c r="D7" s="15" t="n">
        <f aca="false">IFERROR(IF(COUNT('Enter data'!$B$8,'Enter data'!$C$8,'Enter data'!$D$8)=3,((2*'Enter data'!$B$8+'Enter data'!$C$8)/(2*('Enter data'!$B$8+'Enter data'!$C$8+'Enter data'!$D$8))),""),"")</f>
        <v>0.1875</v>
      </c>
      <c r="E7" s="15" t="n">
        <f aca="false">IFERROR(IF(COUNT('Enter data'!$B$8,'Enter data'!$C$8,'Enter data'!$D$8)=3,2*D7*(1-D7),""),"")</f>
        <v>0.3046875</v>
      </c>
      <c r="F7" s="15" t="n">
        <f aca="false">IFERROR(IF(COUNT('Enter data'!$B$8,'Enter data'!$C$8,'Enter data'!$D$8)=3,'Enter data'!$C$8/('Enter data'!$B$8+'Enter data'!$C$8+'Enter data'!$D$8),""),"")</f>
        <v>0.285</v>
      </c>
      <c r="G7" s="15" t="n">
        <f aca="false">IFERROR(IF(COUNT('Enter data'!$B$8,'Enter data'!$C$8,'Enter data'!$D$8)=3,1-F7/E7,""),"")</f>
        <v>0.0646153846153847</v>
      </c>
      <c r="H7" s="15" t="n">
        <f aca="false">IFERROR(IF(COUNT('Enter data'!$B$8,'Enter data'!$C$8,'Enter data'!$D$8)=3,('Enter data'!$B$8-('Enter data'!$B$8+'Enter data'!$C$8+'Enter data'!$D$8)*D7^2)^2/(('Enter data'!$B$8+'Enter data'!$C$8+'Enter data'!$D$8)*D7^2)+('Enter data'!$C$8-2*('Enter data'!$B$8+'Enter data'!$C$8+'Enter data'!$D$8)*D7*(1-D7))^2/(2*('Enter data'!$B$8+'Enter data'!$C$8+'Enter data'!$D$8)*D7*(1-D7))+('Enter data'!$D$8-('Enter data'!$B$8+'Enter data'!$C$8+'Enter data'!$D$8)*(1-D7)^2)^2/(('Enter data'!$B$8+'Enter data'!$C$8+'Enter data'!$D$8)*(1-D7)^2),""),"")</f>
        <v>0.835029585798817</v>
      </c>
      <c r="I7" s="16" t="n">
        <f aca="false">IFERROR(IF(ISNUMBER(H7),CHIDIST(H7,1),""),"")</f>
        <v>0.36082219208744</v>
      </c>
    </row>
    <row r="8" customFormat="false" ht="15" hidden="false" customHeight="false" outlineLevel="0" collapsed="false">
      <c r="B8" s="13" t="str">
        <f aca="false">IFERROR(IF(COUNT('Enter data'!$B$9,'Enter data'!$C$9,'Enter data'!$D$9)=3,'Enter data'!$A$9,""),"")</f>
        <v>C</v>
      </c>
      <c r="C8" s="14" t="n">
        <f aca="false">IFERROR(IF(COUNT('Enter data'!$B$9,'Enter data'!$C$9,'Enter data'!$D$9)=3,('Enter data'!$B$9+'Enter data'!$C$9+'Enter data'!$D$9),""),"")</f>
        <v>200</v>
      </c>
      <c r="D8" s="15" t="n">
        <f aca="false">IFERROR(IF(COUNT('Enter data'!$B$9,'Enter data'!$C$9,'Enter data'!$D$9)=3,((2*'Enter data'!$B$9+'Enter data'!$C$9)/(2*('Enter data'!$B$9+'Enter data'!$C$9+'Enter data'!$D$9))),""),"")</f>
        <v>0.5275</v>
      </c>
      <c r="E8" s="15" t="n">
        <f aca="false">IFERROR(IF(COUNT('Enter data'!$B$9,'Enter data'!$C$9,'Enter data'!$D$9)=3,2*D8*(1-D8),""),"")</f>
        <v>0.4984875</v>
      </c>
      <c r="F8" s="15" t="n">
        <f aca="false">IFERROR(IF(COUNT('Enter data'!$B$9,'Enter data'!$C$9,'Enter data'!$D$9)=3,'Enter data'!$C$9/('Enter data'!$B$9+'Enter data'!$C$9+'Enter data'!$D$9),""),"")</f>
        <v>0.495</v>
      </c>
      <c r="G8" s="15" t="n">
        <f aca="false">IFERROR(IF(COUNT('Enter data'!$B$9,'Enter data'!$C$9,'Enter data'!$D$9)=3,1-F8/E8,""),"")</f>
        <v>0.00699616339426767</v>
      </c>
      <c r="H8" s="15" t="n">
        <f aca="false">IFERROR(IF(COUNT('Enter data'!$B$9,'Enter data'!$C$9,'Enter data'!$D$9)=3,('Enter data'!$B$9-('Enter data'!$B$9+'Enter data'!$C$9+'Enter data'!$D$9)*D8^2)^2/(('Enter data'!$B$9+'Enter data'!$C$9+'Enter data'!$D$9)*D8^2)+('Enter data'!$C$9-2*('Enter data'!$B$9+'Enter data'!$C$9+'Enter data'!$D$9)*D8*(1-D8))^2/(2*('Enter data'!$B$9+'Enter data'!$C$9+'Enter data'!$D$9)*D8*(1-D8))+('Enter data'!$D$9-('Enter data'!$B$9+'Enter data'!$C$9+'Enter data'!$D$9)*(1-D8)^2)^2/(('Enter data'!$B$9+'Enter data'!$C$9+'Enter data'!$D$9)*(1-D8)^2),""),"")</f>
        <v>0.00978926044785819</v>
      </c>
      <c r="I8" s="16" t="n">
        <f aca="false">IFERROR(IF(ISNUMBER(H8),CHIDIST(H8,1),""),"")</f>
        <v>0.921185360195305</v>
      </c>
    </row>
    <row r="9" customFormat="false" ht="15" hidden="false" customHeight="false" outlineLevel="0" collapsed="false">
      <c r="B9" s="13" t="str">
        <f aca="false">IFERROR(IF(COUNT('Enter data'!$B$10,'Enter data'!$C$10,'Enter data'!$D$10)=3,'Enter data'!$A$10,""),"")</f>
        <v>D</v>
      </c>
      <c r="C9" s="14" t="n">
        <f aca="false">IFERROR(IF(COUNT('Enter data'!$B$10,'Enter data'!$C$10,'Enter data'!$D$10)=3,('Enter data'!$B$10+'Enter data'!$C$10+'Enter data'!$D$10),""),"")</f>
        <v>200</v>
      </c>
      <c r="D9" s="15" t="n">
        <f aca="false">IFERROR(IF(COUNT('Enter data'!$B$10,'Enter data'!$C$10,'Enter data'!$D$10)=3,((2*'Enter data'!$B$10+'Enter data'!$C$10)/(2*('Enter data'!$B$10+'Enter data'!$C$10+'Enter data'!$D$10))),""),"")</f>
        <v>0.5375</v>
      </c>
      <c r="E9" s="15" t="n">
        <f aca="false">IFERROR(IF(COUNT('Enter data'!$B$10,'Enter data'!$C$10,'Enter data'!$D$10)=3,2*D9*(1-D9),""),"")</f>
        <v>0.4971875</v>
      </c>
      <c r="F9" s="15" t="n">
        <f aca="false">IFERROR(IF(COUNT('Enter data'!$B$10,'Enter data'!$C$10,'Enter data'!$D$10)=3,'Enter data'!$C$10/('Enter data'!$B$10+'Enter data'!$C$10+'Enter data'!$D$10),""),"")</f>
        <v>0.355</v>
      </c>
      <c r="G9" s="15" t="n">
        <f aca="false">IFERROR(IF(COUNT('Enter data'!$B$10,'Enter data'!$C$10,'Enter data'!$D$10)=3,1-F9/E9,""),"")</f>
        <v>0.285983658076681</v>
      </c>
      <c r="H9" s="15" t="n">
        <f aca="false">IFERROR(IF(COUNT('Enter data'!$B$10,'Enter data'!$C$10,'Enter data'!$D$10)=3,('Enter data'!$B$10-('Enter data'!$B$10+'Enter data'!$C$10+'Enter data'!$D$10)*D9^2)^2/(('Enter data'!$B$10+'Enter data'!$C$10+'Enter data'!$D$10)*D9^2)+('Enter data'!$C$10-2*('Enter data'!$B$10+'Enter data'!$C$10+'Enter data'!$D$10)*D9*(1-D9))^2/(2*('Enter data'!$B$10+'Enter data'!$C$10+'Enter data'!$D$10)*D9*(1-D9))+('Enter data'!$D$10-('Enter data'!$B$10+'Enter data'!$C$10+'Enter data'!$D$10)*(1-D9)^2)^2/(('Enter data'!$B$10+'Enter data'!$C$10+'Enter data'!$D$10)*(1-D9)^2),""),"")</f>
        <v>16.357330537384</v>
      </c>
      <c r="I9" s="16" t="n">
        <f aca="false">IFERROR(IF(ISNUMBER(H9),CHIDIST(H9,1),""),"")</f>
        <v>5.24528867996305E-005</v>
      </c>
    </row>
    <row r="10" customFormat="false" ht="15" hidden="false" customHeight="false" outlineLevel="0" collapsed="false">
      <c r="B10" s="13" t="str">
        <f aca="false">IFERROR(IF(COUNT('Enter data'!$B$11,'Enter data'!$C$11,'Enter data'!$D$11)=3,'Enter data'!$A$11,""),"")</f>
        <v/>
      </c>
      <c r="C10" s="14" t="str">
        <f aca="false">IFERROR(IF(COUNT('Enter data'!$B$11,'Enter data'!$C$11,'Enter data'!$D$11)=3,('Enter data'!$B$11+'Enter data'!$C$11+'Enter data'!$D$11),""),"")</f>
        <v/>
      </c>
      <c r="D10" s="15" t="str">
        <f aca="false">IFERROR(IF(COUNT('Enter data'!$B$11,'Enter data'!$C$11,'Enter data'!$D$11)=3,((2*'Enter data'!$B$11+'Enter data'!$C$11)/(2*('Enter data'!$B$11+'Enter data'!$C$11+'Enter data'!$D$11))),""),"")</f>
        <v/>
      </c>
      <c r="E10" s="15" t="str">
        <f aca="false">IFERROR(IF(COUNT('Enter data'!$B$11,'Enter data'!$C$11,'Enter data'!$D$11)=3,2*D10*(1-D10),""),"")</f>
        <v/>
      </c>
      <c r="F10" s="15" t="str">
        <f aca="false">IFERROR(IF(COUNT('Enter data'!$B$11,'Enter data'!$C$11,'Enter data'!$D$11)=3,'Enter data'!$C$11/('Enter data'!$B$11+'Enter data'!$C$11+'Enter data'!$D$11),""),"")</f>
        <v/>
      </c>
      <c r="G10" s="15" t="str">
        <f aca="false">IFERROR(IF(COUNT('Enter data'!$B$11,'Enter data'!$C$11,'Enter data'!$D$11)=3,1-F10/E10,""),"")</f>
        <v/>
      </c>
      <c r="H10" s="15" t="str">
        <f aca="false">IFERROR(IF(COUNT('Enter data'!$B$11,'Enter data'!$C$11,'Enter data'!$D$11)=3,('Enter data'!$B$11-('Enter data'!$B$11+'Enter data'!$C$11+'Enter data'!$D$11)*D10^2)^2/(('Enter data'!$B$11+'Enter data'!$C$11+'Enter data'!$D$11)*D10^2)+('Enter data'!$C$11-2*('Enter data'!$B$11+'Enter data'!$C$11+'Enter data'!$D$11)*D10*(1-D10))^2/(2*('Enter data'!$B$11+'Enter data'!$C$11+'Enter data'!$D$11)*D10*(1-D10))+('Enter data'!$D$11-('Enter data'!$B$11+'Enter data'!$C$11+'Enter data'!$D$11)*(1-D10)^2)^2/(('Enter data'!$B$11+'Enter data'!$C$11+'Enter data'!$D$11)*(1-D10)^2),""),"")</f>
        <v/>
      </c>
      <c r="I10" s="16" t="str">
        <f aca="false">IFERROR(IF(ISNUMBER(H10),CHIDIST(H10,1),""),"")</f>
        <v/>
      </c>
    </row>
    <row r="11" customFormat="false" ht="15" hidden="false" customHeight="false" outlineLevel="0" collapsed="false">
      <c r="B11" s="13" t="str">
        <f aca="false">IFERROR(IF(COUNT('Enter data'!$B$12,'Enter data'!$C$12,'Enter data'!$D$12)=3,'Enter data'!$A$12,""),"")</f>
        <v/>
      </c>
      <c r="C11" s="14" t="str">
        <f aca="false">IFERROR(IF(COUNT('Enter data'!$B$12,'Enter data'!$C$12,'Enter data'!$D$12)=3,('Enter data'!$B$12+'Enter data'!$C$12+'Enter data'!$D$12),""),"")</f>
        <v/>
      </c>
      <c r="D11" s="15" t="str">
        <f aca="false">IFERROR(IF(COUNT('Enter data'!$B$12,'Enter data'!$C$12,'Enter data'!$D$12)=3,((2*'Enter data'!$B$12+'Enter data'!$C$12)/(2*('Enter data'!$B$12+'Enter data'!$C$12+'Enter data'!$D$12))),""),"")</f>
        <v/>
      </c>
      <c r="E11" s="15" t="str">
        <f aca="false">IFERROR(IF(COUNT('Enter data'!$B$12,'Enter data'!$C$12,'Enter data'!$D$12)=3,2*D11*(1-D11),""),"")</f>
        <v/>
      </c>
      <c r="F11" s="15" t="str">
        <f aca="false">IFERROR(IF(COUNT('Enter data'!$B$12,'Enter data'!$C$12,'Enter data'!$D$12)=3,'Enter data'!$C$12/('Enter data'!$B$12+'Enter data'!$C$12+'Enter data'!$D$12),""),"")</f>
        <v/>
      </c>
      <c r="G11" s="15" t="str">
        <f aca="false">IFERROR(IF(COUNT('Enter data'!$B$12,'Enter data'!$C$12,'Enter data'!$D$12)=3,1-F11/E11,""),"")</f>
        <v/>
      </c>
      <c r="H11" s="15" t="str">
        <f aca="false">IFERROR(IF(COUNT('Enter data'!$B$12,'Enter data'!$C$12,'Enter data'!$D$12)=3,('Enter data'!$B$12-('Enter data'!$B$12+'Enter data'!$C$12+'Enter data'!$D$12)*D11^2)^2/(('Enter data'!$B$12+'Enter data'!$C$12+'Enter data'!$D$12)*D11^2)+('Enter data'!$C$12-2*('Enter data'!$B$12+'Enter data'!$C$12+'Enter data'!$D$12)*D11*(1-D11))^2/(2*('Enter data'!$B$12+'Enter data'!$C$12+'Enter data'!$D$12)*D11*(1-D11))+('Enter data'!$D$12-('Enter data'!$B$12+'Enter data'!$C$12+'Enter data'!$D$12)*(1-D11)^2)^2/(('Enter data'!$B$12+'Enter data'!$C$12+'Enter data'!$D$12)*(1-D11)^2),""),"")</f>
        <v/>
      </c>
      <c r="I11" s="16" t="str">
        <f aca="false">IFERROR(IF(ISNUMBER(H11),CHIDIST(H11,1),""),"")</f>
        <v/>
      </c>
    </row>
    <row r="12" customFormat="false" ht="15" hidden="false" customHeight="false" outlineLevel="0" collapsed="false">
      <c r="B12" s="13" t="str">
        <f aca="false">IFERROR(IF(COUNT('Enter data'!$B$13,'Enter data'!$C$13,'Enter data'!$D$13)=3,'Enter data'!$A$13,""),"")</f>
        <v/>
      </c>
      <c r="C12" s="14" t="str">
        <f aca="false">IFERROR(IF(COUNT('Enter data'!$B$13,'Enter data'!$C$13,'Enter data'!$D$13)=3,('Enter data'!$B$13+'Enter data'!$C$13+'Enter data'!$D$13),""),"")</f>
        <v/>
      </c>
      <c r="D12" s="15" t="str">
        <f aca="false">IFERROR(IF(COUNT('Enter data'!$B$13,'Enter data'!$C$13,'Enter data'!$D$13)=3,((2*'Enter data'!$B$13+'Enter data'!$C$13)/(2*('Enter data'!$B$13+'Enter data'!$C$13+'Enter data'!$D$13))),""),"")</f>
        <v/>
      </c>
      <c r="E12" s="15" t="str">
        <f aca="false">IFERROR(IF(COUNT('Enter data'!$B$13,'Enter data'!$C$13,'Enter data'!$D$13)=3,2*D12*(1-D12),""),"")</f>
        <v/>
      </c>
      <c r="F12" s="15" t="str">
        <f aca="false">IFERROR(IF(COUNT('Enter data'!$B$13,'Enter data'!$C$13,'Enter data'!$D$13)=3,'Enter data'!$C$13/('Enter data'!$B$13+'Enter data'!$C$13+'Enter data'!$D$13),""),"")</f>
        <v/>
      </c>
      <c r="G12" s="15" t="str">
        <f aca="false">IFERROR(IF(COUNT('Enter data'!$B$13,'Enter data'!$C$13,'Enter data'!$D$13)=3,1-F12/E12,""),"")</f>
        <v/>
      </c>
      <c r="H12" s="15" t="str">
        <f aca="false">IFERROR(IF(COUNT('Enter data'!$B$13,'Enter data'!$C$13,'Enter data'!$D$13)=3,('Enter data'!$B$13-('Enter data'!$B$13+'Enter data'!$C$13+'Enter data'!$D$13)*D12^2)^2/(('Enter data'!$B$13+'Enter data'!$C$13+'Enter data'!$D$13)*D12^2)+('Enter data'!$C$13-2*('Enter data'!$B$13+'Enter data'!$C$13+'Enter data'!$D$13)*D12*(1-D12))^2/(2*('Enter data'!$B$13+'Enter data'!$C$13+'Enter data'!$D$13)*D12*(1-D12))+('Enter data'!$D$13-('Enter data'!$B$13+'Enter data'!$C$13+'Enter data'!$D$13)*(1-D12)^2)^2/(('Enter data'!$B$13+'Enter data'!$C$13+'Enter data'!$D$13)*(1-D12)^2),""),"")</f>
        <v/>
      </c>
      <c r="I12" s="16" t="str">
        <f aca="false">IFERROR(IF(ISNUMBER(H12),CHIDIST(H12,1),""),"")</f>
        <v/>
      </c>
    </row>
    <row r="13" customFormat="false" ht="15" hidden="false" customHeight="false" outlineLevel="0" collapsed="false">
      <c r="B13" s="13" t="str">
        <f aca="false">IFERROR(IF(COUNT('Enter data'!$B$14,'Enter data'!$C$14,'Enter data'!$D$14)=3,'Enter data'!$A$14,""),"")</f>
        <v/>
      </c>
      <c r="C13" s="14" t="str">
        <f aca="false">IFERROR(IF(COUNT('Enter data'!$B$14,'Enter data'!$C$14,'Enter data'!$D$14)=3,('Enter data'!$B$14+'Enter data'!$C$14+'Enter data'!$D$14),""),"")</f>
        <v/>
      </c>
      <c r="D13" s="15" t="str">
        <f aca="false">IFERROR(IF(COUNT('Enter data'!$B$14,'Enter data'!$C$14,'Enter data'!$D$14)=3,((2*'Enter data'!$B$14+'Enter data'!$C$14)/(2*('Enter data'!$B$14+'Enter data'!$C$14+'Enter data'!$D$14))),""),"")</f>
        <v/>
      </c>
      <c r="E13" s="15" t="str">
        <f aca="false">IFERROR(IF(COUNT('Enter data'!$B$14,'Enter data'!$C$14,'Enter data'!$D$14)=3,2*D13*(1-D13),""),"")</f>
        <v/>
      </c>
      <c r="F13" s="15" t="str">
        <f aca="false">IFERROR(IF(COUNT('Enter data'!$B$14,'Enter data'!$C$14,'Enter data'!$D$14)=3,'Enter data'!$C$14/('Enter data'!$B$14+'Enter data'!$C$14+'Enter data'!$D$14),""),"")</f>
        <v/>
      </c>
      <c r="G13" s="15" t="str">
        <f aca="false">IFERROR(IF(COUNT('Enter data'!$B$14,'Enter data'!$C$14,'Enter data'!$D$14)=3,1-F13/E13,""),"")</f>
        <v/>
      </c>
      <c r="H13" s="15" t="str">
        <f aca="false">IFERROR(IF(COUNT('Enter data'!$B$14,'Enter data'!$C$14,'Enter data'!$D$14)=3,('Enter data'!$B$14-('Enter data'!$B$14+'Enter data'!$C$14+'Enter data'!$D$14)*D13^2)^2/(('Enter data'!$B$14+'Enter data'!$C$14+'Enter data'!$D$14)*D13^2)+('Enter data'!$C$14-2*('Enter data'!$B$14+'Enter data'!$C$14+'Enter data'!$D$14)*D13*(1-D13))^2/(2*('Enter data'!$B$14+'Enter data'!$C$14+'Enter data'!$D$14)*D13*(1-D13))+('Enter data'!$D$14-('Enter data'!$B$14+'Enter data'!$C$14+'Enter data'!$D$14)*(1-D13)^2)^2/(('Enter data'!$B$14+'Enter data'!$C$14+'Enter data'!$D$14)*(1-D13)^2),""),"")</f>
        <v/>
      </c>
      <c r="I13" s="16" t="str">
        <f aca="false">IFERROR(IF(ISNUMBER(H13),CHIDIST(H13,1),""),"")</f>
        <v/>
      </c>
    </row>
    <row r="14" customFormat="false" ht="15" hidden="false" customHeight="false" outlineLevel="0" collapsed="false">
      <c r="B14" s="13" t="str">
        <f aca="false">IFERROR(IF(COUNT('Enter data'!$B$15,'Enter data'!$C$15,'Enter data'!$D$15)=3,'Enter data'!$A$15,""),"")</f>
        <v/>
      </c>
      <c r="C14" s="14" t="str">
        <f aca="false">IFERROR(IF(COUNT('Enter data'!$B$15,'Enter data'!$C$15,'Enter data'!$D$15)=3,('Enter data'!$B$15+'Enter data'!$C$15+'Enter data'!$D$15),""),"")</f>
        <v/>
      </c>
      <c r="D14" s="15" t="str">
        <f aca="false">IFERROR(IF(COUNT('Enter data'!$B$15,'Enter data'!$C$15,'Enter data'!$D$15)=3,((2*'Enter data'!$B$15+'Enter data'!$C$15)/(2*('Enter data'!$B$15+'Enter data'!$C$15+'Enter data'!$D$15))),""),"")</f>
        <v/>
      </c>
      <c r="E14" s="15" t="str">
        <f aca="false">IFERROR(IF(COUNT('Enter data'!$B$15,'Enter data'!$C$15,'Enter data'!$D$15)=3,2*D14*(1-D14),""),"")</f>
        <v/>
      </c>
      <c r="F14" s="15" t="str">
        <f aca="false">IFERROR(IF(COUNT('Enter data'!$B$15,'Enter data'!$C$15,'Enter data'!$D$15)=3,'Enter data'!$C$15/('Enter data'!$B$15+'Enter data'!$C$15+'Enter data'!$D$15),""),"")</f>
        <v/>
      </c>
      <c r="G14" s="15" t="str">
        <f aca="false">IFERROR(IF(COUNT('Enter data'!$B$15,'Enter data'!$C$15,'Enter data'!$D$15)=3,1-F14/E14,""),"")</f>
        <v/>
      </c>
      <c r="H14" s="15" t="str">
        <f aca="false">IFERROR(IF(COUNT('Enter data'!$B$15,'Enter data'!$C$15,'Enter data'!$D$15)=3,('Enter data'!$B$15-('Enter data'!$B$15+'Enter data'!$C$15+'Enter data'!$D$15)*D14^2)^2/(('Enter data'!$B$15+'Enter data'!$C$15+'Enter data'!$D$15)*D14^2)+('Enter data'!$C$15-2*('Enter data'!$B$15+'Enter data'!$C$15+'Enter data'!$D$15)*D14*(1-D14))^2/(2*('Enter data'!$B$15+'Enter data'!$C$15+'Enter data'!$D$15)*D14*(1-D14))+('Enter data'!$D$15-('Enter data'!$B$15+'Enter data'!$C$15+'Enter data'!$D$15)*(1-D14)^2)^2/(('Enter data'!$B$15+'Enter data'!$C$15+'Enter data'!$D$15)*(1-D14)^2),""),"")</f>
        <v/>
      </c>
      <c r="I14" s="16" t="str">
        <f aca="false">IFERROR(IF(ISNUMBER(H14),CHIDIST(H14,1),""),"")</f>
        <v/>
      </c>
    </row>
    <row r="15" customFormat="false" ht="15" hidden="false" customHeight="false" outlineLevel="0" collapsed="false">
      <c r="B15" s="13" t="str">
        <f aca="false">IFERROR(IF(COUNT('Enter data'!$B$16,'Enter data'!$C$16,'Enter data'!$D$16)=3,'Enter data'!$A$16,""),"")</f>
        <v/>
      </c>
      <c r="C15" s="14" t="str">
        <f aca="false">IFERROR(IF(COUNT('Enter data'!$B$16,'Enter data'!$C$16,'Enter data'!$D$16)=3,('Enter data'!$B$16+'Enter data'!$C$16+'Enter data'!$D$16),""),"")</f>
        <v/>
      </c>
      <c r="D15" s="15" t="str">
        <f aca="false">IFERROR(IF(COUNT('Enter data'!$B$16,'Enter data'!$C$16,'Enter data'!$D$16)=3,((2*'Enter data'!$B$16+'Enter data'!$C$16)/(2*('Enter data'!$B$16+'Enter data'!$C$16+'Enter data'!$D$16))),""),"")</f>
        <v/>
      </c>
      <c r="E15" s="15" t="str">
        <f aca="false">IFERROR(IF(COUNT('Enter data'!$B$16,'Enter data'!$C$16,'Enter data'!$D$16)=3,2*D15*(1-D15),""),"")</f>
        <v/>
      </c>
      <c r="F15" s="15" t="str">
        <f aca="false">IFERROR(IF(COUNT('Enter data'!$B$16,'Enter data'!$C$16,'Enter data'!$D$16)=3,'Enter data'!$C$16/('Enter data'!$B$16+'Enter data'!$C$16+'Enter data'!$D$16),""),"")</f>
        <v/>
      </c>
      <c r="G15" s="15" t="str">
        <f aca="false">IFERROR(IF(COUNT('Enter data'!$B$16,'Enter data'!$C$16,'Enter data'!$D$16)=3,1-F15/E15,""),"")</f>
        <v/>
      </c>
      <c r="H15" s="15" t="str">
        <f aca="false">IFERROR(IF(COUNT('Enter data'!$B$16,'Enter data'!$C$16,'Enter data'!$D$16)=3,('Enter data'!$B$16-('Enter data'!$B$16+'Enter data'!$C$16+'Enter data'!$D$16)*D15^2)^2/(('Enter data'!$B$16+'Enter data'!$C$16+'Enter data'!$D$16)*D15^2)+('Enter data'!$C$16-2*('Enter data'!$B$16+'Enter data'!$C$16+'Enter data'!$D$16)*D15*(1-D15))^2/(2*('Enter data'!$B$16+'Enter data'!$C$16+'Enter data'!$D$16)*D15*(1-D15))+('Enter data'!$D$16-('Enter data'!$B$16+'Enter data'!$C$16+'Enter data'!$D$16)*(1-D15)^2)^2/(('Enter data'!$B$16+'Enter data'!$C$16+'Enter data'!$D$16)*(1-D15)^2),""),"")</f>
        <v/>
      </c>
      <c r="I15" s="16" t="str">
        <f aca="false">IFERROR(IF(ISNUMBER(H15),CHIDIST(H15,1),""),"")</f>
        <v/>
      </c>
    </row>
    <row r="16" customFormat="false" ht="15" hidden="false" customHeight="false" outlineLevel="0" collapsed="false">
      <c r="B16" s="13" t="str">
        <f aca="false">IFERROR(IF(COUNT('Enter data'!$B$17,'Enter data'!$C$17,'Enter data'!$D$17)=3,'Enter data'!$A$17,""),"")</f>
        <v/>
      </c>
      <c r="C16" s="14" t="str">
        <f aca="false">IFERROR(IF(COUNT('Enter data'!$B$17,'Enter data'!$C$17,'Enter data'!$D$17)=3,('Enter data'!$B$17+'Enter data'!$C$17+'Enter data'!$D$17),""),"")</f>
        <v/>
      </c>
      <c r="D16" s="15" t="str">
        <f aca="false">IFERROR(IF(COUNT('Enter data'!$B$17,'Enter data'!$C$17,'Enter data'!$D$17)=3,((2*'Enter data'!$B$17+'Enter data'!$C$17)/(2*('Enter data'!$B$17+'Enter data'!$C$17+'Enter data'!$D$17))),""),"")</f>
        <v/>
      </c>
      <c r="E16" s="15" t="str">
        <f aca="false">IFERROR(IF(COUNT('Enter data'!$B$17,'Enter data'!$C$17,'Enter data'!$D$17)=3,2*D16*(1-D16),""),"")</f>
        <v/>
      </c>
      <c r="F16" s="15" t="str">
        <f aca="false">IFERROR(IF(COUNT('Enter data'!$B$17,'Enter data'!$C$17,'Enter data'!$D$17)=3,'Enter data'!$C$17/('Enter data'!$B$17+'Enter data'!$C$17+'Enter data'!$D$17),""),"")</f>
        <v/>
      </c>
      <c r="G16" s="15" t="str">
        <f aca="false">IFERROR(IF(COUNT('Enter data'!$B$17,'Enter data'!$C$17,'Enter data'!$D$17)=3,1-F16/E16,""),"")</f>
        <v/>
      </c>
      <c r="H16" s="15" t="str">
        <f aca="false">IFERROR(IF(COUNT('Enter data'!$B$17,'Enter data'!$C$17,'Enter data'!$D$17)=3,('Enter data'!$B$17-('Enter data'!$B$17+'Enter data'!$C$17+'Enter data'!$D$17)*D16^2)^2/(('Enter data'!$B$17+'Enter data'!$C$17+'Enter data'!$D$17)*D16^2)+('Enter data'!$C$17-2*('Enter data'!$B$17+'Enter data'!$C$17+'Enter data'!$D$17)*D16*(1-D16))^2/(2*('Enter data'!$B$17+'Enter data'!$C$17+'Enter data'!$D$17)*D16*(1-D16))+('Enter data'!$D$17-('Enter data'!$B$17+'Enter data'!$C$17+'Enter data'!$D$17)*(1-D16)^2)^2/(('Enter data'!$B$17+'Enter data'!$C$17+'Enter data'!$D$17)*(1-D16)^2),""),"")</f>
        <v/>
      </c>
      <c r="I16" s="16" t="str">
        <f aca="false">IFERROR(IF(ISNUMBER(H16),CHIDIST(H16,1),""),"")</f>
        <v/>
      </c>
    </row>
    <row r="17" customFormat="false" ht="15" hidden="false" customHeight="false" outlineLevel="0" collapsed="false">
      <c r="B17" s="13" t="str">
        <f aca="false">IFERROR(IF(COUNT('Enter data'!$B$18,'Enter data'!$C$18,'Enter data'!$D$18)=3,'Enter data'!$A$18,""),"")</f>
        <v/>
      </c>
      <c r="C17" s="14" t="str">
        <f aca="false">IFERROR(IF(COUNT('Enter data'!$B$18,'Enter data'!$C$18,'Enter data'!$D$18)=3,('Enter data'!$B$18+'Enter data'!$C$18+'Enter data'!$D$18),""),"")</f>
        <v/>
      </c>
      <c r="D17" s="15" t="str">
        <f aca="false">IFERROR(IF(COUNT('Enter data'!$B$18,'Enter data'!$C$18,'Enter data'!$D$18)=3,((2*'Enter data'!$B$18+'Enter data'!$C$18)/(2*('Enter data'!$B$18+'Enter data'!$C$18+'Enter data'!$D$18))),""),"")</f>
        <v/>
      </c>
      <c r="E17" s="15" t="str">
        <f aca="false">IFERROR(IF(COUNT('Enter data'!$B$18,'Enter data'!$C$18,'Enter data'!$D$18)=3,2*D17*(1-D17),""),"")</f>
        <v/>
      </c>
      <c r="F17" s="15" t="str">
        <f aca="false">IFERROR(IF(COUNT('Enter data'!$B$18,'Enter data'!$C$18,'Enter data'!$D$18)=3,'Enter data'!$C$18/('Enter data'!$B$18+'Enter data'!$C$18+'Enter data'!$D$18),""),"")</f>
        <v/>
      </c>
      <c r="G17" s="15" t="str">
        <f aca="false">IFERROR(IF(COUNT('Enter data'!$B$18,'Enter data'!$C$18,'Enter data'!$D$18)=3,1-F17/E17,""),"")</f>
        <v/>
      </c>
      <c r="H17" s="15" t="str">
        <f aca="false">IFERROR(IF(COUNT('Enter data'!$B$18,'Enter data'!$C$18,'Enter data'!$D$18)=3,('Enter data'!$B$18-('Enter data'!$B$18+'Enter data'!$C$18+'Enter data'!$D$18)*D17^2)^2/(('Enter data'!$B$18+'Enter data'!$C$18+'Enter data'!$D$18)*D17^2)+('Enter data'!$C$18-2*('Enter data'!$B$18+'Enter data'!$C$18+'Enter data'!$D$18)*D17*(1-D17))^2/(2*('Enter data'!$B$18+'Enter data'!$C$18+'Enter data'!$D$18)*D17*(1-D17))+('Enter data'!$D$18-('Enter data'!$B$18+'Enter data'!$C$18+'Enter data'!$D$18)*(1-D17)^2)^2/(('Enter data'!$B$18+'Enter data'!$C$18+'Enter data'!$D$18)*(1-D17)^2),""),"")</f>
        <v/>
      </c>
      <c r="I17" s="16" t="str">
        <f aca="false">IFERROR(IF(ISNUMBER(H17),CHIDIST(H17,1),""),"")</f>
        <v/>
      </c>
    </row>
    <row r="18" customFormat="false" ht="15" hidden="false" customHeight="false" outlineLevel="0" collapsed="false">
      <c r="B18" s="13" t="str">
        <f aca="false">IFERROR(IF(TRUE(),"Pooled (all rows)",""),"")</f>
        <v>Pooled (all rows)</v>
      </c>
      <c r="C18" s="14" t="n">
        <f aca="false">IFERROR(IF(TRUE(),(SUM('Enter data'!$B$7:$B$18)+SUM('Enter data'!$C$7:$C$18)+SUM('Enter data'!$D$7:$D$18)),""),"")</f>
        <v>800</v>
      </c>
      <c r="D18" s="15" t="n">
        <f aca="false">IFERROR(IF(TRUE(),((2*SUM('Enter data'!$B$7:$B$18)+SUM('Enter data'!$C$7:$C$18))/(2*(SUM('Enter data'!$B$7:$B$18)+SUM('Enter data'!$C$7:$C$18)+SUM('Enter data'!$D$7:$D$18)))),""),"")</f>
        <v>0.509375</v>
      </c>
      <c r="E18" s="15" t="n">
        <f aca="false">IFERROR(IF(TRUE(),2*D18*(1-D18),""),"")</f>
        <v>0.49982421875</v>
      </c>
      <c r="F18" s="15" t="n">
        <f aca="false">IFERROR(IF(TRUE(),SUM('Enter data'!$C$7:$C$18)/(SUM('Enter data'!$B$7:$B$18)+SUM('Enter data'!$C$7:$C$18)+SUM('Enter data'!$D$7:$D$18)),""),"")</f>
        <v>0.35375</v>
      </c>
      <c r="G18" s="15" t="n">
        <f aca="false">IFERROR(IF(TRUE(),1-F18/E18,""),"")</f>
        <v>0.292251182056192</v>
      </c>
      <c r="H18" s="15" t="n">
        <f aca="false">IFERROR(IF(TRUE(),(SUM('Enter data'!$B$7:$B$18)-(SUM('Enter data'!$B$7:$B$18)+SUM('Enter data'!$C$7:$C$18)+SUM('Enter data'!$D$7:$D$18))*D18^2)^2/((SUM('Enter data'!$B$7:$B$18)+SUM('Enter data'!$C$7:$C$18)+SUM('Enter data'!$D$7:$D$18))*D18^2)+(SUM('Enter data'!$C$7:$C$18)-2*(SUM('Enter data'!$B$7:$B$18)+SUM('Enter data'!$C$7:$C$18)+SUM('Enter data'!$D$7:$D$18))*D18*(1-D18))^2/(2*(SUM('Enter data'!$B$7:$B$18)+SUM('Enter data'!$C$7:$C$18)+SUM('Enter data'!$D$7:$D$18))*D18*(1-D18))+(SUM('Enter data'!$D$7:$D$18)-(SUM('Enter data'!$B$7:$B$18)+SUM('Enter data'!$C$7:$C$18)+SUM('Enter data'!$D$7:$D$18))*(1-D18)^2)^2/((SUM('Enter data'!$B$7:$B$18)+SUM('Enter data'!$C$7:$C$18)+SUM('Enter data'!$D$7:$D$18))*(1-D18)^2),""),"")</f>
        <v>68.328602730593</v>
      </c>
      <c r="I18" s="16" t="n">
        <f aca="false">IFERROR(IF(ISNUMBER(H18),CHIDIST(H18,1),""),"")</f>
        <v>1.38398880173771E-016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2026-10-01T00:31:36Z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2026-10-01T00:31:36Z</dcterms:modified>
  <cp:revision>0</cp:revision>
  <dc:subject/>
  <dc:title>EVO-05 Testing Hardy-Weinberg proportions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