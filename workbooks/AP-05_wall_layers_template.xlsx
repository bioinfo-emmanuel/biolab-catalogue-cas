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<sst xmlns="http://schemas.openxmlformats.org/spreadsheetml/2006/main" count="86" uniqueCount="63">
  <si>
    <t xml:space="preserve">AP-05  Hollow organ walls: layer thickness proportions</t>
  </si>
  <si>
    <t xml:space="preserve">Excel version of the card. It does the same calculations as the R script ap05_wall_layers.R.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</si>
  <si>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</si>
  <si>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</si>
  <si>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</si>
  <si>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</si>
  <si>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</si>
  <si>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</si>
  <si>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</si>
  <si>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</si>
  <si>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Measure each layer along a line perpendicular to the wall where the wall is cut squarely. Use the same unit for all layers; proportions need no calibration.</t>
  </si>
  <si>
    <t xml:space="preserve">Type the layer names in the yellow header cells of each block (for example intima, media, adventitia, or mucosa, submucosa, muscularis, serosa).</t>
  </si>
  <si>
    <t xml:space="preserve">Differences from the R script on the card</t>
  </si>
  <si>
    <t xml:space="preserve">The R script uses a Wilcoxon test for the media proportion; this workbook uses a Welch t test between the first two organs, using the layer in column 2.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</si>
  <si>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</si>
  <si>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</si>
  <si>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</si>
  <si>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</si>
  <si>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Organ 1: fields (thickness of each layer)</t>
  </si>
  <si>
    <t xml:space="preserve">Field</t>
  </si>
  <si>
    <t xml:space="preserve">intima</t>
  </si>
  <si>
    <t xml:space="preserve">media</t>
  </si>
  <si>
    <t xml:space="preserve">adventitia</t>
  </si>
  <si>
    <t xml:space="preserve">(unused)</t>
  </si>
  <si>
    <t xml:space="preserve">Wall thickness</t>
  </si>
  <si>
    <t xml:space="preserve">Layer 1 share (%)</t>
  </si>
  <si>
    <t xml:space="preserve">Layer 2 share (%)</t>
  </si>
  <si>
    <t xml:space="preserve">Layer 3 share (%)</t>
  </si>
  <si>
    <t xml:space="preserve">Layer 4 share (%)</t>
  </si>
  <si>
    <t xml:space="preserve">field 1</t>
  </si>
  <si>
    <t xml:space="preserve">2. Organ 2: fields (thickness of each layer)</t>
  </si>
  <si>
    <t xml:space="preserve">3. Organ 3: fields (thickness of each layer)</t>
  </si>
  <si>
    <t xml:space="preserve">mucosa</t>
  </si>
  <si>
    <t xml:space="preserve">submucosa</t>
  </si>
  <si>
    <t xml:space="preserve">muscularis</t>
  </si>
  <si>
    <t xml:space="preserve">serosa</t>
  </si>
  <si>
    <t xml:space="preserve">4. Organ names</t>
  </si>
  <si>
    <t xml:space="preserve">Organ 1</t>
  </si>
  <si>
    <t xml:space="preserve">Organ 2</t>
  </si>
  <si>
    <t xml:space="preserve">Organ 3</t>
  </si>
  <si>
    <t xml:space="preserve">Results</t>
  </si>
  <si>
    <t xml:space="preserve">Everything on this sheet is calculated. Change only the yellow settings.</t>
  </si>
  <si>
    <t xml:space="preserve">Layer share of the wall (percent of total thickness)</t>
  </si>
  <si>
    <t xml:space="preserve">Organ</t>
  </si>
  <si>
    <t xml:space="preserve">Layer</t>
  </si>
  <si>
    <t xml:space="preserve">Fields</t>
  </si>
  <si>
    <t xml:space="preserve">Mean share (%)</t>
  </si>
  <si>
    <t xml:space="preserve">SD</t>
  </si>
  <si>
    <t xml:space="preserve">Wall thickness (measured units)</t>
  </si>
  <si>
    <t xml:space="preserve">Mean</t>
  </si>
  <si>
    <t xml:space="preserve">Share of layer 2 (for example media): organ 1 against organ 2</t>
  </si>
  <si>
    <t xml:space="preserve">Group</t>
  </si>
  <si>
    <t xml:space="preserve">n</t>
  </si>
  <si>
    <t xml:space="preserve">SE</t>
  </si>
  <si>
    <t xml:space="preserve">Min</t>
  </si>
  <si>
    <t xml:space="preserve">Max</t>
  </si>
  <si>
    <t xml:space="preserve">Comparison of the two groups (Welch t test)</t>
  </si>
  <si>
    <t xml:space="preserve">Difference in means (group 1 minus group 2)</t>
  </si>
  <si>
    <t xml:space="preserve">Standard error of the difference</t>
  </si>
  <si>
    <t xml:space="preserve">Degrees of freedom (Welch)</t>
  </si>
  <si>
    <t xml:space="preserve">p value (two-sided)</t>
  </si>
  <si>
    <t xml:space="preserve">95% interval for the difference, lower</t>
  </si>
  <si>
    <t xml:space="preserve">95% interval for the difference, upper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</si>
</sst>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General"/>
    <numFmt numFmtId="167" formatCode="0"/>
    <numFmt numFmtId="168" formatCode="0.000"/>
    <numFmt numFmtId="169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1" t="s">
        <v>20</v>
      </c>
      <c r="C5" s="11" t="s">
        <v>21</v>
      </c>
      <c r="D5" s="11" t="s">
        <v>22</v>
      </c>
      <c r="E5" s="11" t="s">
        <v>23</v>
      </c>
      <c r="F5" s="10" t="s">
        <v>24</v>
      </c>
      <c r="G5" s="10" t="s">
        <v>25</v>
      </c>
      <c r="H5" s="10" t="s">
        <v>26</v>
      </c>
      <c r="I5" s="10" t="s">
        <v>27</v>
      </c>
      <c r="J5" s="10" t="s">
        <v>28</v>
      </c>
    </row>
    <row r="6" customFormat="false" ht="15" hidden="false" customHeight="false" outlineLevel="0" collapsed="false">
      <c r="A6" s="12" t="s">
        <v>29</v>
      </c>
      <c r="B6" s="12" t="n">
        <v>10</v>
      </c>
      <c r="C6" s="12" t="n">
        <v>60</v>
      </c>
      <c r="D6" s="12" t="n">
        <v>25</v>
      </c>
      <c r="E6" s="12" t="n">
        <v>0</v>
      </c>
    </row>
    <row r="7" customFormat="false" ht="15" hidden="false" customHeight="false" outlineLevel="0" collapsed="false">
      <c r="A7" s="13"/>
      <c r="B7" s="13"/>
      <c r="C7" s="13"/>
      <c r="D7" s="13"/>
      <c r="E7" s="13"/>
      <c r="F7" s="14" t="str">
        <f aca="false">IF(COUNT(B7:E7)&gt;0,SUM(B7:E7),"")</f>
        <v/>
      </c>
      <c r="G7" s="14" t="str">
        <f aca="false">IF(ISNUMBER(F7),100*B7/F7,"")</f>
        <v/>
      </c>
      <c r="H7" s="14" t="str">
        <f aca="false">IF(ISNUMBER(F7),100*C7/F7,"")</f>
        <v/>
      </c>
      <c r="I7" s="14" t="str">
        <f aca="false">IF(ISNUMBER(F7),100*D7/F7,"")</f>
        <v/>
      </c>
      <c r="J7" s="14" t="str">
        <f aca="false">IF(ISNUMBER(F7),100*E7/F7,"")</f>
        <v/>
      </c>
    </row>
    <row r="8" customFormat="false" ht="15" hidden="false" customHeight="false" outlineLevel="0" collapsed="false">
      <c r="A8" s="13"/>
      <c r="B8" s="13"/>
      <c r="C8" s="13"/>
      <c r="D8" s="13"/>
      <c r="E8" s="13"/>
      <c r="F8" s="14" t="str">
        <f aca="false">IF(COUNT(B8:E8)&gt;0,SUM(B8:E8),"")</f>
        <v/>
      </c>
      <c r="G8" s="14" t="str">
        <f aca="false">IF(ISNUMBER(F8),100*B8/F8,"")</f>
        <v/>
      </c>
      <c r="H8" s="14" t="str">
        <f aca="false">IF(ISNUMBER(F8),100*C8/F8,"")</f>
        <v/>
      </c>
      <c r="I8" s="14" t="str">
        <f aca="false">IF(ISNUMBER(F8),100*D8/F8,"")</f>
        <v/>
      </c>
      <c r="J8" s="14" t="str">
        <f aca="false">IF(ISNUMBER(F8),100*E8/F8,"")</f>
        <v/>
      </c>
    </row>
    <row r="9" customFormat="false" ht="15" hidden="false" customHeight="false" outlineLevel="0" collapsed="false">
      <c r="A9" s="13"/>
      <c r="B9" s="13"/>
      <c r="C9" s="13"/>
      <c r="D9" s="13"/>
      <c r="E9" s="13"/>
      <c r="F9" s="14" t="str">
        <f aca="false">IF(COUNT(B9:E9)&gt;0,SUM(B9:E9),"")</f>
        <v/>
      </c>
      <c r="G9" s="14" t="str">
        <f aca="false">IF(ISNUMBER(F9),100*B9/F9,"")</f>
        <v/>
      </c>
      <c r="H9" s="14" t="str">
        <f aca="false">IF(ISNUMBER(F9),100*C9/F9,"")</f>
        <v/>
      </c>
      <c r="I9" s="14" t="str">
        <f aca="false">IF(ISNUMBER(F9),100*D9/F9,"")</f>
        <v/>
      </c>
      <c r="J9" s="14" t="str">
        <f aca="false">IF(ISNUMBER(F9),100*E9/F9,"")</f>
        <v/>
      </c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4" t="str">
        <f aca="false">IF(COUNT(B10:E10)&gt;0,SUM(B10:E10),"")</f>
        <v/>
      </c>
      <c r="G10" s="14" t="str">
        <f aca="false">IF(ISNUMBER(F10),100*B10/F10,"")</f>
        <v/>
      </c>
      <c r="H10" s="14" t="str">
        <f aca="false">IF(ISNUMBER(F10),100*C10/F10,"")</f>
        <v/>
      </c>
      <c r="I10" s="14" t="str">
        <f aca="false">IF(ISNUMBER(F10),100*D10/F10,"")</f>
        <v/>
      </c>
      <c r="J10" s="14" t="str">
        <f aca="false">IF(ISNUMBER(F10),100*E10/F10,"")</f>
        <v/>
      </c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4" t="str">
        <f aca="false">IF(COUNT(B11:E11)&gt;0,SUM(B11:E11),"")</f>
        <v/>
      </c>
      <c r="G11" s="14" t="str">
        <f aca="false">IF(ISNUMBER(F11),100*B11/F11,"")</f>
        <v/>
      </c>
      <c r="H11" s="14" t="str">
        <f aca="false">IF(ISNUMBER(F11),100*C11/F11,"")</f>
        <v/>
      </c>
      <c r="I11" s="14" t="str">
        <f aca="false">IF(ISNUMBER(F11),100*D11/F11,"")</f>
        <v/>
      </c>
      <c r="J11" s="14" t="str">
        <f aca="false">IF(ISNUMBER(F11),100*E11/F11,"")</f>
        <v/>
      </c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4" t="str">
        <f aca="false">IF(COUNT(B12:E12)&gt;0,SUM(B12:E12),"")</f>
        <v/>
      </c>
      <c r="G12" s="14" t="str">
        <f aca="false">IF(ISNUMBER(F12),100*B12/F12,"")</f>
        <v/>
      </c>
      <c r="H12" s="14" t="str">
        <f aca="false">IF(ISNUMBER(F12),100*C12/F12,"")</f>
        <v/>
      </c>
      <c r="I12" s="14" t="str">
        <f aca="false">IF(ISNUMBER(F12),100*D12/F12,"")</f>
        <v/>
      </c>
      <c r="J12" s="14" t="str">
        <f aca="false">IF(ISNUMBER(F12),100*E12/F12,"")</f>
        <v/>
      </c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4" t="str">
        <f aca="false">IF(COUNT(B13:E13)&gt;0,SUM(B13:E13),"")</f>
        <v/>
      </c>
      <c r="G13" s="14" t="str">
        <f aca="false">IF(ISNUMBER(F13),100*B13/F13,"")</f>
        <v/>
      </c>
      <c r="H13" s="14" t="str">
        <f aca="false">IF(ISNUMBER(F13),100*C13/F13,"")</f>
        <v/>
      </c>
      <c r="I13" s="14" t="str">
        <f aca="false">IF(ISNUMBER(F13),100*D13/F13,"")</f>
        <v/>
      </c>
      <c r="J13" s="14" t="str">
        <f aca="false">IF(ISNUMBER(F13),100*E13/F13,"")</f>
        <v/>
      </c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4" t="str">
        <f aca="false">IF(COUNT(B14:E14)&gt;0,SUM(B14:E14),"")</f>
        <v/>
      </c>
      <c r="G14" s="14" t="str">
        <f aca="false">IF(ISNUMBER(F14),100*B14/F14,"")</f>
        <v/>
      </c>
      <c r="H14" s="14" t="str">
        <f aca="false">IF(ISNUMBER(F14),100*C14/F14,"")</f>
        <v/>
      </c>
      <c r="I14" s="14" t="str">
        <f aca="false">IF(ISNUMBER(F14),100*D14/F14,"")</f>
        <v/>
      </c>
      <c r="J14" s="14" t="str">
        <f aca="false">IF(ISNUMBER(F14),100*E14/F14,"")</f>
        <v/>
      </c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4" t="str">
        <f aca="false">IF(COUNT(B15:E15)&gt;0,SUM(B15:E15),"")</f>
        <v/>
      </c>
      <c r="G15" s="14" t="str">
        <f aca="false">IF(ISNUMBER(F15),100*B15/F15,"")</f>
        <v/>
      </c>
      <c r="H15" s="14" t="str">
        <f aca="false">IF(ISNUMBER(F15),100*C15/F15,"")</f>
        <v/>
      </c>
      <c r="I15" s="14" t="str">
        <f aca="false">IF(ISNUMBER(F15),100*D15/F15,"")</f>
        <v/>
      </c>
      <c r="J15" s="14" t="str">
        <f aca="false">IF(ISNUMBER(F15),100*E15/F15,"")</f>
        <v/>
      </c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4" t="str">
        <f aca="false">IF(COUNT(B16:E16)&gt;0,SUM(B16:E16),"")</f>
        <v/>
      </c>
      <c r="G16" s="14" t="str">
        <f aca="false">IF(ISNUMBER(F16),100*B16/F16,"")</f>
        <v/>
      </c>
      <c r="H16" s="14" t="str">
        <f aca="false">IF(ISNUMBER(F16),100*C16/F16,"")</f>
        <v/>
      </c>
      <c r="I16" s="14" t="str">
        <f aca="false">IF(ISNUMBER(F16),100*D16/F16,"")</f>
        <v/>
      </c>
      <c r="J16" s="14" t="str">
        <f aca="false">IF(ISNUMBER(F16),100*E16/F16,"")</f>
        <v/>
      </c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4" t="str">
        <f aca="false">IF(COUNT(B17:E17)&gt;0,SUM(B17:E17),"")</f>
        <v/>
      </c>
      <c r="G17" s="14" t="str">
        <f aca="false">IF(ISNUMBER(F17),100*B17/F17,"")</f>
        <v/>
      </c>
      <c r="H17" s="14" t="str">
        <f aca="false">IF(ISNUMBER(F17),100*C17/F17,"")</f>
        <v/>
      </c>
      <c r="I17" s="14" t="str">
        <f aca="false">IF(ISNUMBER(F17),100*D17/F17,"")</f>
        <v/>
      </c>
      <c r="J17" s="14" t="str">
        <f aca="false">IF(ISNUMBER(F17),100*E17/F17,"")</f>
        <v/>
      </c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4" t="str">
        <f aca="false">IF(COUNT(B18:E18)&gt;0,SUM(B18:E18),"")</f>
        <v/>
      </c>
      <c r="G18" s="14" t="str">
        <f aca="false">IF(ISNUMBER(F18),100*B18/F18,"")</f>
        <v/>
      </c>
      <c r="H18" s="14" t="str">
        <f aca="false">IF(ISNUMBER(F18),100*C18/F18,"")</f>
        <v/>
      </c>
      <c r="I18" s="14" t="str">
        <f aca="false">IF(ISNUMBER(F18),100*D18/F18,"")</f>
        <v/>
      </c>
      <c r="J18" s="14" t="str">
        <f aca="false">IF(ISNUMBER(F18),100*E18/F18,"")</f>
        <v/>
      </c>
    </row>
    <row r="21" customFormat="false" ht="15" hidden="false" customHeight="false" outlineLevel="0" collapsed="false">
      <c r="A21" s="9" t="s">
        <v>30</v>
      </c>
    </row>
    <row r="22" customFormat="false" ht="31.5" hidden="false" customHeight="true" outlineLevel="0" collapsed="false">
      <c r="A22" s="10" t="s">
        <v>19</v>
      </c>
      <c r="B22" s="11" t="s">
        <v>20</v>
      </c>
      <c r="C22" s="11" t="s">
        <v>21</v>
      </c>
      <c r="D22" s="11" t="s">
        <v>22</v>
      </c>
      <c r="E22" s="11" t="s">
        <v>23</v>
      </c>
      <c r="F22" s="10" t="s">
        <v>24</v>
      </c>
      <c r="G22" s="10" t="s">
        <v>25</v>
      </c>
      <c r="H22" s="10" t="s">
        <v>26</v>
      </c>
      <c r="I22" s="10" t="s">
        <v>27</v>
      </c>
      <c r="J22" s="10" t="s">
        <v>28</v>
      </c>
    </row>
    <row r="23" customFormat="false" ht="15" hidden="false" customHeight="false" outlineLevel="0" collapsed="false">
      <c r="A23" s="12" t="s">
        <v>29</v>
      </c>
      <c r="B23" s="12" t="n">
        <v>10</v>
      </c>
      <c r="C23" s="12" t="n">
        <v>60</v>
      </c>
      <c r="D23" s="12" t="n">
        <v>25</v>
      </c>
      <c r="E23" s="12" t="n">
        <v>0</v>
      </c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4" t="str">
        <f aca="false">IF(COUNT(B24:E24)&gt;0,SUM(B24:E24),"")</f>
        <v/>
      </c>
      <c r="G24" s="14" t="str">
        <f aca="false">IF(ISNUMBER(F24),100*B24/F24,"")</f>
        <v/>
      </c>
      <c r="H24" s="14" t="str">
        <f aca="false">IF(ISNUMBER(F24),100*C24/F24,"")</f>
        <v/>
      </c>
      <c r="I24" s="14" t="str">
        <f aca="false">IF(ISNUMBER(F24),100*D24/F24,"")</f>
        <v/>
      </c>
      <c r="J24" s="14" t="str">
        <f aca="false">IF(ISNUMBER(F24),100*E24/F24,"")</f>
        <v/>
      </c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4" t="str">
        <f aca="false">IF(COUNT(B25:E25)&gt;0,SUM(B25:E25),"")</f>
        <v/>
      </c>
      <c r="G25" s="14" t="str">
        <f aca="false">IF(ISNUMBER(F25),100*B25/F25,"")</f>
        <v/>
      </c>
      <c r="H25" s="14" t="str">
        <f aca="false">IF(ISNUMBER(F25),100*C25/F25,"")</f>
        <v/>
      </c>
      <c r="I25" s="14" t="str">
        <f aca="false">IF(ISNUMBER(F25),100*D25/F25,"")</f>
        <v/>
      </c>
      <c r="J25" s="14" t="str">
        <f aca="false">IF(ISNUMBER(F25),100*E25/F25,"")</f>
        <v/>
      </c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4" t="str">
        <f aca="false">IF(COUNT(B26:E26)&gt;0,SUM(B26:E26),"")</f>
        <v/>
      </c>
      <c r="G26" s="14" t="str">
        <f aca="false">IF(ISNUMBER(F26),100*B26/F26,"")</f>
        <v/>
      </c>
      <c r="H26" s="14" t="str">
        <f aca="false">IF(ISNUMBER(F26),100*C26/F26,"")</f>
        <v/>
      </c>
      <c r="I26" s="14" t="str">
        <f aca="false">IF(ISNUMBER(F26),100*D26/F26,"")</f>
        <v/>
      </c>
      <c r="J26" s="14" t="str">
        <f aca="false">IF(ISNUMBER(F26),100*E26/F26,"")</f>
        <v/>
      </c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4" t="str">
        <f aca="false">IF(COUNT(B27:E27)&gt;0,SUM(B27:E27),"")</f>
        <v/>
      </c>
      <c r="G27" s="14" t="str">
        <f aca="false">IF(ISNUMBER(F27),100*B27/F27,"")</f>
        <v/>
      </c>
      <c r="H27" s="14" t="str">
        <f aca="false">IF(ISNUMBER(F27),100*C27/F27,"")</f>
        <v/>
      </c>
      <c r="I27" s="14" t="str">
        <f aca="false">IF(ISNUMBER(F27),100*D27/F27,"")</f>
        <v/>
      </c>
      <c r="J27" s="14" t="str">
        <f aca="false">IF(ISNUMBER(F27),100*E27/F27,"")</f>
        <v/>
      </c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4" t="str">
        <f aca="false">IF(COUNT(B28:E28)&gt;0,SUM(B28:E28),"")</f>
        <v/>
      </c>
      <c r="G28" s="14" t="str">
        <f aca="false">IF(ISNUMBER(F28),100*B28/F28,"")</f>
        <v/>
      </c>
      <c r="H28" s="14" t="str">
        <f aca="false">IF(ISNUMBER(F28),100*C28/F28,"")</f>
        <v/>
      </c>
      <c r="I28" s="14" t="str">
        <f aca="false">IF(ISNUMBER(F28),100*D28/F28,"")</f>
        <v/>
      </c>
      <c r="J28" s="14" t="str">
        <f aca="false">IF(ISNUMBER(F28),100*E28/F28,"")</f>
        <v/>
      </c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4" t="str">
        <f aca="false">IF(COUNT(B29:E29)&gt;0,SUM(B29:E29),"")</f>
        <v/>
      </c>
      <c r="G29" s="14" t="str">
        <f aca="false">IF(ISNUMBER(F29),100*B29/F29,"")</f>
        <v/>
      </c>
      <c r="H29" s="14" t="str">
        <f aca="false">IF(ISNUMBER(F29),100*C29/F29,"")</f>
        <v/>
      </c>
      <c r="I29" s="14" t="str">
        <f aca="false">IF(ISNUMBER(F29),100*D29/F29,"")</f>
        <v/>
      </c>
      <c r="J29" s="14" t="str">
        <f aca="false">IF(ISNUMBER(F29),100*E29/F29,"")</f>
        <v/>
      </c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4" t="str">
        <f aca="false">IF(COUNT(B30:E30)&gt;0,SUM(B30:E30),"")</f>
        <v/>
      </c>
      <c r="G30" s="14" t="str">
        <f aca="false">IF(ISNUMBER(F30),100*B30/F30,"")</f>
        <v/>
      </c>
      <c r="H30" s="14" t="str">
        <f aca="false">IF(ISNUMBER(F30),100*C30/F30,"")</f>
        <v/>
      </c>
      <c r="I30" s="14" t="str">
        <f aca="false">IF(ISNUMBER(F30),100*D30/F30,"")</f>
        <v/>
      </c>
      <c r="J30" s="14" t="str">
        <f aca="false">IF(ISNUMBER(F30),100*E30/F30,"")</f>
        <v/>
      </c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4" t="str">
        <f aca="false">IF(COUNT(B31:E31)&gt;0,SUM(B31:E31),"")</f>
        <v/>
      </c>
      <c r="G31" s="14" t="str">
        <f aca="false">IF(ISNUMBER(F31),100*B31/F31,"")</f>
        <v/>
      </c>
      <c r="H31" s="14" t="str">
        <f aca="false">IF(ISNUMBER(F31),100*C31/F31,"")</f>
        <v/>
      </c>
      <c r="I31" s="14" t="str">
        <f aca="false">IF(ISNUMBER(F31),100*D31/F31,"")</f>
        <v/>
      </c>
      <c r="J31" s="14" t="str">
        <f aca="false">IF(ISNUMBER(F31),100*E31/F31,"")</f>
        <v/>
      </c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4" t="str">
        <f aca="false">IF(COUNT(B32:E32)&gt;0,SUM(B32:E32),"")</f>
        <v/>
      </c>
      <c r="G32" s="14" t="str">
        <f aca="false">IF(ISNUMBER(F32),100*B32/F32,"")</f>
        <v/>
      </c>
      <c r="H32" s="14" t="str">
        <f aca="false">IF(ISNUMBER(F32),100*C32/F32,"")</f>
        <v/>
      </c>
      <c r="I32" s="14" t="str">
        <f aca="false">IF(ISNUMBER(F32),100*D32/F32,"")</f>
        <v/>
      </c>
      <c r="J32" s="14" t="str">
        <f aca="false">IF(ISNUMBER(F32),100*E32/F32,"")</f>
        <v/>
      </c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4" t="str">
        <f aca="false">IF(COUNT(B33:E33)&gt;0,SUM(B33:E33),"")</f>
        <v/>
      </c>
      <c r="G33" s="14" t="str">
        <f aca="false">IF(ISNUMBER(F33),100*B33/F33,"")</f>
        <v/>
      </c>
      <c r="H33" s="14" t="str">
        <f aca="false">IF(ISNUMBER(F33),100*C33/F33,"")</f>
        <v/>
      </c>
      <c r="I33" s="14" t="str">
        <f aca="false">IF(ISNUMBER(F33),100*D33/F33,"")</f>
        <v/>
      </c>
      <c r="J33" s="14" t="str">
        <f aca="false">IF(ISNUMBER(F33),100*E33/F33,"")</f>
        <v/>
      </c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4" t="str">
        <f aca="false">IF(COUNT(B34:E34)&gt;0,SUM(B34:E34),"")</f>
        <v/>
      </c>
      <c r="G34" s="14" t="str">
        <f aca="false">IF(ISNUMBER(F34),100*B34/F34,"")</f>
        <v/>
      </c>
      <c r="H34" s="14" t="str">
        <f aca="false">IF(ISNUMBER(F34),100*C34/F34,"")</f>
        <v/>
      </c>
      <c r="I34" s="14" t="str">
        <f aca="false">IF(ISNUMBER(F34),100*D34/F34,"")</f>
        <v/>
      </c>
      <c r="J34" s="14" t="str">
        <f aca="false">IF(ISNUMBER(F34),100*E34/F34,"")</f>
        <v/>
      </c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4" t="str">
        <f aca="false">IF(COUNT(B35:E35)&gt;0,SUM(B35:E35),"")</f>
        <v/>
      </c>
      <c r="G35" s="14" t="str">
        <f aca="false">IF(ISNUMBER(F35),100*B35/F35,"")</f>
        <v/>
      </c>
      <c r="H35" s="14" t="str">
        <f aca="false">IF(ISNUMBER(F35),100*C35/F35,"")</f>
        <v/>
      </c>
      <c r="I35" s="14" t="str">
        <f aca="false">IF(ISNUMBER(F35),100*D35/F35,"")</f>
        <v/>
      </c>
      <c r="J35" s="14" t="str">
        <f aca="false">IF(ISNUMBER(F35),100*E35/F35,"")</f>
        <v/>
      </c>
    </row>
    <row r="38" customFormat="false" ht="15" hidden="false" customHeight="false" outlineLevel="0" collapsed="false">
      <c r="A38" s="9" t="s">
        <v>31</v>
      </c>
    </row>
    <row r="39" customFormat="false" ht="31.5" hidden="false" customHeight="true" outlineLevel="0" collapsed="false">
      <c r="A39" s="10" t="s">
        <v>19</v>
      </c>
      <c r="B39" s="11" t="s">
        <v>32</v>
      </c>
      <c r="C39" s="11" t="s">
        <v>33</v>
      </c>
      <c r="D39" s="11" t="s">
        <v>34</v>
      </c>
      <c r="E39" s="11" t="s">
        <v>35</v>
      </c>
      <c r="F39" s="10" t="s">
        <v>24</v>
      </c>
      <c r="G39" s="10" t="s">
        <v>25</v>
      </c>
      <c r="H39" s="10" t="s">
        <v>26</v>
      </c>
      <c r="I39" s="10" t="s">
        <v>27</v>
      </c>
      <c r="J39" s="10" t="s">
        <v>28</v>
      </c>
    </row>
    <row r="40" customFormat="false" ht="15" hidden="false" customHeight="false" outlineLevel="0" collapsed="false">
      <c r="A40" s="12" t="s">
        <v>29</v>
      </c>
      <c r="B40" s="12" t="n">
        <v>10</v>
      </c>
      <c r="C40" s="12" t="n">
        <v>60</v>
      </c>
      <c r="D40" s="12" t="n">
        <v>25</v>
      </c>
      <c r="E40" s="12" t="n">
        <v>0</v>
      </c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4" t="str">
        <f aca="false">IF(COUNT(B41:E41)&gt;0,SUM(B41:E41),"")</f>
        <v/>
      </c>
      <c r="G41" s="14" t="str">
        <f aca="false">IF(ISNUMBER(F41),100*B41/F41,"")</f>
        <v/>
      </c>
      <c r="H41" s="14" t="str">
        <f aca="false">IF(ISNUMBER(F41),100*C41/F41,"")</f>
        <v/>
      </c>
      <c r="I41" s="14" t="str">
        <f aca="false">IF(ISNUMBER(F41),100*D41/F41,"")</f>
        <v/>
      </c>
      <c r="J41" s="14" t="str">
        <f aca="false">IF(ISNUMBER(F41),100*E41/F41,"")</f>
        <v/>
      </c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4" t="str">
        <f aca="false">IF(COUNT(B42:E42)&gt;0,SUM(B42:E42),"")</f>
        <v/>
      </c>
      <c r="G42" s="14" t="str">
        <f aca="false">IF(ISNUMBER(F42),100*B42/F42,"")</f>
        <v/>
      </c>
      <c r="H42" s="14" t="str">
        <f aca="false">IF(ISNUMBER(F42),100*C42/F42,"")</f>
        <v/>
      </c>
      <c r="I42" s="14" t="str">
        <f aca="false">IF(ISNUMBER(F42),100*D42/F42,"")</f>
        <v/>
      </c>
      <c r="J42" s="14" t="str">
        <f aca="false">IF(ISNUMBER(F42),100*E42/F42,"")</f>
        <v/>
      </c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4" t="str">
        <f aca="false">IF(COUNT(B43:E43)&gt;0,SUM(B43:E43),"")</f>
        <v/>
      </c>
      <c r="G43" s="14" t="str">
        <f aca="false">IF(ISNUMBER(F43),100*B43/F43,"")</f>
        <v/>
      </c>
      <c r="H43" s="14" t="str">
        <f aca="false">IF(ISNUMBER(F43),100*C43/F43,"")</f>
        <v/>
      </c>
      <c r="I43" s="14" t="str">
        <f aca="false">IF(ISNUMBER(F43),100*D43/F43,"")</f>
        <v/>
      </c>
      <c r="J43" s="14" t="str">
        <f aca="false">IF(ISNUMBER(F43),100*E43/F43,"")</f>
        <v/>
      </c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4" t="str">
        <f aca="false">IF(COUNT(B44:E44)&gt;0,SUM(B44:E44),"")</f>
        <v/>
      </c>
      <c r="G44" s="14" t="str">
        <f aca="false">IF(ISNUMBER(F44),100*B44/F44,"")</f>
        <v/>
      </c>
      <c r="H44" s="14" t="str">
        <f aca="false">IF(ISNUMBER(F44),100*C44/F44,"")</f>
        <v/>
      </c>
      <c r="I44" s="14" t="str">
        <f aca="false">IF(ISNUMBER(F44),100*D44/F44,"")</f>
        <v/>
      </c>
      <c r="J44" s="14" t="str">
        <f aca="false">IF(ISNUMBER(F44),100*E44/F44,"")</f>
        <v/>
      </c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4" t="str">
        <f aca="false">IF(COUNT(B45:E45)&gt;0,SUM(B45:E45),"")</f>
        <v/>
      </c>
      <c r="G45" s="14" t="str">
        <f aca="false">IF(ISNUMBER(F45),100*B45/F45,"")</f>
        <v/>
      </c>
      <c r="H45" s="14" t="str">
        <f aca="false">IF(ISNUMBER(F45),100*C45/F45,"")</f>
        <v/>
      </c>
      <c r="I45" s="14" t="str">
        <f aca="false">IF(ISNUMBER(F45),100*D45/F45,"")</f>
        <v/>
      </c>
      <c r="J45" s="14" t="str">
        <f aca="false">IF(ISNUMBER(F45),100*E45/F45,"")</f>
        <v/>
      </c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4" t="str">
        <f aca="false">IF(COUNT(B46:E46)&gt;0,SUM(B46:E46),"")</f>
        <v/>
      </c>
      <c r="G46" s="14" t="str">
        <f aca="false">IF(ISNUMBER(F46),100*B46/F46,"")</f>
        <v/>
      </c>
      <c r="H46" s="14" t="str">
        <f aca="false">IF(ISNUMBER(F46),100*C46/F46,"")</f>
        <v/>
      </c>
      <c r="I46" s="14" t="str">
        <f aca="false">IF(ISNUMBER(F46),100*D46/F46,"")</f>
        <v/>
      </c>
      <c r="J46" s="14" t="str">
        <f aca="false">IF(ISNUMBER(F46),100*E46/F46,"")</f>
        <v/>
      </c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4" t="str">
        <f aca="false">IF(COUNT(B47:E47)&gt;0,SUM(B47:E47),"")</f>
        <v/>
      </c>
      <c r="G47" s="14" t="str">
        <f aca="false">IF(ISNUMBER(F47),100*B47/F47,"")</f>
        <v/>
      </c>
      <c r="H47" s="14" t="str">
        <f aca="false">IF(ISNUMBER(F47),100*C47/F47,"")</f>
        <v/>
      </c>
      <c r="I47" s="14" t="str">
        <f aca="false">IF(ISNUMBER(F47),100*D47/F47,"")</f>
        <v/>
      </c>
      <c r="J47" s="14" t="str">
        <f aca="false">IF(ISNUMBER(F47),100*E47/F47,"")</f>
        <v/>
      </c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4" t="str">
        <f aca="false">IF(COUNT(B48:E48)&gt;0,SUM(B48:E48),"")</f>
        <v/>
      </c>
      <c r="G48" s="14" t="str">
        <f aca="false">IF(ISNUMBER(F48),100*B48/F48,"")</f>
        <v/>
      </c>
      <c r="H48" s="14" t="str">
        <f aca="false">IF(ISNUMBER(F48),100*C48/F48,"")</f>
        <v/>
      </c>
      <c r="I48" s="14" t="str">
        <f aca="false">IF(ISNUMBER(F48),100*D48/F48,"")</f>
        <v/>
      </c>
      <c r="J48" s="14" t="str">
        <f aca="false">IF(ISNUMBER(F48),100*E48/F48,"")</f>
        <v/>
      </c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4" t="str">
        <f aca="false">IF(COUNT(B49:E49)&gt;0,SUM(B49:E49),"")</f>
        <v/>
      </c>
      <c r="G49" s="14" t="str">
        <f aca="false">IF(ISNUMBER(F49),100*B49/F49,"")</f>
        <v/>
      </c>
      <c r="H49" s="14" t="str">
        <f aca="false">IF(ISNUMBER(F49),100*C49/F49,"")</f>
        <v/>
      </c>
      <c r="I49" s="14" t="str">
        <f aca="false">IF(ISNUMBER(F49),100*D49/F49,"")</f>
        <v/>
      </c>
      <c r="J49" s="14" t="str">
        <f aca="false">IF(ISNUMBER(F49),100*E49/F49,"")</f>
        <v/>
      </c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4" t="str">
        <f aca="false">IF(COUNT(B50:E50)&gt;0,SUM(B50:E50),"")</f>
        <v/>
      </c>
      <c r="G50" s="14" t="str">
        <f aca="false">IF(ISNUMBER(F50),100*B50/F50,"")</f>
        <v/>
      </c>
      <c r="H50" s="14" t="str">
        <f aca="false">IF(ISNUMBER(F50),100*C50/F50,"")</f>
        <v/>
      </c>
      <c r="I50" s="14" t="str">
        <f aca="false">IF(ISNUMBER(F50),100*D50/F50,"")</f>
        <v/>
      </c>
      <c r="J50" s="14" t="str">
        <f aca="false">IF(ISNUMBER(F50),100*E50/F50,"")</f>
        <v/>
      </c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4" t="str">
        <f aca="false">IF(COUNT(B51:E51)&gt;0,SUM(B51:E51),"")</f>
        <v/>
      </c>
      <c r="G51" s="14" t="str">
        <f aca="false">IF(ISNUMBER(F51),100*B51/F51,"")</f>
        <v/>
      </c>
      <c r="H51" s="14" t="str">
        <f aca="false">IF(ISNUMBER(F51),100*C51/F51,"")</f>
        <v/>
      </c>
      <c r="I51" s="14" t="str">
        <f aca="false">IF(ISNUMBER(F51),100*D51/F51,"")</f>
        <v/>
      </c>
      <c r="J51" s="14" t="str">
        <f aca="false">IF(ISNUMBER(F51),100*E51/F51,"")</f>
        <v/>
      </c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4" t="str">
        <f aca="false">IF(COUNT(B52:E52)&gt;0,SUM(B52:E52),"")</f>
        <v/>
      </c>
      <c r="G52" s="14" t="str">
        <f aca="false">IF(ISNUMBER(F52),100*B52/F52,"")</f>
        <v/>
      </c>
      <c r="H52" s="14" t="str">
        <f aca="false">IF(ISNUMBER(F52),100*C52/F52,"")</f>
        <v/>
      </c>
      <c r="I52" s="14" t="str">
        <f aca="false">IF(ISNUMBER(F52),100*D52/F52,"")</f>
        <v/>
      </c>
      <c r="J52" s="14" t="str">
        <f aca="false">IF(ISNUMBER(F52),100*E52/F52,"")</f>
        <v/>
      </c>
    </row>
    <row r="55" customFormat="false" ht="15" hidden="false" customHeight="false" outlineLevel="0" collapsed="false">
      <c r="A55" s="9" t="s">
        <v>36</v>
      </c>
    </row>
    <row r="56" customFormat="false" ht="31.5" hidden="false" customHeight="true" outlineLevel="0" collapsed="false">
      <c r="A56" s="10" t="s">
        <v>37</v>
      </c>
      <c r="B56" s="10" t="s">
        <v>38</v>
      </c>
      <c r="C56" s="10" t="s">
        <v>39</v>
      </c>
    </row>
    <row r="57" customFormat="false" ht="15" hidden="false" customHeight="false" outlineLevel="0" collapsed="false">
      <c r="A57" s="13"/>
      <c r="B57" s="13"/>
      <c r="C57" s="13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E18 B24:E35 B41:E52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40</v>
      </c>
    </row>
    <row r="2" customFormat="false" ht="15" hidden="false" customHeight="false" outlineLevel="0" collapsed="false">
      <c r="B2" s="8" t="s">
        <v>41</v>
      </c>
    </row>
    <row r="4" customFormat="false" ht="15" hidden="false" customHeight="false" outlineLevel="0" collapsed="false">
      <c r="B4" s="9" t="s">
        <v>42</v>
      </c>
    </row>
    <row r="5" customFormat="false" ht="30" hidden="false" customHeight="true" outlineLevel="0" collapsed="false">
      <c r="B5" s="10" t="s">
        <v>43</v>
      </c>
      <c r="C5" s="10" t="s">
        <v>44</v>
      </c>
      <c r="D5" s="10" t="s">
        <v>45</v>
      </c>
      <c r="E5" s="10" t="s">
        <v>46</v>
      </c>
      <c r="F5" s="10" t="s">
        <v>47</v>
      </c>
    </row>
    <row r="6" customFormat="false" ht="15" hidden="false" customHeight="false" outlineLevel="0" collapsed="false">
      <c r="B6" s="15" t="n">
        <f aca="false">IFERROR('Enter data'!$A$57,"")</f>
        <v>0</v>
      </c>
      <c r="C6" s="16" t="str">
        <f aca="false">IFERROR('Enter data'!$B$5,"")</f>
        <v>intima</v>
      </c>
      <c r="D6" s="17" t="n">
        <f aca="false">IFERROR(COUNT('Enter data'!$G$7:$G$18),"")</f>
        <v>0</v>
      </c>
      <c r="E6" s="18" t="str">
        <f aca="false">IFERROR(AVERAGE('Enter data'!$G$7:$G$18),"")</f>
        <v/>
      </c>
      <c r="F6" s="18" t="str">
        <f aca="false">IFERROR(STDEV('Enter data'!$G$7:$G$18),"")</f>
        <v/>
      </c>
    </row>
    <row r="7" customFormat="false" ht="15" hidden="false" customHeight="false" outlineLevel="0" collapsed="false">
      <c r="B7" s="15" t="n">
        <f aca="false">IFERROR('Enter data'!$A$57,"")</f>
        <v>0</v>
      </c>
      <c r="C7" s="16" t="str">
        <f aca="false">IFERROR('Enter data'!$C$5,"")</f>
        <v>media</v>
      </c>
      <c r="D7" s="17" t="n">
        <f aca="false">IFERROR(COUNT('Enter data'!$H$7:$H$18),"")</f>
        <v>0</v>
      </c>
      <c r="E7" s="18" t="str">
        <f aca="false">IFERROR(AVERAGE('Enter data'!$H$7:$H$18),"")</f>
        <v/>
      </c>
      <c r="F7" s="18" t="str">
        <f aca="false">IFERROR(STDEV('Enter data'!$H$7:$H$18),"")</f>
        <v/>
      </c>
    </row>
    <row r="8" customFormat="false" ht="15" hidden="false" customHeight="false" outlineLevel="0" collapsed="false">
      <c r="B8" s="15" t="n">
        <f aca="false">IFERROR('Enter data'!$A$57,"")</f>
        <v>0</v>
      </c>
      <c r="C8" s="16" t="str">
        <f aca="false">IFERROR('Enter data'!$D$5,"")</f>
        <v>adventitia</v>
      </c>
      <c r="D8" s="17" t="n">
        <f aca="false">IFERROR(COUNT('Enter data'!$I$7:$I$18),"")</f>
        <v>0</v>
      </c>
      <c r="E8" s="18" t="str">
        <f aca="false">IFERROR(AVERAGE('Enter data'!$I$7:$I$18),"")</f>
        <v/>
      </c>
      <c r="F8" s="18" t="str">
        <f aca="false">IFERROR(STDEV('Enter data'!$I$7:$I$18),"")</f>
        <v/>
      </c>
    </row>
    <row r="9" customFormat="false" ht="15" hidden="false" customHeight="false" outlineLevel="0" collapsed="false">
      <c r="B9" s="15" t="n">
        <f aca="false">IFERROR('Enter data'!$A$57,"")</f>
        <v>0</v>
      </c>
      <c r="C9" s="16" t="str">
        <f aca="false">IFERROR('Enter data'!$E$5,"")</f>
        <v>(unused)</v>
      </c>
      <c r="D9" s="17" t="n">
        <f aca="false">IFERROR(COUNT('Enter data'!$J$7:$J$18),"")</f>
        <v>0</v>
      </c>
      <c r="E9" s="18" t="str">
        <f aca="false">IFERROR(AVERAGE('Enter data'!$J$7:$J$18),"")</f>
        <v/>
      </c>
      <c r="F9" s="18" t="str">
        <f aca="false">IFERROR(STDEV('Enter data'!$J$7:$J$18),"")</f>
        <v/>
      </c>
    </row>
    <row r="10" customFormat="false" ht="15" hidden="false" customHeight="false" outlineLevel="0" collapsed="false">
      <c r="B10" s="15" t="n">
        <f aca="false">IFERROR('Enter data'!$B$57,"")</f>
        <v>0</v>
      </c>
      <c r="C10" s="16" t="str">
        <f aca="false">IFERROR('Enter data'!$B$22,"")</f>
        <v>intima</v>
      </c>
      <c r="D10" s="17" t="n">
        <f aca="false">IFERROR(COUNT('Enter data'!$G$24:$G$35),"")</f>
        <v>0</v>
      </c>
      <c r="E10" s="18" t="str">
        <f aca="false">IFERROR(AVERAGE('Enter data'!$G$24:$G$35),"")</f>
        <v/>
      </c>
      <c r="F10" s="18" t="str">
        <f aca="false">IFERROR(STDEV('Enter data'!$G$24:$G$35),"")</f>
        <v/>
      </c>
    </row>
    <row r="11" customFormat="false" ht="15" hidden="false" customHeight="false" outlineLevel="0" collapsed="false">
      <c r="B11" s="15" t="n">
        <f aca="false">IFERROR('Enter data'!$B$57,"")</f>
        <v>0</v>
      </c>
      <c r="C11" s="16" t="str">
        <f aca="false">IFERROR('Enter data'!$C$22,"")</f>
        <v>media</v>
      </c>
      <c r="D11" s="17" t="n">
        <f aca="false">IFERROR(COUNT('Enter data'!$H$24:$H$35),"")</f>
        <v>0</v>
      </c>
      <c r="E11" s="18" t="str">
        <f aca="false">IFERROR(AVERAGE('Enter data'!$H$24:$H$35),"")</f>
        <v/>
      </c>
      <c r="F11" s="18" t="str">
        <f aca="false">IFERROR(STDEV('Enter data'!$H$24:$H$35),"")</f>
        <v/>
      </c>
    </row>
    <row r="12" customFormat="false" ht="15" hidden="false" customHeight="false" outlineLevel="0" collapsed="false">
      <c r="B12" s="15" t="n">
        <f aca="false">IFERROR('Enter data'!$B$57,"")</f>
        <v>0</v>
      </c>
      <c r="C12" s="16" t="str">
        <f aca="false">IFERROR('Enter data'!$D$22,"")</f>
        <v>adventitia</v>
      </c>
      <c r="D12" s="17" t="n">
        <f aca="false">IFERROR(COUNT('Enter data'!$I$24:$I$35),"")</f>
        <v>0</v>
      </c>
      <c r="E12" s="18" t="str">
        <f aca="false">IFERROR(AVERAGE('Enter data'!$I$24:$I$35),"")</f>
        <v/>
      </c>
      <c r="F12" s="18" t="str">
        <f aca="false">IFERROR(STDEV('Enter data'!$I$24:$I$35),"")</f>
        <v/>
      </c>
    </row>
    <row r="13" customFormat="false" ht="15" hidden="false" customHeight="false" outlineLevel="0" collapsed="false">
      <c r="B13" s="15" t="n">
        <f aca="false">IFERROR('Enter data'!$B$57,"")</f>
        <v>0</v>
      </c>
      <c r="C13" s="16" t="str">
        <f aca="false">IFERROR('Enter data'!$E$22,"")</f>
        <v>(unused)</v>
      </c>
      <c r="D13" s="17" t="n">
        <f aca="false">IFERROR(COUNT('Enter data'!$J$24:$J$35),"")</f>
        <v>0</v>
      </c>
      <c r="E13" s="18" t="str">
        <f aca="false">IFERROR(AVERAGE('Enter data'!$J$24:$J$35),"")</f>
        <v/>
      </c>
      <c r="F13" s="18" t="str">
        <f aca="false">IFERROR(STDEV('Enter data'!$J$24:$J$35),"")</f>
        <v/>
      </c>
    </row>
    <row r="14" customFormat="false" ht="15" hidden="false" customHeight="false" outlineLevel="0" collapsed="false">
      <c r="B14" s="15" t="n">
        <f aca="false">IFERROR('Enter data'!$C$57,"")</f>
        <v>0</v>
      </c>
      <c r="C14" s="16" t="str">
        <f aca="false">IFERROR('Enter data'!$B$39,"")</f>
        <v>mucosa</v>
      </c>
      <c r="D14" s="17" t="n">
        <f aca="false">IFERROR(COUNT('Enter data'!$G$41:$G$52),"")</f>
        <v>0</v>
      </c>
      <c r="E14" s="18" t="str">
        <f aca="false">IFERROR(AVERAGE('Enter data'!$G$41:$G$52),"")</f>
        <v/>
      </c>
      <c r="F14" s="18" t="str">
        <f aca="false">IFERROR(STDEV('Enter data'!$G$41:$G$52),"")</f>
        <v/>
      </c>
    </row>
    <row r="15" customFormat="false" ht="15" hidden="false" customHeight="false" outlineLevel="0" collapsed="false">
      <c r="B15" s="15" t="n">
        <f aca="false">IFERROR('Enter data'!$C$57,"")</f>
        <v>0</v>
      </c>
      <c r="C15" s="16" t="str">
        <f aca="false">IFERROR('Enter data'!$C$39,"")</f>
        <v>submucosa</v>
      </c>
      <c r="D15" s="17" t="n">
        <f aca="false">IFERROR(COUNT('Enter data'!$H$41:$H$52),"")</f>
        <v>0</v>
      </c>
      <c r="E15" s="18" t="str">
        <f aca="false">IFERROR(AVERAGE('Enter data'!$H$41:$H$52),"")</f>
        <v/>
      </c>
      <c r="F15" s="18" t="str">
        <f aca="false">IFERROR(STDEV('Enter data'!$H$41:$H$52),"")</f>
        <v/>
      </c>
    </row>
    <row r="16" customFormat="false" ht="15" hidden="false" customHeight="false" outlineLevel="0" collapsed="false">
      <c r="B16" s="15" t="n">
        <f aca="false">IFERROR('Enter data'!$C$57,"")</f>
        <v>0</v>
      </c>
      <c r="C16" s="16" t="str">
        <f aca="false">IFERROR('Enter data'!$D$39,"")</f>
        <v>muscularis</v>
      </c>
      <c r="D16" s="17" t="n">
        <f aca="false">IFERROR(COUNT('Enter data'!$I$41:$I$52),"")</f>
        <v>0</v>
      </c>
      <c r="E16" s="18" t="str">
        <f aca="false">IFERROR(AVERAGE('Enter data'!$I$41:$I$52),"")</f>
        <v/>
      </c>
      <c r="F16" s="18" t="str">
        <f aca="false">IFERROR(STDEV('Enter data'!$I$41:$I$52),"")</f>
        <v/>
      </c>
    </row>
    <row r="17" customFormat="false" ht="15" hidden="false" customHeight="false" outlineLevel="0" collapsed="false">
      <c r="B17" s="15" t="n">
        <f aca="false">IFERROR('Enter data'!$C$57,"")</f>
        <v>0</v>
      </c>
      <c r="C17" s="16" t="str">
        <f aca="false">IFERROR('Enter data'!$E$39,"")</f>
        <v>serosa</v>
      </c>
      <c r="D17" s="17" t="n">
        <f aca="false">IFERROR(COUNT('Enter data'!$J$41:$J$52),"")</f>
        <v>0</v>
      </c>
      <c r="E17" s="18" t="str">
        <f aca="false">IFERROR(AVERAGE('Enter data'!$J$41:$J$52),"")</f>
        <v/>
      </c>
      <c r="F17" s="18" t="str">
        <f aca="false">IFERROR(STDEV('Enter data'!$J$41:$J$52),"")</f>
        <v/>
      </c>
    </row>
    <row r="20" customFormat="false" ht="15" hidden="false" customHeight="false" outlineLevel="0" collapsed="false">
      <c r="B20" s="9" t="s">
        <v>48</v>
      </c>
    </row>
    <row r="21" customFormat="false" ht="30" hidden="false" customHeight="true" outlineLevel="0" collapsed="false">
      <c r="B21" s="10" t="s">
        <v>43</v>
      </c>
      <c r="C21" s="10" t="s">
        <v>45</v>
      </c>
      <c r="D21" s="10" t="s">
        <v>49</v>
      </c>
      <c r="E21" s="10" t="s">
        <v>47</v>
      </c>
    </row>
    <row r="22" customFormat="false" ht="15" hidden="false" customHeight="false" outlineLevel="0" collapsed="false">
      <c r="B22" s="15" t="n">
        <f aca="false">IFERROR('Enter data'!$A$57,"")</f>
        <v>0</v>
      </c>
      <c r="C22" s="17" t="n">
        <f aca="false">IFERROR(COUNT('Enter data'!$F$7:$F$18),"")</f>
        <v>0</v>
      </c>
      <c r="D22" s="18" t="str">
        <f aca="false">IFERROR(AVERAGE('Enter data'!$F$7:$F$18),"")</f>
        <v/>
      </c>
      <c r="E22" s="18" t="str">
        <f aca="false">IFERROR(STDEV('Enter data'!$F$7:$F$18),"")</f>
        <v/>
      </c>
    </row>
    <row r="23" customFormat="false" ht="15" hidden="false" customHeight="false" outlineLevel="0" collapsed="false">
      <c r="B23" s="15" t="n">
        <f aca="false">IFERROR('Enter data'!$B$57,"")</f>
        <v>0</v>
      </c>
      <c r="C23" s="17" t="n">
        <f aca="false">IFERROR(COUNT('Enter data'!$F$24:$F$35),"")</f>
        <v>0</v>
      </c>
      <c r="D23" s="18" t="str">
        <f aca="false">IFERROR(AVERAGE('Enter data'!$F$24:$F$35),"")</f>
        <v/>
      </c>
      <c r="E23" s="18" t="str">
        <f aca="false">IFERROR(STDEV('Enter data'!$F$24:$F$35),"")</f>
        <v/>
      </c>
    </row>
    <row r="24" customFormat="false" ht="15" hidden="false" customHeight="false" outlineLevel="0" collapsed="false">
      <c r="B24" s="15" t="n">
        <f aca="false">IFERROR('Enter data'!$C$57,"")</f>
        <v>0</v>
      </c>
      <c r="C24" s="17" t="n">
        <f aca="false">IFERROR(COUNT('Enter data'!$F$41:$F$52),"")</f>
        <v>0</v>
      </c>
      <c r="D24" s="18" t="str">
        <f aca="false">IFERROR(AVERAGE('Enter data'!$F$41:$F$52),"")</f>
        <v/>
      </c>
      <c r="E24" s="18" t="str">
        <f aca="false">IFERROR(STDEV('Enter data'!$F$41:$F$52),"")</f>
        <v/>
      </c>
    </row>
    <row r="27" customFormat="false" ht="15" hidden="false" customHeight="false" outlineLevel="0" collapsed="false">
      <c r="B27" s="9" t="s">
        <v>50</v>
      </c>
    </row>
    <row r="28" customFormat="false" ht="30" hidden="false" customHeight="true" outlineLevel="0" collapsed="false">
      <c r="B28" s="10" t="s">
        <v>51</v>
      </c>
      <c r="C28" s="10" t="s">
        <v>52</v>
      </c>
      <c r="D28" s="10" t="s">
        <v>49</v>
      </c>
      <c r="E28" s="10" t="s">
        <v>47</v>
      </c>
      <c r="F28" s="10" t="s">
        <v>53</v>
      </c>
      <c r="G28" s="10" t="s">
        <v>54</v>
      </c>
      <c r="H28" s="10" t="s">
        <v>55</v>
      </c>
    </row>
    <row r="29" customFormat="false" ht="15" hidden="false" customHeight="false" outlineLevel="0" collapsed="false">
      <c r="B29" s="15" t="str">
        <f aca="false">IFERROR('Enter data'!$A$57&amp;" layer 2","")</f>
        <v> layer 2</v>
      </c>
      <c r="C29" s="17" t="n">
        <f aca="false">IFERROR(COUNT('Enter data'!$H$7:$H$18),"")</f>
        <v>0</v>
      </c>
      <c r="D29" s="19" t="str">
        <f aca="false">IFERROR(AVERAGE('Enter data'!$H$7:$H$18),"")</f>
        <v/>
      </c>
      <c r="E29" s="19" t="str">
        <f aca="false">IFERROR(STDEV('Enter data'!$H$7:$H$18),"")</f>
        <v/>
      </c>
      <c r="F29" s="19" t="str">
        <f aca="false">IFERROR(STDEV('Enter data'!$H$7:$H$18)/SQRT(COUNT('Enter data'!$H$7:$H$18)),"")</f>
        <v/>
      </c>
      <c r="G29" s="19" t="n">
        <f aca="false">IFERROR(MIN('Enter data'!$H$7:$H$18),"")</f>
        <v>0</v>
      </c>
      <c r="H29" s="19" t="n">
        <f aca="false">IFERROR(MAX('Enter data'!$H$7:$H$18),"")</f>
        <v>0</v>
      </c>
    </row>
    <row r="30" customFormat="false" ht="15" hidden="false" customHeight="false" outlineLevel="0" collapsed="false">
      <c r="B30" s="15" t="str">
        <f aca="false">IFERROR('Enter data'!$B$57&amp;" layer 2","")</f>
        <v> layer 2</v>
      </c>
      <c r="C30" s="17" t="n">
        <f aca="false">IFERROR(COUNT('Enter data'!$H$24:$H$35),"")</f>
        <v>0</v>
      </c>
      <c r="D30" s="19" t="str">
        <f aca="false">IFERROR(AVERAGE('Enter data'!$H$24:$H$35),"")</f>
        <v/>
      </c>
      <c r="E30" s="19" t="str">
        <f aca="false">IFERROR(STDEV('Enter data'!$H$24:$H$35),"")</f>
        <v/>
      </c>
      <c r="F30" s="19" t="str">
        <f aca="false">IFERROR(STDEV('Enter data'!$H$24:$H$35)/SQRT(COUNT('Enter data'!$H$24:$H$35)),"")</f>
        <v/>
      </c>
      <c r="G30" s="19" t="n">
        <f aca="false">IFERROR(MIN('Enter data'!$H$24:$H$35),"")</f>
        <v>0</v>
      </c>
      <c r="H30" s="19" t="n">
        <f aca="false">IFERROR(MAX('Enter data'!$H$24:$H$35),"")</f>
        <v>0</v>
      </c>
    </row>
    <row r="33" customFormat="false" ht="15" hidden="false" customHeight="false" outlineLevel="0" collapsed="false">
      <c r="B33" s="9" t="s">
        <v>56</v>
      </c>
    </row>
    <row r="34" customFormat="false" ht="15" hidden="false" customHeight="false" outlineLevel="0" collapsed="false">
      <c r="B34" s="20" t="s">
        <v>57</v>
      </c>
      <c r="C34" s="21" t="str">
        <f aca="false">IFERROR($D$29-$D$30,"")</f>
        <v/>
      </c>
    </row>
    <row r="35" customFormat="false" ht="15" hidden="false" customHeight="false" outlineLevel="0" collapsed="false">
      <c r="B35" s="20" t="s">
        <v>58</v>
      </c>
      <c r="C35" s="21" t="str">
        <f aca="false">IFERROR(SQRT($F$29^2+$F$30^2),"")</f>
        <v/>
      </c>
    </row>
    <row r="36" customFormat="false" ht="15" hidden="false" customHeight="false" outlineLevel="0" collapsed="false">
      <c r="B36" s="20" t="s">
        <v>59</v>
      </c>
      <c r="C36" s="21" t="str">
        <f aca="false">IFERROR((($E$29^2/$C$29+$E$30^2/$C$30)^2/(($E$29^2/$C$29)^2/($C$29-1)+($E$30^2/$C$30)^2/($C$30-1))),"")</f>
        <v/>
      </c>
    </row>
    <row r="37" customFormat="false" ht="15" hidden="false" customHeight="false" outlineLevel="0" collapsed="false">
      <c r="B37" s="20" t="s">
        <v>60</v>
      </c>
      <c r="C37" s="22" t="str">
        <f aca="false">IFERROR(TTEST('Enter data'!$H$7:$H$18,'Enter data'!$H$24:$H$35,2,3),"")</f>
        <v/>
      </c>
    </row>
    <row r="38" customFormat="false" ht="15" hidden="false" customHeight="false" outlineLevel="0" collapsed="false">
      <c r="B38" s="20" t="s">
        <v>61</v>
      </c>
      <c r="C38" s="21" t="str">
        <f aca="false">IFERROR($C$34-TINV(0.05,$C$36)*$C$35,"")</f>
        <v/>
      </c>
    </row>
    <row r="39" customFormat="false" ht="15" hidden="false" customHeight="false" outlineLevel="0" collapsed="false">
      <c r="B39" s="20" t="s">
        <v>62</v>
      </c>
      <c r="C39" s="21" t="str">
        <f aca="false">IFERROR($C$34+TINV(0.05,$C$36)*$C$35,"")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2026-10-01T00:31:09Z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2026-10-01T00:31:09Z</dcterms:modified>
  <cp:revision>0</cp:revision>
  <dc:subject/>
  <dc:title>AP-05 Hollow organ walls: layer thickness proportions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