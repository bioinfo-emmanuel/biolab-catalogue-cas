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<sst xmlns="http://schemas.openxmlformats.org/spreadsheetml/2006/main" count="63" uniqueCount="57">
  <si>
    <t xml:space="preserve">AP-01  Reaction time and the ruler-drop test</t>
  </si>
  <si>
    <t xml:space="preserve">Excel version of the card. It does the same calculations as the R script ap01_reaction_time.R.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</si>
  <si>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</si>
  <si>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</si>
  <si>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</si>
  <si>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</si>
  <si>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</si>
  <si>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</si>
  <si>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</si>
  <si>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</si>
  <si>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Reaction time t = sqrt(2 d / g), d in metres, g = 9.81 m/s2. Enter each student's MEAN catch distance over their 20 trials in each condition; each student is their own control.</t>
  </si>
  <si>
    <t xml:space="preserve">Use anonymous codes only. Approval for student-subject activities is assumed to have been granted, and taking part is voluntary.</t>
  </si>
  <si>
    <t xml:space="preserve">Differences from the R script on the card</t>
  </si>
  <si>
    <t xml:space="preserve">The R script starts from every trial and shows the practice curve for each student. Here you enter subject means, and the practice curve is entered as the class mean per trial.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</si>
  <si>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</si>
  <si>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</si>
  <si>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</si>
  <si>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</si>
  <si>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Subject means (cm)</t>
  </si>
  <si>
    <t xml:space="preserve">Subject code</t>
  </si>
  <si>
    <t xml:space="preserve">Dominant hand, baseline (cm)</t>
  </si>
  <si>
    <t xml:space="preserve">Non-dominant hand, baseline (cm)</t>
  </si>
  <si>
    <t xml:space="preserve">Dominant hand, distraction (cm)</t>
  </si>
  <si>
    <t xml:space="preserve">Dominant baseline (ms)</t>
  </si>
  <si>
    <t xml:space="preserve">Non-dominant baseline (ms)</t>
  </si>
  <si>
    <t xml:space="preserve">Dominant distraction (ms)</t>
  </si>
  <si>
    <t xml:space="preserve">Hand difference (non-dominant minus dominant, ms)</t>
  </si>
  <si>
    <t xml:space="preserve">Distraction effect (ms)</t>
  </si>
  <si>
    <t xml:space="preserve">S1</t>
  </si>
  <si>
    <t xml:space="preserve">2. Practice curve: class mean catch distance (cm) for each trial number, dominant hand baseline</t>
  </si>
  <si>
    <t xml:space="preserve">Trial number</t>
  </si>
  <si>
    <t xml:space="preserve">Mean catch distance (cm)</t>
  </si>
  <si>
    <t xml:space="preserve">Reaction time (ms)</t>
  </si>
  <si>
    <t xml:space="preserve">Results</t>
  </si>
  <si>
    <t xml:space="preserve">Everything on this sheet is calculated. Change only the yellow settings.</t>
  </si>
  <si>
    <t xml:space="preserve">Baseline reaction times (ms)</t>
  </si>
  <si>
    <t xml:space="preserve">Mean, dominant hand</t>
  </si>
  <si>
    <t xml:space="preserve">Mean, non-dominant hand</t>
  </si>
  <si>
    <t xml:space="preserve">Non-dominant minus dominant hand (paired t test on subject means)</t>
  </si>
  <si>
    <t xml:space="preserve">Subjects</t>
  </si>
  <si>
    <t xml:space="preserve">Mean difference (ms)</t>
  </si>
  <si>
    <t xml:space="preserve">Standard deviation of the differences</t>
  </si>
  <si>
    <t xml:space="preserve">95% interval, lower (ms)</t>
  </si>
  <si>
    <t xml:space="preserve">95% interval, upper (ms)</t>
  </si>
  <si>
    <t xml:space="preserve">p value</t>
  </si>
  <si>
    <t xml:space="preserve">Distraction minus baseline (dominant hand) (paired t test on subject means)</t>
  </si>
  <si>
    <t xml:space="preserve">Practice effect (reaction time against trial number)</t>
  </si>
  <si>
    <t xml:space="preserve">Points used</t>
  </si>
  <si>
    <t xml:space="preserve">Slope (ms per trial)</t>
  </si>
  <si>
    <t xml:space="preserve">Intercept (ms per trial)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</si>
  <si>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</si>
  <si>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</si>
  <si>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</si>
  <si>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</si>
  <si>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</si>
  <si>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Resolution check</t>
  </si>
  <si>
    <t xml:space="preserve">Change in time for 1 cm near 20 cm (ms)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</si>
</sst>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0.0000"/>
    <numFmt numFmtId="168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10" t="s">
        <v>27</v>
      </c>
    </row>
    <row r="6" customFormat="false" ht="15" hidden="false" customHeight="false" outlineLevel="0" collapsed="false">
      <c r="A6" s="11" t="s">
        <v>28</v>
      </c>
      <c r="B6" s="11" t="n">
        <v>20.1</v>
      </c>
      <c r="C6" s="11" t="n">
        <v>22.3</v>
      </c>
      <c r="D6" s="11" t="n">
        <v>24.9</v>
      </c>
    </row>
    <row r="7" customFormat="false" ht="15" hidden="false" customHeight="false" outlineLevel="0" collapsed="false">
      <c r="A7" s="12"/>
      <c r="B7" s="12"/>
      <c r="C7" s="12"/>
      <c r="D7" s="12"/>
      <c r="E7" s="13" t="str">
        <f aca="false">IF(ISNUMBER(B7),1000*SQRT(2*B7/100/9.81),"")</f>
        <v/>
      </c>
      <c r="F7" s="13" t="str">
        <f aca="false">IF(ISNUMBER(C7),1000*SQRT(2*C7/100/9.81),"")</f>
        <v/>
      </c>
      <c r="G7" s="13" t="str">
        <f aca="false">IF(ISNUMBER(D7),1000*SQRT(2*D7/100/9.81),"")</f>
        <v/>
      </c>
      <c r="H7" s="14" t="str">
        <f aca="false">IF(AND(ISNUMBER(E7),ISNUMBER(F7)),F7-E7,"")</f>
        <v/>
      </c>
      <c r="I7" s="14" t="str">
        <f aca="false">IF(AND(ISNUMBER(E7),ISNUMBER(G7)),G7-E7,"")</f>
        <v/>
      </c>
    </row>
    <row r="8" customFormat="false" ht="15" hidden="false" customHeight="false" outlineLevel="0" collapsed="false">
      <c r="A8" s="12"/>
      <c r="B8" s="12"/>
      <c r="C8" s="12"/>
      <c r="D8" s="12"/>
      <c r="E8" s="13" t="str">
        <f aca="false">IF(ISNUMBER(B8),1000*SQRT(2*B8/100/9.81),"")</f>
        <v/>
      </c>
      <c r="F8" s="13" t="str">
        <f aca="false">IF(ISNUMBER(C8),1000*SQRT(2*C8/100/9.81),"")</f>
        <v/>
      </c>
      <c r="G8" s="13" t="str">
        <f aca="false">IF(ISNUMBER(D8),1000*SQRT(2*D8/100/9.81),"")</f>
        <v/>
      </c>
      <c r="H8" s="14" t="str">
        <f aca="false">IF(AND(ISNUMBER(E8),ISNUMBER(F8)),F8-E8,"")</f>
        <v/>
      </c>
      <c r="I8" s="14" t="str">
        <f aca="false">IF(AND(ISNUMBER(E8),ISNUMBER(G8)),G8-E8,"")</f>
        <v/>
      </c>
    </row>
    <row r="9" customFormat="false" ht="15" hidden="false" customHeight="false" outlineLevel="0" collapsed="false">
      <c r="A9" s="12"/>
      <c r="B9" s="12"/>
      <c r="C9" s="12"/>
      <c r="D9" s="12"/>
      <c r="E9" s="13" t="str">
        <f aca="false">IF(ISNUMBER(B9),1000*SQRT(2*B9/100/9.81),"")</f>
        <v/>
      </c>
      <c r="F9" s="13" t="str">
        <f aca="false">IF(ISNUMBER(C9),1000*SQRT(2*C9/100/9.81),"")</f>
        <v/>
      </c>
      <c r="G9" s="13" t="str">
        <f aca="false">IF(ISNUMBER(D9),1000*SQRT(2*D9/100/9.81),"")</f>
        <v/>
      </c>
      <c r="H9" s="14" t="str">
        <f aca="false">IF(AND(ISNUMBER(E9),ISNUMBER(F9)),F9-E9,"")</f>
        <v/>
      </c>
      <c r="I9" s="14" t="str">
        <f aca="false">IF(AND(ISNUMBER(E9),ISNUMBER(G9)),G9-E9,"")</f>
        <v/>
      </c>
    </row>
    <row r="10" customFormat="false" ht="15" hidden="false" customHeight="false" outlineLevel="0" collapsed="false">
      <c r="A10" s="12"/>
      <c r="B10" s="12"/>
      <c r="C10" s="12"/>
      <c r="D10" s="12"/>
      <c r="E10" s="13" t="str">
        <f aca="false">IF(ISNUMBER(B10),1000*SQRT(2*B10/100/9.81),"")</f>
        <v/>
      </c>
      <c r="F10" s="13" t="str">
        <f aca="false">IF(ISNUMBER(C10),1000*SQRT(2*C10/100/9.81),"")</f>
        <v/>
      </c>
      <c r="G10" s="13" t="str">
        <f aca="false">IF(ISNUMBER(D10),1000*SQRT(2*D10/100/9.81),"")</f>
        <v/>
      </c>
      <c r="H10" s="14" t="str">
        <f aca="false">IF(AND(ISNUMBER(E10),ISNUMBER(F10)),F10-E10,"")</f>
        <v/>
      </c>
      <c r="I10" s="14" t="str">
        <f aca="false">IF(AND(ISNUMBER(E10),ISNUMBER(G10)),G10-E10,"")</f>
        <v/>
      </c>
    </row>
    <row r="11" customFormat="false" ht="15" hidden="false" customHeight="false" outlineLevel="0" collapsed="false">
      <c r="A11" s="12"/>
      <c r="B11" s="12"/>
      <c r="C11" s="12"/>
      <c r="D11" s="12"/>
      <c r="E11" s="13" t="str">
        <f aca="false">IF(ISNUMBER(B11),1000*SQRT(2*B11/100/9.81),"")</f>
        <v/>
      </c>
      <c r="F11" s="13" t="str">
        <f aca="false">IF(ISNUMBER(C11),1000*SQRT(2*C11/100/9.81),"")</f>
        <v/>
      </c>
      <c r="G11" s="13" t="str">
        <f aca="false">IF(ISNUMBER(D11),1000*SQRT(2*D11/100/9.81),"")</f>
        <v/>
      </c>
      <c r="H11" s="14" t="str">
        <f aca="false">IF(AND(ISNUMBER(E11),ISNUMBER(F11)),F11-E11,"")</f>
        <v/>
      </c>
      <c r="I11" s="14" t="str">
        <f aca="false">IF(AND(ISNUMBER(E11),ISNUMBER(G11)),G11-E11,"")</f>
        <v/>
      </c>
    </row>
    <row r="12" customFormat="false" ht="15" hidden="false" customHeight="false" outlineLevel="0" collapsed="false">
      <c r="A12" s="12"/>
      <c r="B12" s="12"/>
      <c r="C12" s="12"/>
      <c r="D12" s="12"/>
      <c r="E12" s="13" t="str">
        <f aca="false">IF(ISNUMBER(B12),1000*SQRT(2*B12/100/9.81),"")</f>
        <v/>
      </c>
      <c r="F12" s="13" t="str">
        <f aca="false">IF(ISNUMBER(C12),1000*SQRT(2*C12/100/9.81),"")</f>
        <v/>
      </c>
      <c r="G12" s="13" t="str">
        <f aca="false">IF(ISNUMBER(D12),1000*SQRT(2*D12/100/9.81),"")</f>
        <v/>
      </c>
      <c r="H12" s="14" t="str">
        <f aca="false">IF(AND(ISNUMBER(E12),ISNUMBER(F12)),F12-E12,"")</f>
        <v/>
      </c>
      <c r="I12" s="14" t="str">
        <f aca="false">IF(AND(ISNUMBER(E12),ISNUMBER(G12)),G12-E12,"")</f>
        <v/>
      </c>
    </row>
    <row r="13" customFormat="false" ht="15" hidden="false" customHeight="false" outlineLevel="0" collapsed="false">
      <c r="A13" s="12"/>
      <c r="B13" s="12"/>
      <c r="C13" s="12"/>
      <c r="D13" s="12"/>
      <c r="E13" s="13" t="str">
        <f aca="false">IF(ISNUMBER(B13),1000*SQRT(2*B13/100/9.81),"")</f>
        <v/>
      </c>
      <c r="F13" s="13" t="str">
        <f aca="false">IF(ISNUMBER(C13),1000*SQRT(2*C13/100/9.81),"")</f>
        <v/>
      </c>
      <c r="G13" s="13" t="str">
        <f aca="false">IF(ISNUMBER(D13),1000*SQRT(2*D13/100/9.81),"")</f>
        <v/>
      </c>
      <c r="H13" s="14" t="str">
        <f aca="false">IF(AND(ISNUMBER(E13),ISNUMBER(F13)),F13-E13,"")</f>
        <v/>
      </c>
      <c r="I13" s="14" t="str">
        <f aca="false">IF(AND(ISNUMBER(E13),ISNUMBER(G13)),G13-E13,"")</f>
        <v/>
      </c>
    </row>
    <row r="14" customFormat="false" ht="15" hidden="false" customHeight="false" outlineLevel="0" collapsed="false">
      <c r="A14" s="12"/>
      <c r="B14" s="12"/>
      <c r="C14" s="12"/>
      <c r="D14" s="12"/>
      <c r="E14" s="13" t="str">
        <f aca="false">IF(ISNUMBER(B14),1000*SQRT(2*B14/100/9.81),"")</f>
        <v/>
      </c>
      <c r="F14" s="13" t="str">
        <f aca="false">IF(ISNUMBER(C14),1000*SQRT(2*C14/100/9.81),"")</f>
        <v/>
      </c>
      <c r="G14" s="13" t="str">
        <f aca="false">IF(ISNUMBER(D14),1000*SQRT(2*D14/100/9.81),"")</f>
        <v/>
      </c>
      <c r="H14" s="14" t="str">
        <f aca="false">IF(AND(ISNUMBER(E14),ISNUMBER(F14)),F14-E14,"")</f>
        <v/>
      </c>
      <c r="I14" s="14" t="str">
        <f aca="false">IF(AND(ISNUMBER(E14),ISNUMBER(G14)),G14-E14,"")</f>
        <v/>
      </c>
    </row>
    <row r="15" customFormat="false" ht="15" hidden="false" customHeight="false" outlineLevel="0" collapsed="false">
      <c r="A15" s="12"/>
      <c r="B15" s="12"/>
      <c r="C15" s="12"/>
      <c r="D15" s="12"/>
      <c r="E15" s="13" t="str">
        <f aca="false">IF(ISNUMBER(B15),1000*SQRT(2*B15/100/9.81),"")</f>
        <v/>
      </c>
      <c r="F15" s="13" t="str">
        <f aca="false">IF(ISNUMBER(C15),1000*SQRT(2*C15/100/9.81),"")</f>
        <v/>
      </c>
      <c r="G15" s="13" t="str">
        <f aca="false">IF(ISNUMBER(D15),1000*SQRT(2*D15/100/9.81),"")</f>
        <v/>
      </c>
      <c r="H15" s="14" t="str">
        <f aca="false">IF(AND(ISNUMBER(E15),ISNUMBER(F15)),F15-E15,"")</f>
        <v/>
      </c>
      <c r="I15" s="14" t="str">
        <f aca="false">IF(AND(ISNUMBER(E15),ISNUMBER(G15)),G15-E15,"")</f>
        <v/>
      </c>
    </row>
    <row r="16" customFormat="false" ht="15" hidden="false" customHeight="false" outlineLevel="0" collapsed="false">
      <c r="A16" s="12"/>
      <c r="B16" s="12"/>
      <c r="C16" s="12"/>
      <c r="D16" s="12"/>
      <c r="E16" s="13" t="str">
        <f aca="false">IF(ISNUMBER(B16),1000*SQRT(2*B16/100/9.81),"")</f>
        <v/>
      </c>
      <c r="F16" s="13" t="str">
        <f aca="false">IF(ISNUMBER(C16),1000*SQRT(2*C16/100/9.81),"")</f>
        <v/>
      </c>
      <c r="G16" s="13" t="str">
        <f aca="false">IF(ISNUMBER(D16),1000*SQRT(2*D16/100/9.81),"")</f>
        <v/>
      </c>
      <c r="H16" s="14" t="str">
        <f aca="false">IF(AND(ISNUMBER(E16),ISNUMBER(F16)),F16-E16,"")</f>
        <v/>
      </c>
      <c r="I16" s="14" t="str">
        <f aca="false">IF(AND(ISNUMBER(E16),ISNUMBER(G16)),G16-E16,"")</f>
        <v/>
      </c>
    </row>
    <row r="17" customFormat="false" ht="15" hidden="false" customHeight="false" outlineLevel="0" collapsed="false">
      <c r="A17" s="12"/>
      <c r="B17" s="12"/>
      <c r="C17" s="12"/>
      <c r="D17" s="12"/>
      <c r="E17" s="13" t="str">
        <f aca="false">IF(ISNUMBER(B17),1000*SQRT(2*B17/100/9.81),"")</f>
        <v/>
      </c>
      <c r="F17" s="13" t="str">
        <f aca="false">IF(ISNUMBER(C17),1000*SQRT(2*C17/100/9.81),"")</f>
        <v/>
      </c>
      <c r="G17" s="13" t="str">
        <f aca="false">IF(ISNUMBER(D17),1000*SQRT(2*D17/100/9.81),"")</f>
        <v/>
      </c>
      <c r="H17" s="14" t="str">
        <f aca="false">IF(AND(ISNUMBER(E17),ISNUMBER(F17)),F17-E17,"")</f>
        <v/>
      </c>
      <c r="I17" s="14" t="str">
        <f aca="false">IF(AND(ISNUMBER(E17),ISNUMBER(G17)),G17-E17,"")</f>
        <v/>
      </c>
    </row>
    <row r="18" customFormat="false" ht="15" hidden="false" customHeight="false" outlineLevel="0" collapsed="false">
      <c r="A18" s="12"/>
      <c r="B18" s="12"/>
      <c r="C18" s="12"/>
      <c r="D18" s="12"/>
      <c r="E18" s="13" t="str">
        <f aca="false">IF(ISNUMBER(B18),1000*SQRT(2*B18/100/9.81),"")</f>
        <v/>
      </c>
      <c r="F18" s="13" t="str">
        <f aca="false">IF(ISNUMBER(C18),1000*SQRT(2*C18/100/9.81),"")</f>
        <v/>
      </c>
      <c r="G18" s="13" t="str">
        <f aca="false">IF(ISNUMBER(D18),1000*SQRT(2*D18/100/9.81),"")</f>
        <v/>
      </c>
      <c r="H18" s="14" t="str">
        <f aca="false">IF(AND(ISNUMBER(E18),ISNUMBER(F18)),F18-E18,"")</f>
        <v/>
      </c>
      <c r="I18" s="14" t="str">
        <f aca="false">IF(AND(ISNUMBER(E18),ISNUMBER(G18)),G18-E18,"")</f>
        <v/>
      </c>
    </row>
    <row r="19" customFormat="false" ht="15" hidden="false" customHeight="false" outlineLevel="0" collapsed="false">
      <c r="A19" s="12"/>
      <c r="B19" s="12"/>
      <c r="C19" s="12"/>
      <c r="D19" s="12"/>
      <c r="E19" s="13" t="str">
        <f aca="false">IF(ISNUMBER(B19),1000*SQRT(2*B19/100/9.81),"")</f>
        <v/>
      </c>
      <c r="F19" s="13" t="str">
        <f aca="false">IF(ISNUMBER(C19),1000*SQRT(2*C19/100/9.81),"")</f>
        <v/>
      </c>
      <c r="G19" s="13" t="str">
        <f aca="false">IF(ISNUMBER(D19),1000*SQRT(2*D19/100/9.81),"")</f>
        <v/>
      </c>
      <c r="H19" s="14" t="str">
        <f aca="false">IF(AND(ISNUMBER(E19),ISNUMBER(F19)),F19-E19,"")</f>
        <v/>
      </c>
      <c r="I19" s="14" t="str">
        <f aca="false">IF(AND(ISNUMBER(E19),ISNUMBER(G19)),G19-E19,"")</f>
        <v/>
      </c>
    </row>
    <row r="20" customFormat="false" ht="15" hidden="false" customHeight="false" outlineLevel="0" collapsed="false">
      <c r="A20" s="12"/>
      <c r="B20" s="12"/>
      <c r="C20" s="12"/>
      <c r="D20" s="12"/>
      <c r="E20" s="13" t="str">
        <f aca="false">IF(ISNUMBER(B20),1000*SQRT(2*B20/100/9.81),"")</f>
        <v/>
      </c>
      <c r="F20" s="13" t="str">
        <f aca="false">IF(ISNUMBER(C20),1000*SQRT(2*C20/100/9.81),"")</f>
        <v/>
      </c>
      <c r="G20" s="13" t="str">
        <f aca="false">IF(ISNUMBER(D20),1000*SQRT(2*D20/100/9.81),"")</f>
        <v/>
      </c>
      <c r="H20" s="14" t="str">
        <f aca="false">IF(AND(ISNUMBER(E20),ISNUMBER(F20)),F20-E20,"")</f>
        <v/>
      </c>
      <c r="I20" s="14" t="str">
        <f aca="false">IF(AND(ISNUMBER(E20),ISNUMBER(G20)),G20-E20,"")</f>
        <v/>
      </c>
    </row>
    <row r="21" customFormat="false" ht="15" hidden="false" customHeight="false" outlineLevel="0" collapsed="false">
      <c r="A21" s="12"/>
      <c r="B21" s="12"/>
      <c r="C21" s="12"/>
      <c r="D21" s="12"/>
      <c r="E21" s="13" t="str">
        <f aca="false">IF(ISNUMBER(B21),1000*SQRT(2*B21/100/9.81),"")</f>
        <v/>
      </c>
      <c r="F21" s="13" t="str">
        <f aca="false">IF(ISNUMBER(C21),1000*SQRT(2*C21/100/9.81),"")</f>
        <v/>
      </c>
      <c r="G21" s="13" t="str">
        <f aca="false">IF(ISNUMBER(D21),1000*SQRT(2*D21/100/9.81),"")</f>
        <v/>
      </c>
      <c r="H21" s="14" t="str">
        <f aca="false">IF(AND(ISNUMBER(E21),ISNUMBER(F21)),F21-E21,"")</f>
        <v/>
      </c>
      <c r="I21" s="14" t="str">
        <f aca="false">IF(AND(ISNUMBER(E21),ISNUMBER(G21)),G21-E21,"")</f>
        <v/>
      </c>
    </row>
    <row r="22" customFormat="false" ht="15" hidden="false" customHeight="false" outlineLevel="0" collapsed="false">
      <c r="A22" s="12"/>
      <c r="B22" s="12"/>
      <c r="C22" s="12"/>
      <c r="D22" s="12"/>
      <c r="E22" s="13" t="str">
        <f aca="false">IF(ISNUMBER(B22),1000*SQRT(2*B22/100/9.81),"")</f>
        <v/>
      </c>
      <c r="F22" s="13" t="str">
        <f aca="false">IF(ISNUMBER(C22),1000*SQRT(2*C22/100/9.81),"")</f>
        <v/>
      </c>
      <c r="G22" s="13" t="str">
        <f aca="false">IF(ISNUMBER(D22),1000*SQRT(2*D22/100/9.81),"")</f>
        <v/>
      </c>
      <c r="H22" s="14" t="str">
        <f aca="false">IF(AND(ISNUMBER(E22),ISNUMBER(F22)),F22-E22,"")</f>
        <v/>
      </c>
      <c r="I22" s="14" t="str">
        <f aca="false">IF(AND(ISNUMBER(E22),ISNUMBER(G22)),G22-E22,"")</f>
        <v/>
      </c>
    </row>
    <row r="23" customFormat="false" ht="15" hidden="false" customHeight="false" outlineLevel="0" collapsed="false">
      <c r="A23" s="12"/>
      <c r="B23" s="12"/>
      <c r="C23" s="12"/>
      <c r="D23" s="12"/>
      <c r="E23" s="13" t="str">
        <f aca="false">IF(ISNUMBER(B23),1000*SQRT(2*B23/100/9.81),"")</f>
        <v/>
      </c>
      <c r="F23" s="13" t="str">
        <f aca="false">IF(ISNUMBER(C23),1000*SQRT(2*C23/100/9.81),"")</f>
        <v/>
      </c>
      <c r="G23" s="13" t="str">
        <f aca="false">IF(ISNUMBER(D23),1000*SQRT(2*D23/100/9.81),"")</f>
        <v/>
      </c>
      <c r="H23" s="14" t="str">
        <f aca="false">IF(AND(ISNUMBER(E23),ISNUMBER(F23)),F23-E23,"")</f>
        <v/>
      </c>
      <c r="I23" s="14" t="str">
        <f aca="false">IF(AND(ISNUMBER(E23),ISNUMBER(G23)),G23-E23,"")</f>
        <v/>
      </c>
    </row>
    <row r="24" customFormat="false" ht="15" hidden="false" customHeight="false" outlineLevel="0" collapsed="false">
      <c r="A24" s="12"/>
      <c r="B24" s="12"/>
      <c r="C24" s="12"/>
      <c r="D24" s="12"/>
      <c r="E24" s="13" t="str">
        <f aca="false">IF(ISNUMBER(B24),1000*SQRT(2*B24/100/9.81),"")</f>
        <v/>
      </c>
      <c r="F24" s="13" t="str">
        <f aca="false">IF(ISNUMBER(C24),1000*SQRT(2*C24/100/9.81),"")</f>
        <v/>
      </c>
      <c r="G24" s="13" t="str">
        <f aca="false">IF(ISNUMBER(D24),1000*SQRT(2*D24/100/9.81),"")</f>
        <v/>
      </c>
      <c r="H24" s="14" t="str">
        <f aca="false">IF(AND(ISNUMBER(E24),ISNUMBER(F24)),F24-E24,"")</f>
        <v/>
      </c>
      <c r="I24" s="14" t="str">
        <f aca="false">IF(AND(ISNUMBER(E24),ISNUMBER(G24)),G24-E24,"")</f>
        <v/>
      </c>
    </row>
    <row r="25" customFormat="false" ht="15" hidden="false" customHeight="false" outlineLevel="0" collapsed="false">
      <c r="A25" s="12"/>
      <c r="B25" s="12"/>
      <c r="C25" s="12"/>
      <c r="D25" s="12"/>
      <c r="E25" s="13" t="str">
        <f aca="false">IF(ISNUMBER(B25),1000*SQRT(2*B25/100/9.81),"")</f>
        <v/>
      </c>
      <c r="F25" s="13" t="str">
        <f aca="false">IF(ISNUMBER(C25),1000*SQRT(2*C25/100/9.81),"")</f>
        <v/>
      </c>
      <c r="G25" s="13" t="str">
        <f aca="false">IF(ISNUMBER(D25),1000*SQRT(2*D25/100/9.81),"")</f>
        <v/>
      </c>
      <c r="H25" s="14" t="str">
        <f aca="false">IF(AND(ISNUMBER(E25),ISNUMBER(F25)),F25-E25,"")</f>
        <v/>
      </c>
      <c r="I25" s="14" t="str">
        <f aca="false">IF(AND(ISNUMBER(E25),ISNUMBER(G25)),G25-E25,"")</f>
        <v/>
      </c>
    </row>
    <row r="26" customFormat="false" ht="15" hidden="false" customHeight="false" outlineLevel="0" collapsed="false">
      <c r="A26" s="12"/>
      <c r="B26" s="12"/>
      <c r="C26" s="12"/>
      <c r="D26" s="12"/>
      <c r="E26" s="13" t="str">
        <f aca="false">IF(ISNUMBER(B26),1000*SQRT(2*B26/100/9.81),"")</f>
        <v/>
      </c>
      <c r="F26" s="13" t="str">
        <f aca="false">IF(ISNUMBER(C26),1000*SQRT(2*C26/100/9.81),"")</f>
        <v/>
      </c>
      <c r="G26" s="13" t="str">
        <f aca="false">IF(ISNUMBER(D26),1000*SQRT(2*D26/100/9.81),"")</f>
        <v/>
      </c>
      <c r="H26" s="14" t="str">
        <f aca="false">IF(AND(ISNUMBER(E26),ISNUMBER(F26)),F26-E26,"")</f>
        <v/>
      </c>
      <c r="I26" s="14" t="str">
        <f aca="false">IF(AND(ISNUMBER(E26),ISNUMBER(G26)),G26-E26,"")</f>
        <v/>
      </c>
    </row>
    <row r="27" customFormat="false" ht="15" hidden="false" customHeight="false" outlineLevel="0" collapsed="false">
      <c r="A27" s="12"/>
      <c r="B27" s="12"/>
      <c r="C27" s="12"/>
      <c r="D27" s="12"/>
      <c r="E27" s="13" t="str">
        <f aca="false">IF(ISNUMBER(B27),1000*SQRT(2*B27/100/9.81),"")</f>
        <v/>
      </c>
      <c r="F27" s="13" t="str">
        <f aca="false">IF(ISNUMBER(C27),1000*SQRT(2*C27/100/9.81),"")</f>
        <v/>
      </c>
      <c r="G27" s="13" t="str">
        <f aca="false">IF(ISNUMBER(D27),1000*SQRT(2*D27/100/9.81),"")</f>
        <v/>
      </c>
      <c r="H27" s="14" t="str">
        <f aca="false">IF(AND(ISNUMBER(E27),ISNUMBER(F27)),F27-E27,"")</f>
        <v/>
      </c>
      <c r="I27" s="14" t="str">
        <f aca="false">IF(AND(ISNUMBER(E27),ISNUMBER(G27)),G27-E27,"")</f>
        <v/>
      </c>
    </row>
    <row r="28" customFormat="false" ht="15" hidden="false" customHeight="false" outlineLevel="0" collapsed="false">
      <c r="A28" s="12"/>
      <c r="B28" s="12"/>
      <c r="C28" s="12"/>
      <c r="D28" s="12"/>
      <c r="E28" s="13" t="str">
        <f aca="false">IF(ISNUMBER(B28),1000*SQRT(2*B28/100/9.81),"")</f>
        <v/>
      </c>
      <c r="F28" s="13" t="str">
        <f aca="false">IF(ISNUMBER(C28),1000*SQRT(2*C28/100/9.81),"")</f>
        <v/>
      </c>
      <c r="G28" s="13" t="str">
        <f aca="false">IF(ISNUMBER(D28),1000*SQRT(2*D28/100/9.81),"")</f>
        <v/>
      </c>
      <c r="H28" s="14" t="str">
        <f aca="false">IF(AND(ISNUMBER(E28),ISNUMBER(F28)),F28-E28,"")</f>
        <v/>
      </c>
      <c r="I28" s="14" t="str">
        <f aca="false">IF(AND(ISNUMBER(E28),ISNUMBER(G28)),G28-E28,"")</f>
        <v/>
      </c>
    </row>
    <row r="29" customFormat="false" ht="15" hidden="false" customHeight="false" outlineLevel="0" collapsed="false">
      <c r="A29" s="12"/>
      <c r="B29" s="12"/>
      <c r="C29" s="12"/>
      <c r="D29" s="12"/>
      <c r="E29" s="13" t="str">
        <f aca="false">IF(ISNUMBER(B29),1000*SQRT(2*B29/100/9.81),"")</f>
        <v/>
      </c>
      <c r="F29" s="13" t="str">
        <f aca="false">IF(ISNUMBER(C29),1000*SQRT(2*C29/100/9.81),"")</f>
        <v/>
      </c>
      <c r="G29" s="13" t="str">
        <f aca="false">IF(ISNUMBER(D29),1000*SQRT(2*D29/100/9.81),"")</f>
        <v/>
      </c>
      <c r="H29" s="14" t="str">
        <f aca="false">IF(AND(ISNUMBER(E29),ISNUMBER(F29)),F29-E29,"")</f>
        <v/>
      </c>
      <c r="I29" s="14" t="str">
        <f aca="false">IF(AND(ISNUMBER(E29),ISNUMBER(G29)),G29-E29,"")</f>
        <v/>
      </c>
    </row>
    <row r="30" customFormat="false" ht="15" hidden="false" customHeight="false" outlineLevel="0" collapsed="false">
      <c r="A30" s="12"/>
      <c r="B30" s="12"/>
      <c r="C30" s="12"/>
      <c r="D30" s="12"/>
      <c r="E30" s="13" t="str">
        <f aca="false">IF(ISNUMBER(B30),1000*SQRT(2*B30/100/9.81),"")</f>
        <v/>
      </c>
      <c r="F30" s="13" t="str">
        <f aca="false">IF(ISNUMBER(C30),1000*SQRT(2*C30/100/9.81),"")</f>
        <v/>
      </c>
      <c r="G30" s="13" t="str">
        <f aca="false">IF(ISNUMBER(D30),1000*SQRT(2*D30/100/9.81),"")</f>
        <v/>
      </c>
      <c r="H30" s="14" t="str">
        <f aca="false">IF(AND(ISNUMBER(E30),ISNUMBER(F30)),F30-E30,"")</f>
        <v/>
      </c>
      <c r="I30" s="14" t="str">
        <f aca="false">IF(AND(ISNUMBER(E30),ISNUMBER(G30)),G30-E30,"")</f>
        <v/>
      </c>
    </row>
    <row r="31" customFormat="false" ht="15" hidden="false" customHeight="false" outlineLevel="0" collapsed="false">
      <c r="A31" s="12"/>
      <c r="B31" s="12"/>
      <c r="C31" s="12"/>
      <c r="D31" s="12"/>
      <c r="E31" s="13" t="str">
        <f aca="false">IF(ISNUMBER(B31),1000*SQRT(2*B31/100/9.81),"")</f>
        <v/>
      </c>
      <c r="F31" s="13" t="str">
        <f aca="false">IF(ISNUMBER(C31),1000*SQRT(2*C31/100/9.81),"")</f>
        <v/>
      </c>
      <c r="G31" s="13" t="str">
        <f aca="false">IF(ISNUMBER(D31),1000*SQRT(2*D31/100/9.81),"")</f>
        <v/>
      </c>
      <c r="H31" s="14" t="str">
        <f aca="false">IF(AND(ISNUMBER(E31),ISNUMBER(F31)),F31-E31,"")</f>
        <v/>
      </c>
      <c r="I31" s="14" t="str">
        <f aca="false">IF(AND(ISNUMBER(E31),ISNUMBER(G31)),G31-E31,"")</f>
        <v/>
      </c>
    </row>
    <row r="32" customFormat="false" ht="15" hidden="false" customHeight="false" outlineLevel="0" collapsed="false">
      <c r="A32" s="12"/>
      <c r="B32" s="12"/>
      <c r="C32" s="12"/>
      <c r="D32" s="12"/>
      <c r="E32" s="13" t="str">
        <f aca="false">IF(ISNUMBER(B32),1000*SQRT(2*B32/100/9.81),"")</f>
        <v/>
      </c>
      <c r="F32" s="13" t="str">
        <f aca="false">IF(ISNUMBER(C32),1000*SQRT(2*C32/100/9.81),"")</f>
        <v/>
      </c>
      <c r="G32" s="13" t="str">
        <f aca="false">IF(ISNUMBER(D32),1000*SQRT(2*D32/100/9.81),"")</f>
        <v/>
      </c>
      <c r="H32" s="14" t="str">
        <f aca="false">IF(AND(ISNUMBER(E32),ISNUMBER(F32)),F32-E32,"")</f>
        <v/>
      </c>
      <c r="I32" s="14" t="str">
        <f aca="false">IF(AND(ISNUMBER(E32),ISNUMBER(G32)),G32-E32,"")</f>
        <v/>
      </c>
    </row>
    <row r="33" customFormat="false" ht="15" hidden="false" customHeight="false" outlineLevel="0" collapsed="false">
      <c r="A33" s="12"/>
      <c r="B33" s="12"/>
      <c r="C33" s="12"/>
      <c r="D33" s="12"/>
      <c r="E33" s="13" t="str">
        <f aca="false">IF(ISNUMBER(B33),1000*SQRT(2*B33/100/9.81),"")</f>
        <v/>
      </c>
      <c r="F33" s="13" t="str">
        <f aca="false">IF(ISNUMBER(C33),1000*SQRT(2*C33/100/9.81),"")</f>
        <v/>
      </c>
      <c r="G33" s="13" t="str">
        <f aca="false">IF(ISNUMBER(D33),1000*SQRT(2*D33/100/9.81),"")</f>
        <v/>
      </c>
      <c r="H33" s="14" t="str">
        <f aca="false">IF(AND(ISNUMBER(E33),ISNUMBER(F33)),F33-E33,"")</f>
        <v/>
      </c>
      <c r="I33" s="14" t="str">
        <f aca="false">IF(AND(ISNUMBER(E33),ISNUMBER(G33)),G33-E33,"")</f>
        <v/>
      </c>
    </row>
    <row r="34" customFormat="false" ht="15" hidden="false" customHeight="false" outlineLevel="0" collapsed="false">
      <c r="A34" s="12"/>
      <c r="B34" s="12"/>
      <c r="C34" s="12"/>
      <c r="D34" s="12"/>
      <c r="E34" s="13" t="str">
        <f aca="false">IF(ISNUMBER(B34),1000*SQRT(2*B34/100/9.81),"")</f>
        <v/>
      </c>
      <c r="F34" s="13" t="str">
        <f aca="false">IF(ISNUMBER(C34),1000*SQRT(2*C34/100/9.81),"")</f>
        <v/>
      </c>
      <c r="G34" s="13" t="str">
        <f aca="false">IF(ISNUMBER(D34),1000*SQRT(2*D34/100/9.81),"")</f>
        <v/>
      </c>
      <c r="H34" s="14" t="str">
        <f aca="false">IF(AND(ISNUMBER(E34),ISNUMBER(F34)),F34-E34,"")</f>
        <v/>
      </c>
      <c r="I34" s="14" t="str">
        <f aca="false">IF(AND(ISNUMBER(E34),ISNUMBER(G34)),G34-E34,"")</f>
        <v/>
      </c>
    </row>
    <row r="35" customFormat="false" ht="15" hidden="false" customHeight="false" outlineLevel="0" collapsed="false">
      <c r="A35" s="12"/>
      <c r="B35" s="12"/>
      <c r="C35" s="12"/>
      <c r="D35" s="12"/>
      <c r="E35" s="13" t="str">
        <f aca="false">IF(ISNUMBER(B35),1000*SQRT(2*B35/100/9.81),"")</f>
        <v/>
      </c>
      <c r="F35" s="13" t="str">
        <f aca="false">IF(ISNUMBER(C35),1000*SQRT(2*C35/100/9.81),"")</f>
        <v/>
      </c>
      <c r="G35" s="13" t="str">
        <f aca="false">IF(ISNUMBER(D35),1000*SQRT(2*D35/100/9.81),"")</f>
        <v/>
      </c>
      <c r="H35" s="14" t="str">
        <f aca="false">IF(AND(ISNUMBER(E35),ISNUMBER(F35)),F35-E35,"")</f>
        <v/>
      </c>
      <c r="I35" s="14" t="str">
        <f aca="false">IF(AND(ISNUMBER(E35),ISNUMBER(G35)),G35-E35,"")</f>
        <v/>
      </c>
    </row>
    <row r="36" customFormat="false" ht="15" hidden="false" customHeight="false" outlineLevel="0" collapsed="false">
      <c r="A36" s="12"/>
      <c r="B36" s="12"/>
      <c r="C36" s="12"/>
      <c r="D36" s="12"/>
      <c r="E36" s="13" t="str">
        <f aca="false">IF(ISNUMBER(B36),1000*SQRT(2*B36/100/9.81),"")</f>
        <v/>
      </c>
      <c r="F36" s="13" t="str">
        <f aca="false">IF(ISNUMBER(C36),1000*SQRT(2*C36/100/9.81),"")</f>
        <v/>
      </c>
      <c r="G36" s="13" t="str">
        <f aca="false">IF(ISNUMBER(D36),1000*SQRT(2*D36/100/9.81),"")</f>
        <v/>
      </c>
      <c r="H36" s="14" t="str">
        <f aca="false">IF(AND(ISNUMBER(E36),ISNUMBER(F36)),F36-E36,"")</f>
        <v/>
      </c>
      <c r="I36" s="14" t="str">
        <f aca="false">IF(AND(ISNUMBER(E36),ISNUMBER(G36)),G36-E36,"")</f>
        <v/>
      </c>
    </row>
    <row r="39" customFormat="false" ht="15" hidden="false" customHeight="false" outlineLevel="0" collapsed="false">
      <c r="A39" s="9" t="s">
        <v>29</v>
      </c>
    </row>
    <row r="40" customFormat="false" ht="31.5" hidden="false" customHeight="true" outlineLevel="0" collapsed="false">
      <c r="A40" s="10" t="s">
        <v>30</v>
      </c>
      <c r="B40" s="10" t="s">
        <v>31</v>
      </c>
      <c r="C40" s="10" t="s">
        <v>32</v>
      </c>
    </row>
    <row r="41" customFormat="false" ht="15" hidden="false" customHeight="false" outlineLevel="0" collapsed="false">
      <c r="A41" s="11" t="n">
        <v>1</v>
      </c>
      <c r="B41" s="11" t="n">
        <v>24</v>
      </c>
    </row>
    <row r="42" customFormat="false" ht="15" hidden="false" customHeight="false" outlineLevel="0" collapsed="false">
      <c r="A42" s="12"/>
      <c r="B42" s="12"/>
      <c r="C42" s="13" t="str">
        <f aca="false">IF(ISNUMBER(B42),1000*SQRT(2*B42/100/9.81),"")</f>
        <v/>
      </c>
    </row>
    <row r="43" customFormat="false" ht="15" hidden="false" customHeight="false" outlineLevel="0" collapsed="false">
      <c r="A43" s="12"/>
      <c r="B43" s="12"/>
      <c r="C43" s="13" t="str">
        <f aca="false">IF(ISNUMBER(B43),1000*SQRT(2*B43/100/9.81),"")</f>
        <v/>
      </c>
    </row>
    <row r="44" customFormat="false" ht="15" hidden="false" customHeight="false" outlineLevel="0" collapsed="false">
      <c r="A44" s="12"/>
      <c r="B44" s="12"/>
      <c r="C44" s="13" t="str">
        <f aca="false">IF(ISNUMBER(B44),1000*SQRT(2*B44/100/9.81),"")</f>
        <v/>
      </c>
    </row>
    <row r="45" customFormat="false" ht="15" hidden="false" customHeight="false" outlineLevel="0" collapsed="false">
      <c r="A45" s="12"/>
      <c r="B45" s="12"/>
      <c r="C45" s="13" t="str">
        <f aca="false">IF(ISNUMBER(B45),1000*SQRT(2*B45/100/9.81),"")</f>
        <v/>
      </c>
    </row>
    <row r="46" customFormat="false" ht="15" hidden="false" customHeight="false" outlineLevel="0" collapsed="false">
      <c r="A46" s="12"/>
      <c r="B46" s="12"/>
      <c r="C46" s="13" t="str">
        <f aca="false">IF(ISNUMBER(B46),1000*SQRT(2*B46/100/9.81),"")</f>
        <v/>
      </c>
    </row>
    <row r="47" customFormat="false" ht="15" hidden="false" customHeight="false" outlineLevel="0" collapsed="false">
      <c r="A47" s="12"/>
      <c r="B47" s="12"/>
      <c r="C47" s="13" t="str">
        <f aca="false">IF(ISNUMBER(B47),1000*SQRT(2*B47/100/9.81),"")</f>
        <v/>
      </c>
    </row>
    <row r="48" customFormat="false" ht="15" hidden="false" customHeight="false" outlineLevel="0" collapsed="false">
      <c r="A48" s="12"/>
      <c r="B48" s="12"/>
      <c r="C48" s="13" t="str">
        <f aca="false">IF(ISNUMBER(B48),1000*SQRT(2*B48/100/9.81),"")</f>
        <v/>
      </c>
    </row>
    <row r="49" customFormat="false" ht="15" hidden="false" customHeight="false" outlineLevel="0" collapsed="false">
      <c r="A49" s="12"/>
      <c r="B49" s="12"/>
      <c r="C49" s="13" t="str">
        <f aca="false">IF(ISNUMBER(B49),1000*SQRT(2*B49/100/9.81),"")</f>
        <v/>
      </c>
    </row>
    <row r="50" customFormat="false" ht="15" hidden="false" customHeight="false" outlineLevel="0" collapsed="false">
      <c r="A50" s="12"/>
      <c r="B50" s="12"/>
      <c r="C50" s="13" t="str">
        <f aca="false">IF(ISNUMBER(B50),1000*SQRT(2*B50/100/9.81),"")</f>
        <v/>
      </c>
    </row>
    <row r="51" customFormat="false" ht="15" hidden="false" customHeight="false" outlineLevel="0" collapsed="false">
      <c r="A51" s="12"/>
      <c r="B51" s="12"/>
      <c r="C51" s="13" t="str">
        <f aca="false">IF(ISNUMBER(B51),1000*SQRT(2*B51/100/9.81),"")</f>
        <v/>
      </c>
    </row>
    <row r="52" customFormat="false" ht="15" hidden="false" customHeight="false" outlineLevel="0" collapsed="false">
      <c r="A52" s="12"/>
      <c r="B52" s="12"/>
      <c r="C52" s="13" t="str">
        <f aca="false">IF(ISNUMBER(B52),1000*SQRT(2*B52/100/9.81),"")</f>
        <v/>
      </c>
    </row>
    <row r="53" customFormat="false" ht="15" hidden="false" customHeight="false" outlineLevel="0" collapsed="false">
      <c r="A53" s="12"/>
      <c r="B53" s="12"/>
      <c r="C53" s="13" t="str">
        <f aca="false">IF(ISNUMBER(B53),1000*SQRT(2*B53/100/9.81),"")</f>
        <v/>
      </c>
    </row>
    <row r="54" customFormat="false" ht="15" hidden="false" customHeight="false" outlineLevel="0" collapsed="false">
      <c r="A54" s="12"/>
      <c r="B54" s="12"/>
      <c r="C54" s="13" t="str">
        <f aca="false">IF(ISNUMBER(B54),1000*SQRT(2*B54/100/9.81),"")</f>
        <v/>
      </c>
    </row>
    <row r="55" customFormat="false" ht="15" hidden="false" customHeight="false" outlineLevel="0" collapsed="false">
      <c r="A55" s="12"/>
      <c r="B55" s="12"/>
      <c r="C55" s="13" t="str">
        <f aca="false">IF(ISNUMBER(B55),1000*SQRT(2*B55/100/9.81),"")</f>
        <v/>
      </c>
    </row>
    <row r="56" customFormat="false" ht="15" hidden="false" customHeight="false" outlineLevel="0" collapsed="false">
      <c r="A56" s="12"/>
      <c r="B56" s="12"/>
      <c r="C56" s="13" t="str">
        <f aca="false">IF(ISNUMBER(B56),1000*SQRT(2*B56/100/9.81),"")</f>
        <v/>
      </c>
    </row>
    <row r="57" customFormat="false" ht="15" hidden="false" customHeight="false" outlineLevel="0" collapsed="false">
      <c r="A57" s="12"/>
      <c r="B57" s="12"/>
      <c r="C57" s="13" t="str">
        <f aca="false">IF(ISNUMBER(B57),1000*SQRT(2*B57/100/9.81),"")</f>
        <v/>
      </c>
    </row>
    <row r="58" customFormat="false" ht="15" hidden="false" customHeight="false" outlineLevel="0" collapsed="false">
      <c r="A58" s="12"/>
      <c r="B58" s="12"/>
      <c r="C58" s="13" t="str">
        <f aca="false">IF(ISNUMBER(B58),1000*SQRT(2*B58/100/9.81),"")</f>
        <v/>
      </c>
    </row>
    <row r="59" customFormat="false" ht="15" hidden="false" customHeight="false" outlineLevel="0" collapsed="false">
      <c r="A59" s="12"/>
      <c r="B59" s="12"/>
      <c r="C59" s="13" t="str">
        <f aca="false">IF(ISNUMBER(B59),1000*SQRT(2*B59/100/9.81),"")</f>
        <v/>
      </c>
    </row>
    <row r="60" customFormat="false" ht="15" hidden="false" customHeight="false" outlineLevel="0" collapsed="false">
      <c r="A60" s="12"/>
      <c r="B60" s="12"/>
      <c r="C60" s="13" t="str">
        <f aca="false">IF(ISNUMBER(B60),1000*SQRT(2*B60/100/9.81),"")</f>
        <v/>
      </c>
    </row>
    <row r="61" customFormat="false" ht="15" hidden="false" customHeight="false" outlineLevel="0" collapsed="false">
      <c r="A61" s="12"/>
      <c r="B61" s="12"/>
      <c r="C61" s="13" t="str">
        <f aca="false">IF(ISNUMBER(B61),1000*SQRT(2*B61/100/9.81),"")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D36 A42:B6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33</v>
      </c>
    </row>
    <row r="2" customFormat="false" ht="15" hidden="false" customHeight="false" outlineLevel="0" collapsed="false">
      <c r="B2" s="8" t="s">
        <v>34</v>
      </c>
    </row>
    <row r="4" customFormat="false" ht="15" hidden="false" customHeight="false" outlineLevel="0" collapsed="false">
      <c r="B4" s="9" t="s">
        <v>35</v>
      </c>
    </row>
    <row r="5" customFormat="false" ht="15" hidden="false" customHeight="false" outlineLevel="0" collapsed="false">
      <c r="B5" s="15" t="s">
        <v>36</v>
      </c>
      <c r="C5" s="16" t="str">
        <f aca="false">IFERROR(AVERAGE('Enter data'!$E$7:$E$36),"")</f>
        <v/>
      </c>
    </row>
    <row r="6" customFormat="false" ht="15" hidden="false" customHeight="false" outlineLevel="0" collapsed="false">
      <c r="B6" s="15" t="s">
        <v>37</v>
      </c>
      <c r="C6" s="16" t="str">
        <f aca="false">IFERROR(AVERAGE('Enter data'!$F$7:$F$36),"")</f>
        <v/>
      </c>
    </row>
    <row r="8" customFormat="false" ht="15" hidden="false" customHeight="false" outlineLevel="0" collapsed="false">
      <c r="B8" s="9" t="s">
        <v>38</v>
      </c>
    </row>
    <row r="9" customFormat="false" ht="15" hidden="false" customHeight="false" outlineLevel="0" collapsed="false">
      <c r="B9" s="15" t="s">
        <v>39</v>
      </c>
      <c r="C9" s="17" t="n">
        <f aca="false">IFERROR(COUNT('Enter data'!$H$7:$H$36),"")</f>
        <v>0</v>
      </c>
    </row>
    <row r="10" customFormat="false" ht="15" hidden="false" customHeight="false" outlineLevel="0" collapsed="false">
      <c r="B10" s="15" t="s">
        <v>40</v>
      </c>
      <c r="C10" s="16" t="str">
        <f aca="false">IFERROR(AVERAGE('Enter data'!$H$7:$H$36),"")</f>
        <v/>
      </c>
    </row>
    <row r="11" customFormat="false" ht="15" hidden="false" customHeight="false" outlineLevel="0" collapsed="false">
      <c r="B11" s="15" t="s">
        <v>41</v>
      </c>
      <c r="C11" s="16" t="str">
        <f aca="false">IFERROR(STDEV('Enter data'!$H$7:$H$36),"")</f>
        <v/>
      </c>
    </row>
    <row r="12" customFormat="false" ht="15" hidden="false" customHeight="false" outlineLevel="0" collapsed="false">
      <c r="B12" s="15" t="s">
        <v>42</v>
      </c>
      <c r="C12" s="16" t="str">
        <f aca="false">IFERROR($C$10-TINV(0.05,$C$9-1)*$C$11/SQRT($C$9),"")</f>
        <v/>
      </c>
    </row>
    <row r="13" customFormat="false" ht="15" hidden="false" customHeight="false" outlineLevel="0" collapsed="false">
      <c r="B13" s="15" t="s">
        <v>43</v>
      </c>
      <c r="C13" s="16" t="str">
        <f aca="false">IFERROR($C$10+TINV(0.05,$C$9-1)*$C$11/SQRT($C$9),"")</f>
        <v/>
      </c>
    </row>
    <row r="14" customFormat="false" ht="15" hidden="false" customHeight="false" outlineLevel="0" collapsed="false">
      <c r="B14" s="15" t="s">
        <v>44</v>
      </c>
      <c r="C14" s="18" t="str">
        <f aca="false">IFERROR(TDIST(ABS($C$10/($C$11/SQRT($C$9))),$C$9-1,2),"")</f>
        <v/>
      </c>
    </row>
    <row r="16" customFormat="false" ht="15" hidden="false" customHeight="false" outlineLevel="0" collapsed="false">
      <c r="B16" s="9" t="s">
        <v>45</v>
      </c>
    </row>
    <row r="17" customFormat="false" ht="15" hidden="false" customHeight="false" outlineLevel="0" collapsed="false">
      <c r="B17" s="15" t="s">
        <v>39</v>
      </c>
      <c r="C17" s="17" t="n">
        <f aca="false">IFERROR(COUNT('Enter data'!$I$7:$I$36),"")</f>
        <v>0</v>
      </c>
    </row>
    <row r="18" customFormat="false" ht="15" hidden="false" customHeight="false" outlineLevel="0" collapsed="false">
      <c r="B18" s="15" t="s">
        <v>40</v>
      </c>
      <c r="C18" s="16" t="str">
        <f aca="false">IFERROR(AVERAGE('Enter data'!$I$7:$I$36),"")</f>
        <v/>
      </c>
    </row>
    <row r="19" customFormat="false" ht="15" hidden="false" customHeight="false" outlineLevel="0" collapsed="false">
      <c r="B19" s="15" t="s">
        <v>41</v>
      </c>
      <c r="C19" s="16" t="str">
        <f aca="false">IFERROR(STDEV('Enter data'!$I$7:$I$36),"")</f>
        <v/>
      </c>
    </row>
    <row r="20" customFormat="false" ht="15" hidden="false" customHeight="false" outlineLevel="0" collapsed="false">
      <c r="B20" s="15" t="s">
        <v>42</v>
      </c>
      <c r="C20" s="16" t="str">
        <f aca="false">IFERROR($C$18-TINV(0.05,$C$17-1)*$C$19/SQRT($C$17),"")</f>
        <v/>
      </c>
    </row>
    <row r="21" customFormat="false" ht="15" hidden="false" customHeight="false" outlineLevel="0" collapsed="false">
      <c r="B21" s="15" t="s">
        <v>43</v>
      </c>
      <c r="C21" s="16" t="str">
        <f aca="false">IFERROR($C$18+TINV(0.05,$C$17-1)*$C$19/SQRT($C$17),"")</f>
        <v/>
      </c>
    </row>
    <row r="22" customFormat="false" ht="15" hidden="false" customHeight="false" outlineLevel="0" collapsed="false">
      <c r="B22" s="15" t="s">
        <v>44</v>
      </c>
      <c r="C22" s="18" t="str">
        <f aca="false">IFERROR(TDIST(ABS($C$18/($C$19/SQRT($C$17))),$C$17-1,2),"")</f>
        <v/>
      </c>
    </row>
    <row r="24" customFormat="false" ht="15" hidden="false" customHeight="false" outlineLevel="0" collapsed="false">
      <c r="B24" s="9" t="s">
        <v>46</v>
      </c>
    </row>
    <row r="25" customFormat="false" ht="15" hidden="false" customHeight="false" outlineLevel="0" collapsed="false">
      <c r="B25" s="15" t="s">
        <v>47</v>
      </c>
      <c r="C25" s="17" t="n">
        <f aca="false">IFERROR(SUMPRODUCT(--ISNUMBER('Enter data'!$A$42:$A$61),--ISNUMBER('Enter data'!$C$42:$C$61)),"")</f>
        <v>0</v>
      </c>
    </row>
    <row r="26" customFormat="false" ht="15" hidden="false" customHeight="false" outlineLevel="0" collapsed="false">
      <c r="B26" s="15" t="s">
        <v>48</v>
      </c>
      <c r="C26" s="19" t="str">
        <f aca="false">IFERROR(SLOPE('Enter data'!$C$42:$C$61,'Enter data'!$A$42:$A$61),"")</f>
        <v/>
      </c>
    </row>
    <row r="27" customFormat="false" ht="15" hidden="false" customHeight="false" outlineLevel="0" collapsed="false">
      <c r="B27" s="15" t="s">
        <v>49</v>
      </c>
      <c r="C27" s="19" t="str">
        <f aca="false">IFERROR(INTERCEPT('Enter data'!$C$42:$C$61,'Enter data'!$A$42:$A$61),"")</f>
        <v/>
      </c>
    </row>
    <row r="28" customFormat="false" ht="15" hidden="false" customHeight="false" outlineLevel="0" collapsed="false">
      <c r="B28" s="15" t="s">
        <v>50</v>
      </c>
      <c r="C28" s="18" t="str">
        <f aca="false">IFERROR(RSQ('Enter data'!$C$42:$C$61,'Enter data'!$A$42:$A$61),"")</f>
        <v/>
      </c>
    </row>
    <row r="29" customFormat="false" ht="15" hidden="false" customHeight="false" outlineLevel="0" collapsed="false">
      <c r="B29" s="15" t="s">
        <v>51</v>
      </c>
      <c r="C29" s="19" t="str">
        <f aca="false">IFERROR(STEYX('Enter data'!$C$42:$C$61,'Enter data'!$A$42:$A$61),"")</f>
        <v/>
      </c>
    </row>
    <row r="30" customFormat="false" ht="15" hidden="false" customHeight="false" outlineLevel="0" collapsed="false">
      <c r="B30" s="15" t="s">
        <v>52</v>
      </c>
      <c r="C30" s="19" t="str">
        <f aca="false">IFERROR($C$29/SQRT(DEVSQ('Enter data'!$A$42:$A$61)),"")</f>
        <v/>
      </c>
    </row>
    <row r="31" customFormat="false" ht="15" hidden="false" customHeight="false" outlineLevel="0" collapsed="false">
      <c r="B31" s="15" t="s">
        <v>53</v>
      </c>
      <c r="C31" s="19" t="str">
        <f aca="false">IFERROR($C$26-TINV(0.05,$C$25-2)*$C$30,"")</f>
        <v/>
      </c>
    </row>
    <row r="32" customFormat="false" ht="15" hidden="false" customHeight="false" outlineLevel="0" collapsed="false">
      <c r="B32" s="15" t="s">
        <v>54</v>
      </c>
      <c r="C32" s="19" t="str">
        <f aca="false">IFERROR($C$26+TINV(0.05,$C$25-2)*$C$30,"")</f>
        <v/>
      </c>
    </row>
    <row r="34" customFormat="false" ht="15" hidden="false" customHeight="false" outlineLevel="0" collapsed="false">
      <c r="B34" s="9" t="s">
        <v>55</v>
      </c>
    </row>
    <row r="35" customFormat="false" ht="15" hidden="false" customHeight="false" outlineLevel="0" collapsed="false">
      <c r="B35" s="15" t="s">
        <v>56</v>
      </c>
      <c r="C35" s="16" t="n">
        <f aca="false">IFERROR(1000*(SQRT(2*0.21/9.81)-SQRT(2*0.2/9.81)),"")</f>
        <v>4.9866153494568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2026-10-01T00:30:43Z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2026-10-01T00:30:43Z</dcterms:modified>
  <cp:revision>0</cp:revision>
  <dc:subject/>
  <dc:title>AP-01 Reaction time and the ruler-drop test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