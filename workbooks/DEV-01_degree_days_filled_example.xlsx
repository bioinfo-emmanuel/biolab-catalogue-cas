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Enter data" sheetId="2" state="visible" r:id="rId4"/>
    <sheet name="Resul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<sst xmlns="http://schemas.openxmlformats.org/spreadsheetml/2006/main" count="63" uniqueCount="63">
  <si>
    <t xml:space="preserve">DEV-01  Temperature and development rate: degree-days</t>
  </si>
  <si>
    <t xml:space="preserve">Excel version of the card. It does the same calculations as the R script dev01_degree_days.R.</t>
  </si>
  <si>
    <t xml:space="preserve">How to use this workbook</t>
  </si>
  <si>
    <t xml:space="preserve">1.  Go to the 'Enter data' sheet. Type only in the yellow cells with blue text. Grey cells are calculated for you.</t>
  </si>
  <si>
    <t xml:space="preserve">2.  Fill the blocks that apply. Leave rows you did not use empty. The grey italic row above each table is an example of the format and is not used.</t>
  </si>
  <si>
    <t xml:space="preserve">3.  Open the 'Results' sheet. Everything there is calculated. Yellow cells on that sheet are settings you may change.</t>
  </si>
  <si>
    <t xml:space="preserve">What the colours mean</t>
  </si>
  <si>
    <t xml:space="preserve">Yellow cell, blue text:  you type here.</t>
  </si>
  <si>
    <t xml:space="preserve">Grey cell:  a formula. Sheets are protected without a password so formulas are not overwritten by accident (Review &gt; Unprotect Sheet).</t>
  </si>
  <si>
    <t xml:space="preserve">Assumptions and sources</t>
  </si>
  <si>
    <t xml:space="preserve">Rate = 1 / days from egg to adult. Model: rate = (T - T0) / K, a straight line in temperature. T0 = -intercept / slope; K = 1 / slope (degree-days).</t>
  </si>
  <si>
    <t xml:space="preserve">Enter the measured mean temperature of each vial, not the set temperature.</t>
  </si>
  <si>
    <t xml:space="preserve">Differences from the R script on the card</t>
  </si>
  <si>
    <t xml:space="preserve">The R script gives bootstrap intervals for T0 and K. This workbook gives an interval for K from the slope and an approximate (delta method) interval for T0. T0 is an extrapolation and is uncertain.</t>
  </si>
  <si>
    <t xml:space="preserve">Practice data in the filled example were invented for the card. They are not real measurements.</t>
  </si>
  <si>
    <t xml:space="preserve">Compiled by Emmanuel G. Lozano, Department of Biology, College of Arts and Sciences, Pampanga State University. Original material is licensed CC BY-NC 4.0: credit required, non-commercial use only.</t>
  </si>
  <si>
    <t xml:space="preserve">Enter your data</t>
  </si>
  <si>
    <t xml:space="preserve">Type only in yellow cells. Leave unused rows empty.</t>
  </si>
  <si>
    <t xml:space="preserve">1. Vials (one row per vial)</t>
  </si>
  <si>
    <t xml:space="preserve">Vial</t>
  </si>
  <si>
    <t xml:space="preserve">Mean temperature (C)</t>
  </si>
  <si>
    <t xml:space="preserve">Days from egg to adult</t>
  </si>
  <si>
    <t xml:space="preserve">Rate (1 / days)</t>
  </si>
  <si>
    <t xml:space="preserve">v1</t>
  </si>
  <si>
    <t xml:space="preserve">v19.5_1</t>
  </si>
  <si>
    <t xml:space="preserve">v19.5_2</t>
  </si>
  <si>
    <t xml:space="preserve">v19.5_3</t>
  </si>
  <si>
    <t xml:space="preserve">v19.5_4</t>
  </si>
  <si>
    <t xml:space="preserve">v22.5_1</t>
  </si>
  <si>
    <t xml:space="preserve">v22.5_2</t>
  </si>
  <si>
    <t xml:space="preserve">v22.5_3</t>
  </si>
  <si>
    <t xml:space="preserve">v22.5_4</t>
  </si>
  <si>
    <t xml:space="preserve">v26_1</t>
  </si>
  <si>
    <t xml:space="preserve">v26_2</t>
  </si>
  <si>
    <t xml:space="preserve">v26_3</t>
  </si>
  <si>
    <t xml:space="preserve">v26_4</t>
  </si>
  <si>
    <t xml:space="preserve">v29_1</t>
  </si>
  <si>
    <t xml:space="preserve">v29_2</t>
  </si>
  <si>
    <t xml:space="preserve">v29_3</t>
  </si>
  <si>
    <t xml:space="preserve">v29_4</t>
  </si>
  <si>
    <t xml:space="preserve">Results</t>
  </si>
  <si>
    <t xml:space="preserve">Everything on this sheet is calculated. Change only the yellow settings.</t>
  </si>
  <si>
    <t xml:space="preserve">Settings</t>
  </si>
  <si>
    <t xml:space="preserve">Temperature for a predicted development time (C)</t>
  </si>
  <si>
    <t xml:space="preserve">Straight-line fit of rate on temperature</t>
  </si>
  <si>
    <t xml:space="preserve">Points used</t>
  </si>
  <si>
    <t xml:space="preserve">Slope (per C per day)</t>
  </si>
  <si>
    <t xml:space="preserve">Intercept (per C per day)</t>
  </si>
  <si>
    <t xml:space="preserve">R squared</t>
  </si>
  <si>
    <t xml:space="preserve">Residual standard deviation</t>
  </si>
  <si>
    <t xml:space="preserve">Standard error of the slope</t>
  </si>
  <si>
    <t xml:space="preserve">95% interval for the slope, lower</t>
  </si>
  <si>
    <t xml:space="preserve">95% interval for the slope, upper</t>
  </si>
  <si>
    <t xml:space="preserve">Degree-day parameters</t>
  </si>
  <si>
    <t xml:space="preserve">Lower threshold T0 (C)</t>
  </si>
  <si>
    <t xml:space="preserve">Thermal constant K (degree-days)</t>
  </si>
  <si>
    <t xml:space="preserve">K, 95% interval lower (from the slope)</t>
  </si>
  <si>
    <t xml:space="preserve">K, 95% interval upper (from the slope)</t>
  </si>
  <si>
    <t xml:space="preserve">Variance of T0 (delta method)</t>
  </si>
  <si>
    <t xml:space="preserve">T0, approximate 95% interval lower</t>
  </si>
  <si>
    <t xml:space="preserve">T0, approximate 95% interval upper</t>
  </si>
  <si>
    <t xml:space="preserve">Prediction</t>
  </si>
  <si>
    <t xml:space="preserve">Predicted days from egg to adult at the chosen temperature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</si>
</sst>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00"/>
    <numFmt numFmtId="166" formatCode="0"/>
    <numFmt numFmtId="167" formatCode="0.00000"/>
    <numFmt numFmtId="168" formatCode="0.0"/>
    <numFmt numFmtId="169" formatCode="0.0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1F4E78"/>
        <bgColor rgb="FF003366"/>
      </patternFill>
    </fill>
    <fill>
      <patternFill patternType="solid">
        <fgColor rgb="FFE2EFDA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DEDED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878787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Development rate against temperature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1f4e78"/>
            </a:solidFill>
            <a:ln w="47520">
              <a:noFill/>
            </a:ln>
          </c:spPr>
          <c:marker>
            <c:symbol val="circle"/>
            <c:size val="8"/>
            <c:spPr>
              <a:solidFill>
                <a:srgbClr val="1f4e7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9080">
                <a:solidFill>
                  <a:srgbClr val="c00000"/>
                </a:solidFill>
                <a:round/>
              </a:ln>
            </c:spPr>
            <c:trendlineType val="linear"/>
            <c:forward val="0"/>
            <c:backward val="0"/>
            <c:dispRSqr val="1"/>
            <c:dispEq val="1"/>
          </c:trendline>
          <c:xVal>
            <c:numRef>
              <c:f>'Enter data'!$B$7:$B$36</c:f>
              <c:numCache>
                <c:formatCode>General</c:formatCode>
                <c:ptCount val="30"/>
                <c:pt idx="0">
                  <c:v>19.6</c:v>
                </c:pt>
                <c:pt idx="1">
                  <c:v>19.6</c:v>
                </c:pt>
                <c:pt idx="2">
                  <c:v>19.8</c:v>
                </c:pt>
                <c:pt idx="3">
                  <c:v>19.3</c:v>
                </c:pt>
                <c:pt idx="4">
                  <c:v>22.6</c:v>
                </c:pt>
                <c:pt idx="5">
                  <c:v>22.5</c:v>
                </c:pt>
                <c:pt idx="6">
                  <c:v>22.3</c:v>
                </c:pt>
                <c:pt idx="7">
                  <c:v>22.4</c:v>
                </c:pt>
                <c:pt idx="8">
                  <c:v>26</c:v>
                </c:pt>
                <c:pt idx="9">
                  <c:v>25.8</c:v>
                </c:pt>
                <c:pt idx="10">
                  <c:v>26</c:v>
                </c:pt>
                <c:pt idx="11">
                  <c:v>26.4</c:v>
                </c:pt>
                <c:pt idx="12">
                  <c:v>28.2</c:v>
                </c:pt>
                <c:pt idx="13">
                  <c:v>28.9</c:v>
                </c:pt>
                <c:pt idx="14">
                  <c:v>29.1</c:v>
                </c:pt>
                <c:pt idx="15">
                  <c:v>29.6</c:v>
                </c:pt>
              </c:numCache>
            </c:numRef>
          </c:xVal>
          <c:yVal>
            <c:numRef>
              <c:f>'Enter data'!$D$7:$D$36</c:f>
              <c:numCache>
                <c:formatCode>0.0000</c:formatCode>
                <c:ptCount val="30"/>
                <c:pt idx="0">
                  <c:v>0.0602409638554217</c:v>
                </c:pt>
                <c:pt idx="1">
                  <c:v>0.0657894736842105</c:v>
                </c:pt>
                <c:pt idx="2">
                  <c:v>0.0625</c:v>
                </c:pt>
                <c:pt idx="3">
                  <c:v>0.0591715976331361</c:v>
                </c:pt>
                <c:pt idx="4">
                  <c:v>0.0793650793650794</c:v>
                </c:pt>
                <c:pt idx="5">
                  <c:v>0.0775193798449612</c:v>
                </c:pt>
                <c:pt idx="6">
                  <c:v>0.078740157480315</c:v>
                </c:pt>
                <c:pt idx="7">
                  <c:v>0.0769230769230769</c:v>
                </c:pt>
                <c:pt idx="8">
                  <c:v>0.101010101010101</c:v>
                </c:pt>
                <c:pt idx="9">
                  <c:v>0.1</c:v>
                </c:pt>
                <c:pt idx="10">
                  <c:v>0.101010101010101</c:v>
                </c:pt>
                <c:pt idx="11">
                  <c:v>0.0980392156862745</c:v>
                </c:pt>
                <c:pt idx="12">
                  <c:v>0.121951219512195</c:v>
                </c:pt>
                <c:pt idx="13">
                  <c:v>0.119047619047619</c:v>
                </c:pt>
                <c:pt idx="14">
                  <c:v>0.117647058823529</c:v>
                </c:pt>
                <c:pt idx="15">
                  <c:v>0.126582278481013</c:v>
                </c:pt>
              </c:numCache>
            </c:numRef>
          </c:yVal>
          <c:smooth val="1"/>
        </c:ser>
        <c:axId val="7789338"/>
        <c:axId val="96566809"/>
      </c:scatterChart>
      <c:valAx>
        <c:axId val="778933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Temperature (C)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566809"/>
        <c:crosses val="autoZero"/>
        <c:crossBetween val="midCat"/>
      </c:valAx>
      <c:valAx>
        <c:axId val="9656680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Rate (1 / days)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89338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27</xdr:row>
      <xdr:rowOff>160920</xdr:rowOff>
    </xdr:from>
    <xdr:to>
      <xdr:col>3</xdr:col>
      <xdr:colOff>536040</xdr:colOff>
      <xdr:row>43</xdr:row>
      <xdr:rowOff>172440</xdr:rowOff>
    </xdr:to>
    <xdr:graphicFrame>
      <xdr:nvGraphicFramePr>
        <xdr:cNvPr id="0" name="Chart 1"/>
        <xdr:cNvGraphicFramePr/>
      </xdr:nvGraphicFramePr>
      <xdr:xfrm>
        <a:off x="211320" y="533412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B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8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2"/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2" t="s">
        <v>3</v>
      </c>
    </row>
    <row r="6" customFormat="false" ht="23.85" hidden="false" customHeight="false" outlineLevel="0" collapsed="false">
      <c r="B6" s="2" t="s">
        <v>4</v>
      </c>
    </row>
    <row r="7" customFormat="false" ht="15" hidden="false" customHeight="false" outlineLevel="0" collapsed="false">
      <c r="B7" s="2" t="s">
        <v>5</v>
      </c>
    </row>
    <row r="8" customFormat="false" ht="15" hidden="false" customHeight="false" outlineLevel="0" collapsed="false">
      <c r="B8" s="2"/>
    </row>
    <row r="9" customFormat="false" ht="15" hidden="false" customHeight="false" outlineLevel="0" collapsed="false">
      <c r="B9" s="3" t="s">
        <v>6</v>
      </c>
    </row>
    <row r="10" customFormat="false" ht="15" hidden="false" customHeight="false" outlineLevel="0" collapsed="false">
      <c r="B10" s="4" t="s">
        <v>7</v>
      </c>
    </row>
    <row r="11" customFormat="false" ht="23.85" hidden="false" customHeight="false" outlineLevel="0" collapsed="false">
      <c r="B11" s="5" t="s">
        <v>8</v>
      </c>
    </row>
    <row r="12" customFormat="false" ht="15" hidden="false" customHeight="false" outlineLevel="0" collapsed="false">
      <c r="B12" s="2"/>
    </row>
    <row r="13" customFormat="false" ht="15" hidden="false" customHeight="false" outlineLevel="0" collapsed="false">
      <c r="B13" s="3" t="s">
        <v>9</v>
      </c>
    </row>
    <row r="14" customFormat="false" ht="23.85" hidden="false" customHeight="false" outlineLevel="0" collapsed="false">
      <c r="B14" s="2" t="s">
        <v>10</v>
      </c>
    </row>
    <row r="15" customFormat="false" ht="15" hidden="false" customHeight="false" outlineLevel="0" collapsed="false">
      <c r="B15" s="2" t="s">
        <v>11</v>
      </c>
    </row>
    <row r="16" customFormat="false" ht="15" hidden="false" customHeight="false" outlineLevel="0" collapsed="false">
      <c r="B16" s="2"/>
    </row>
    <row r="17" customFormat="false" ht="15" hidden="false" customHeight="false" outlineLevel="0" collapsed="false">
      <c r="B17" s="3" t="s">
        <v>12</v>
      </c>
    </row>
    <row r="18" customFormat="false" ht="23.85" hidden="false" customHeight="false" outlineLevel="0" collapsed="false">
      <c r="B18" s="2" t="s">
        <v>13</v>
      </c>
    </row>
    <row r="19" customFormat="false" ht="15" hidden="false" customHeight="false" outlineLevel="0" collapsed="false">
      <c r="B19" s="2"/>
    </row>
    <row r="20" customFormat="false" ht="15" hidden="false" customHeight="false" outlineLevel="0" collapsed="false">
      <c r="B20" s="6" t="s">
        <v>14</v>
      </c>
    </row>
    <row r="21" customFormat="false" ht="15" hidden="false" customHeight="false" outlineLevel="0" collapsed="false">
      <c r="B21" s="2"/>
    </row>
    <row r="22" customFormat="false" ht="22.35" hidden="false" customHeight="false" outlineLevel="0" collapsed="false">
      <c r="B22" s="6" t="s">
        <v>15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2" min="2" style="0" width="21"/>
  </cols>
  <sheetData>
    <row r="1" customFormat="false" ht="17.35" hidden="false" customHeight="false" outlineLevel="0" collapsed="false">
      <c r="A1" s="7" t="s">
        <v>16</v>
      </c>
    </row>
    <row r="2" customFormat="false" ht="15" hidden="false" customHeight="false" outlineLevel="0" collapsed="false">
      <c r="A2" s="8" t="s">
        <v>17</v>
      </c>
    </row>
    <row r="4" customFormat="false" ht="15" hidden="false" customHeight="false" outlineLevel="0" collapsed="false">
      <c r="A4" s="9" t="s">
        <v>18</v>
      </c>
    </row>
    <row r="5" customFormat="false" ht="31.5" hidden="false" customHeight="true" outlineLevel="0" collapsed="false">
      <c r="A5" s="10" t="s">
        <v>19</v>
      </c>
      <c r="B5" s="10" t="s">
        <v>20</v>
      </c>
      <c r="C5" s="10" t="s">
        <v>21</v>
      </c>
      <c r="D5" s="10" t="s">
        <v>22</v>
      </c>
    </row>
    <row r="6" customFormat="false" ht="15" hidden="false" customHeight="false" outlineLevel="0" collapsed="false">
      <c r="A6" s="11" t="s">
        <v>23</v>
      </c>
      <c r="B6" s="11" t="n">
        <v>22.5</v>
      </c>
      <c r="C6" s="11" t="n">
        <v>12.4</v>
      </c>
    </row>
    <row r="7" customFormat="false" ht="15" hidden="false" customHeight="false" outlineLevel="0" collapsed="false">
      <c r="A7" s="12" t="s">
        <v>24</v>
      </c>
      <c r="B7" s="12" t="n">
        <v>19.6</v>
      </c>
      <c r="C7" s="12" t="n">
        <v>16.6</v>
      </c>
      <c r="D7" s="13" t="n">
        <f aca="false">IF(AND(ISNUMBER(B7),ISNUMBER(C7)),1/C7,"")</f>
        <v>0.0602409638554217</v>
      </c>
    </row>
    <row r="8" customFormat="false" ht="15" hidden="false" customHeight="false" outlineLevel="0" collapsed="false">
      <c r="A8" s="12" t="s">
        <v>25</v>
      </c>
      <c r="B8" s="12" t="n">
        <v>19.6</v>
      </c>
      <c r="C8" s="12" t="n">
        <v>15.2</v>
      </c>
      <c r="D8" s="13" t="n">
        <f aca="false">IF(AND(ISNUMBER(B8),ISNUMBER(C8)),1/C8,"")</f>
        <v>0.0657894736842105</v>
      </c>
    </row>
    <row r="9" customFormat="false" ht="15" hidden="false" customHeight="false" outlineLevel="0" collapsed="false">
      <c r="A9" s="12" t="s">
        <v>26</v>
      </c>
      <c r="B9" s="12" t="n">
        <v>19.8</v>
      </c>
      <c r="C9" s="12" t="n">
        <v>16</v>
      </c>
      <c r="D9" s="13" t="n">
        <f aca="false">IF(AND(ISNUMBER(B9),ISNUMBER(C9)),1/C9,"")</f>
        <v>0.0625</v>
      </c>
    </row>
    <row r="10" customFormat="false" ht="15" hidden="false" customHeight="false" outlineLevel="0" collapsed="false">
      <c r="A10" s="12" t="s">
        <v>27</v>
      </c>
      <c r="B10" s="12" t="n">
        <v>19.3</v>
      </c>
      <c r="C10" s="12" t="n">
        <v>16.9</v>
      </c>
      <c r="D10" s="13" t="n">
        <f aca="false">IF(AND(ISNUMBER(B10),ISNUMBER(C10)),1/C10,"")</f>
        <v>0.0591715976331361</v>
      </c>
    </row>
    <row r="11" customFormat="false" ht="15" hidden="false" customHeight="false" outlineLevel="0" collapsed="false">
      <c r="A11" s="12" t="s">
        <v>28</v>
      </c>
      <c r="B11" s="12" t="n">
        <v>22.6</v>
      </c>
      <c r="C11" s="12" t="n">
        <v>12.6</v>
      </c>
      <c r="D11" s="13" t="n">
        <f aca="false">IF(AND(ISNUMBER(B11),ISNUMBER(C11)),1/C11,"")</f>
        <v>0.0793650793650794</v>
      </c>
    </row>
    <row r="12" customFormat="false" ht="15" hidden="false" customHeight="false" outlineLevel="0" collapsed="false">
      <c r="A12" s="12" t="s">
        <v>29</v>
      </c>
      <c r="B12" s="12" t="n">
        <v>22.5</v>
      </c>
      <c r="C12" s="12" t="n">
        <v>12.9</v>
      </c>
      <c r="D12" s="13" t="n">
        <f aca="false">IF(AND(ISNUMBER(B12),ISNUMBER(C12)),1/C12,"")</f>
        <v>0.0775193798449612</v>
      </c>
    </row>
    <row r="13" customFormat="false" ht="15" hidden="false" customHeight="false" outlineLevel="0" collapsed="false">
      <c r="A13" s="12" t="s">
        <v>30</v>
      </c>
      <c r="B13" s="12" t="n">
        <v>22.3</v>
      </c>
      <c r="C13" s="12" t="n">
        <v>12.7</v>
      </c>
      <c r="D13" s="13" t="n">
        <f aca="false">IF(AND(ISNUMBER(B13),ISNUMBER(C13)),1/C13,"")</f>
        <v>0.078740157480315</v>
      </c>
    </row>
    <row r="14" customFormat="false" ht="15" hidden="false" customHeight="false" outlineLevel="0" collapsed="false">
      <c r="A14" s="12" t="s">
        <v>31</v>
      </c>
      <c r="B14" s="12" t="n">
        <v>22.4</v>
      </c>
      <c r="C14" s="12" t="n">
        <v>13</v>
      </c>
      <c r="D14" s="13" t="n">
        <f aca="false">IF(AND(ISNUMBER(B14),ISNUMBER(C14)),1/C14,"")</f>
        <v>0.0769230769230769</v>
      </c>
    </row>
    <row r="15" customFormat="false" ht="15" hidden="false" customHeight="false" outlineLevel="0" collapsed="false">
      <c r="A15" s="12" t="s">
        <v>32</v>
      </c>
      <c r="B15" s="12" t="n">
        <v>26</v>
      </c>
      <c r="C15" s="12" t="n">
        <v>9.9</v>
      </c>
      <c r="D15" s="13" t="n">
        <f aca="false">IF(AND(ISNUMBER(B15),ISNUMBER(C15)),1/C15,"")</f>
        <v>0.101010101010101</v>
      </c>
    </row>
    <row r="16" customFormat="false" ht="15" hidden="false" customHeight="false" outlineLevel="0" collapsed="false">
      <c r="A16" s="12" t="s">
        <v>33</v>
      </c>
      <c r="B16" s="12" t="n">
        <v>25.8</v>
      </c>
      <c r="C16" s="12" t="n">
        <v>10</v>
      </c>
      <c r="D16" s="13" t="n">
        <f aca="false">IF(AND(ISNUMBER(B16),ISNUMBER(C16)),1/C16,"")</f>
        <v>0.1</v>
      </c>
    </row>
    <row r="17" customFormat="false" ht="15" hidden="false" customHeight="false" outlineLevel="0" collapsed="false">
      <c r="A17" s="12" t="s">
        <v>34</v>
      </c>
      <c r="B17" s="12" t="n">
        <v>26</v>
      </c>
      <c r="C17" s="12" t="n">
        <v>9.9</v>
      </c>
      <c r="D17" s="13" t="n">
        <f aca="false">IF(AND(ISNUMBER(B17),ISNUMBER(C17)),1/C17,"")</f>
        <v>0.101010101010101</v>
      </c>
    </row>
    <row r="18" customFormat="false" ht="15" hidden="false" customHeight="false" outlineLevel="0" collapsed="false">
      <c r="A18" s="12" t="s">
        <v>35</v>
      </c>
      <c r="B18" s="12" t="n">
        <v>26.4</v>
      </c>
      <c r="C18" s="12" t="n">
        <v>10.2</v>
      </c>
      <c r="D18" s="13" t="n">
        <f aca="false">IF(AND(ISNUMBER(B18),ISNUMBER(C18)),1/C18,"")</f>
        <v>0.0980392156862745</v>
      </c>
    </row>
    <row r="19" customFormat="false" ht="15" hidden="false" customHeight="false" outlineLevel="0" collapsed="false">
      <c r="A19" s="12" t="s">
        <v>36</v>
      </c>
      <c r="B19" s="12" t="n">
        <v>28.2</v>
      </c>
      <c r="C19" s="12" t="n">
        <v>8.2</v>
      </c>
      <c r="D19" s="13" t="n">
        <f aca="false">IF(AND(ISNUMBER(B19),ISNUMBER(C19)),1/C19,"")</f>
        <v>0.121951219512195</v>
      </c>
    </row>
    <row r="20" customFormat="false" ht="15" hidden="false" customHeight="false" outlineLevel="0" collapsed="false">
      <c r="A20" s="12" t="s">
        <v>37</v>
      </c>
      <c r="B20" s="12" t="n">
        <v>28.9</v>
      </c>
      <c r="C20" s="12" t="n">
        <v>8.4</v>
      </c>
      <c r="D20" s="13" t="n">
        <f aca="false">IF(AND(ISNUMBER(B20),ISNUMBER(C20)),1/C20,"")</f>
        <v>0.119047619047619</v>
      </c>
    </row>
    <row r="21" customFormat="false" ht="15" hidden="false" customHeight="false" outlineLevel="0" collapsed="false">
      <c r="A21" s="12" t="s">
        <v>38</v>
      </c>
      <c r="B21" s="12" t="n">
        <v>29.1</v>
      </c>
      <c r="C21" s="12" t="n">
        <v>8.5</v>
      </c>
      <c r="D21" s="13" t="n">
        <f aca="false">IF(AND(ISNUMBER(B21),ISNUMBER(C21)),1/C21,"")</f>
        <v>0.117647058823529</v>
      </c>
    </row>
    <row r="22" customFormat="false" ht="15" hidden="false" customHeight="false" outlineLevel="0" collapsed="false">
      <c r="A22" s="12" t="s">
        <v>39</v>
      </c>
      <c r="B22" s="12" t="n">
        <v>29.6</v>
      </c>
      <c r="C22" s="12" t="n">
        <v>7.9</v>
      </c>
      <c r="D22" s="13" t="n">
        <f aca="false">IF(AND(ISNUMBER(B22),ISNUMBER(C22)),1/C22,"")</f>
        <v>0.126582278481013</v>
      </c>
    </row>
    <row r="23" customFormat="false" ht="15" hidden="false" customHeight="false" outlineLevel="0" collapsed="false">
      <c r="A23" s="12"/>
      <c r="B23" s="12"/>
      <c r="C23" s="12"/>
      <c r="D23" s="13" t="str">
        <f aca="false">IF(AND(ISNUMBER(B23),ISNUMBER(C23)),1/C23,"")</f>
        <v/>
      </c>
    </row>
    <row r="24" customFormat="false" ht="15" hidden="false" customHeight="false" outlineLevel="0" collapsed="false">
      <c r="A24" s="12"/>
      <c r="B24" s="12"/>
      <c r="C24" s="12"/>
      <c r="D24" s="13" t="str">
        <f aca="false">IF(AND(ISNUMBER(B24),ISNUMBER(C24)),1/C24,"")</f>
        <v/>
      </c>
    </row>
    <row r="25" customFormat="false" ht="15" hidden="false" customHeight="false" outlineLevel="0" collapsed="false">
      <c r="A25" s="12"/>
      <c r="B25" s="12"/>
      <c r="C25" s="12"/>
      <c r="D25" s="13" t="str">
        <f aca="false">IF(AND(ISNUMBER(B25),ISNUMBER(C25)),1/C25,"")</f>
        <v/>
      </c>
    </row>
    <row r="26" customFormat="false" ht="15" hidden="false" customHeight="false" outlineLevel="0" collapsed="false">
      <c r="A26" s="12"/>
      <c r="B26" s="12"/>
      <c r="C26" s="12"/>
      <c r="D26" s="13" t="str">
        <f aca="false">IF(AND(ISNUMBER(B26),ISNUMBER(C26)),1/C26,"")</f>
        <v/>
      </c>
    </row>
    <row r="27" customFormat="false" ht="15" hidden="false" customHeight="false" outlineLevel="0" collapsed="false">
      <c r="A27" s="12"/>
      <c r="B27" s="12"/>
      <c r="C27" s="12"/>
      <c r="D27" s="13" t="str">
        <f aca="false">IF(AND(ISNUMBER(B27),ISNUMBER(C27)),1/C27,"")</f>
        <v/>
      </c>
    </row>
    <row r="28" customFormat="false" ht="15" hidden="false" customHeight="false" outlineLevel="0" collapsed="false">
      <c r="A28" s="12"/>
      <c r="B28" s="12"/>
      <c r="C28" s="12"/>
      <c r="D28" s="13" t="str">
        <f aca="false">IF(AND(ISNUMBER(B28),ISNUMBER(C28)),1/C28,"")</f>
        <v/>
      </c>
    </row>
    <row r="29" customFormat="false" ht="15" hidden="false" customHeight="false" outlineLevel="0" collapsed="false">
      <c r="A29" s="12"/>
      <c r="B29" s="12"/>
      <c r="C29" s="12"/>
      <c r="D29" s="13" t="str">
        <f aca="false">IF(AND(ISNUMBER(B29),ISNUMBER(C29)),1/C29,"")</f>
        <v/>
      </c>
    </row>
    <row r="30" customFormat="false" ht="15" hidden="false" customHeight="false" outlineLevel="0" collapsed="false">
      <c r="A30" s="12"/>
      <c r="B30" s="12"/>
      <c r="C30" s="12"/>
      <c r="D30" s="13" t="str">
        <f aca="false">IF(AND(ISNUMBER(B30),ISNUMBER(C30)),1/C30,"")</f>
        <v/>
      </c>
    </row>
    <row r="31" customFormat="false" ht="15" hidden="false" customHeight="false" outlineLevel="0" collapsed="false">
      <c r="A31" s="12"/>
      <c r="B31" s="12"/>
      <c r="C31" s="12"/>
      <c r="D31" s="13" t="str">
        <f aca="false">IF(AND(ISNUMBER(B31),ISNUMBER(C31)),1/C31,"")</f>
        <v/>
      </c>
    </row>
    <row r="32" customFormat="false" ht="15" hidden="false" customHeight="false" outlineLevel="0" collapsed="false">
      <c r="A32" s="12"/>
      <c r="B32" s="12"/>
      <c r="C32" s="12"/>
      <c r="D32" s="13" t="str">
        <f aca="false">IF(AND(ISNUMBER(B32),ISNUMBER(C32)),1/C32,"")</f>
        <v/>
      </c>
    </row>
    <row r="33" customFormat="false" ht="15" hidden="false" customHeight="false" outlineLevel="0" collapsed="false">
      <c r="A33" s="12"/>
      <c r="B33" s="12"/>
      <c r="C33" s="12"/>
      <c r="D33" s="13" t="str">
        <f aca="false">IF(AND(ISNUMBER(B33),ISNUMBER(C33)),1/C33,"")</f>
        <v/>
      </c>
    </row>
    <row r="34" customFormat="false" ht="15" hidden="false" customHeight="false" outlineLevel="0" collapsed="false">
      <c r="A34" s="12"/>
      <c r="B34" s="12"/>
      <c r="C34" s="12"/>
      <c r="D34" s="13" t="str">
        <f aca="false">IF(AND(ISNUMBER(B34),ISNUMBER(C34)),1/C34,"")</f>
        <v/>
      </c>
    </row>
    <row r="35" customFormat="false" ht="15" hidden="false" customHeight="false" outlineLevel="0" collapsed="false">
      <c r="A35" s="12"/>
      <c r="B35" s="12"/>
      <c r="C35" s="12"/>
      <c r="D35" s="13" t="str">
        <f aca="false">IF(AND(ISNUMBER(B35),ISNUMBER(C35)),1/C35,"")</f>
        <v/>
      </c>
    </row>
    <row r="36" customFormat="false" ht="15" hidden="false" customHeight="false" outlineLevel="0" collapsed="false">
      <c r="A36" s="12"/>
      <c r="B36" s="12"/>
      <c r="C36" s="12"/>
      <c r="D36" s="13" t="str">
        <f aca="false">IF(AND(ISNUMBER(B36),ISNUMBER(C36)),1/C36,"")</f>
        <v/>
      </c>
    </row>
  </sheetData>
  <sheetProtection sheet="true" formatColumns="false"/>
  <dataValidations count="1">
    <dataValidation allowBlank="true" error="Enter a number." errorStyle="stop" errorTitle="Number needed" operator="between" showDropDown="false" showErrorMessage="true" showInputMessage="false" sqref="B7:C36" type="decimal">
      <formula1>-1000000000</formula1>
      <formula2>1000000000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D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4"/>
    <col collapsed="false" customWidth="true" hidden="false" outlineLevel="0" max="14" min="3" style="0" width="15"/>
  </cols>
  <sheetData>
    <row r="1" customFormat="false" ht="17.35" hidden="false" customHeight="false" outlineLevel="0" collapsed="false">
      <c r="B1" s="7" t="s">
        <v>40</v>
      </c>
    </row>
    <row r="2" customFormat="false" ht="15" hidden="false" customHeight="false" outlineLevel="0" collapsed="false">
      <c r="B2" s="8" t="s">
        <v>41</v>
      </c>
    </row>
    <row r="4" customFormat="false" ht="15" hidden="false" customHeight="false" outlineLevel="0" collapsed="false">
      <c r="B4" s="9" t="s">
        <v>42</v>
      </c>
    </row>
    <row r="5" customFormat="false" ht="15" hidden="false" customHeight="false" outlineLevel="0" collapsed="false">
      <c r="B5" s="14" t="s">
        <v>43</v>
      </c>
      <c r="C5" s="12" t="n">
        <v>25</v>
      </c>
      <c r="D5" s="8"/>
    </row>
    <row r="7" customFormat="false" ht="15" hidden="false" customHeight="false" outlineLevel="0" collapsed="false">
      <c r="B7" s="9" t="s">
        <v>44</v>
      </c>
    </row>
    <row r="8" customFormat="false" ht="15" hidden="false" customHeight="false" outlineLevel="0" collapsed="false">
      <c r="B8" s="14" t="s">
        <v>45</v>
      </c>
      <c r="C8" s="15" t="n">
        <f aca="false">IFERROR(SUMPRODUCT(--ISNUMBER('Enter data'!$B$7:$B$36),--ISNUMBER('Enter data'!$D$7:$D$36)),"")</f>
        <v>16</v>
      </c>
    </row>
    <row r="9" customFormat="false" ht="15" hidden="false" customHeight="false" outlineLevel="0" collapsed="false">
      <c r="B9" s="14" t="s">
        <v>46</v>
      </c>
      <c r="C9" s="16" t="n">
        <f aca="false">IFERROR(SLOPE('Enter data'!$D$7:$D$36,'Enter data'!$B$7:$B$36),"")</f>
        <v>0.0062726162708033</v>
      </c>
    </row>
    <row r="10" customFormat="false" ht="15" hidden="false" customHeight="false" outlineLevel="0" collapsed="false">
      <c r="B10" s="14" t="s">
        <v>47</v>
      </c>
      <c r="C10" s="16" t="n">
        <f aca="false">IFERROR(INTERCEPT('Enter data'!$D$7:$D$36,'Enter data'!$B$7:$B$36),"")</f>
        <v>-0.0618040657713578</v>
      </c>
    </row>
    <row r="11" customFormat="false" ht="15" hidden="false" customHeight="false" outlineLevel="0" collapsed="false">
      <c r="B11" s="14" t="s">
        <v>48</v>
      </c>
      <c r="C11" s="17" t="n">
        <f aca="false">IFERROR(RSQ('Enter data'!$D$7:$D$36,'Enter data'!$B$7:$B$36),"")</f>
        <v>0.98433388743892</v>
      </c>
    </row>
    <row r="12" customFormat="false" ht="15" hidden="false" customHeight="false" outlineLevel="0" collapsed="false">
      <c r="B12" s="14" t="s">
        <v>49</v>
      </c>
      <c r="C12" s="16" t="n">
        <f aca="false">IFERROR(STEYX('Enter data'!$D$7:$D$36,'Enter data'!$B$7:$B$36),"")</f>
        <v>0.00301388734147842</v>
      </c>
    </row>
    <row r="13" customFormat="false" ht="15" hidden="false" customHeight="false" outlineLevel="0" collapsed="false">
      <c r="B13" s="14" t="s">
        <v>50</v>
      </c>
      <c r="C13" s="16" t="n">
        <f aca="false">IFERROR($C$12/SQRT(DEVSQ('Enter data'!$B$7:$B$36)),"")</f>
        <v>0.000211492078491731</v>
      </c>
    </row>
    <row r="14" customFormat="false" ht="15" hidden="false" customHeight="false" outlineLevel="0" collapsed="false">
      <c r="B14" s="14" t="s">
        <v>51</v>
      </c>
      <c r="C14" s="16" t="n">
        <f aca="false">IFERROR($C$9-TINV(0.05,$C$8-2)*$C$13,"")</f>
        <v>0.00581901087625416</v>
      </c>
    </row>
    <row r="15" customFormat="false" ht="15" hidden="false" customHeight="false" outlineLevel="0" collapsed="false">
      <c r="B15" s="14" t="s">
        <v>52</v>
      </c>
      <c r="C15" s="16" t="n">
        <f aca="false">IFERROR($C$9+TINV(0.05,$C$8-2)*$C$13,"")</f>
        <v>0.00672622166535243</v>
      </c>
    </row>
    <row r="17" customFormat="false" ht="15" hidden="false" customHeight="false" outlineLevel="0" collapsed="false">
      <c r="B17" s="9" t="s">
        <v>53</v>
      </c>
    </row>
    <row r="18" customFormat="false" ht="15" hidden="false" customHeight="false" outlineLevel="0" collapsed="false">
      <c r="B18" s="14" t="s">
        <v>54</v>
      </c>
      <c r="C18" s="18" t="n">
        <f aca="false">IFERROR(-$C$10/$C$9,"")</f>
        <v>9.85299643771178</v>
      </c>
    </row>
    <row r="19" customFormat="false" ht="15" hidden="false" customHeight="false" outlineLevel="0" collapsed="false">
      <c r="B19" s="14" t="s">
        <v>55</v>
      </c>
      <c r="C19" s="15" t="n">
        <f aca="false">IFERROR(1/$C$9,"")</f>
        <v>159.423110999892</v>
      </c>
    </row>
    <row r="20" customFormat="false" ht="15" hidden="false" customHeight="false" outlineLevel="0" collapsed="false">
      <c r="B20" s="14" t="s">
        <v>56</v>
      </c>
      <c r="C20" s="15" t="n">
        <f aca="false">IFERROR(1/$C$15,"")</f>
        <v>148.671876984239</v>
      </c>
    </row>
    <row r="21" customFormat="false" ht="15" hidden="false" customHeight="false" outlineLevel="0" collapsed="false">
      <c r="B21" s="14" t="s">
        <v>57</v>
      </c>
      <c r="C21" s="15" t="n">
        <f aca="false">IFERROR(1/$C$14,"")</f>
        <v>171.850512271894</v>
      </c>
    </row>
    <row r="22" customFormat="false" ht="15" hidden="false" customHeight="false" outlineLevel="0" collapsed="false">
      <c r="B22" s="14" t="s">
        <v>58</v>
      </c>
      <c r="C22" s="19" t="n">
        <f aca="false">IFERROR(($C$12^2/$C$9^2)*(1/$C$8+(AVERAGE('Enter data'!$B$7:$B$36)-$C$18)^2/DEVSQ('Enter data'!$B$7:$B$36)),"")</f>
        <v>0.25026603469903</v>
      </c>
    </row>
    <row r="23" customFormat="false" ht="15" hidden="false" customHeight="false" outlineLevel="0" collapsed="false">
      <c r="B23" s="14" t="s">
        <v>59</v>
      </c>
      <c r="C23" s="18" t="n">
        <f aca="false">IFERROR($C$18-TINV(0.05,$C$8-2)*SQRT($C$22),"")</f>
        <v>8.78003265778729</v>
      </c>
    </row>
    <row r="24" customFormat="false" ht="15" hidden="false" customHeight="false" outlineLevel="0" collapsed="false">
      <c r="B24" s="14" t="s">
        <v>60</v>
      </c>
      <c r="C24" s="18" t="n">
        <f aca="false">IFERROR($C$18+TINV(0.05,$C$8-2)*SQRT($C$22),"")</f>
        <v>10.9259602176363</v>
      </c>
    </row>
    <row r="26" customFormat="false" ht="15" hidden="false" customHeight="false" outlineLevel="0" collapsed="false">
      <c r="B26" s="9" t="s">
        <v>61</v>
      </c>
    </row>
    <row r="27" customFormat="false" ht="15" hidden="false" customHeight="false" outlineLevel="0" collapsed="false">
      <c r="B27" s="14" t="s">
        <v>62</v>
      </c>
      <c r="C27" s="18" t="n">
        <f aca="false">IFERROR($C$19/(Results!$C$5-$C$18),"")</f>
        <v>10.5250593191125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2026-10-01T00:30:14Z</dcterms:created>
  <dc:creator>Emmanuel G. Lozano</dc:creator>
  <dc:description>Compiled by Emmanuel G. Lozano, Department of Biology, College of Arts and Sciences, Pampanga State University. Original material is licensed CC BY-NC 4.0: credit required, non-commercial use only.</dc:description>
  <dc:language>en-US</dc:language>
  <cp:lastModifiedBy/>
  <dcterms:modified xsi:type="dcterms:W3CDTF">2026-10-01T00:30:39Z</dcterms:modified>
  <cp:revision>1</cp:revision>
  <dc:subject/>
  <dc:title>DEV-01 Temperature and development rate: degree-days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