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<sst xmlns="http://schemas.openxmlformats.org/spreadsheetml/2006/main" count="49" uniqueCount="45">
  <si>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ACH-05  Beer's law with a smartphone photometer</t>
  </si>
  <si>
    <t xml:space="preserve">Excel version of the card. It does the same calculations as the R script ach05_photometer.R.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</si>
  <si>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</si>
  <si>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</si>
  <si>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</si>
  <si>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</si>
  <si>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</si>
  <si>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</si>
  <si>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</si>
  <si>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</si>
  <si>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Absorbance = log10(blank channel value / channel value of the sample). Use the colour channel the dye absorbs (a red dye absorbs green light).</t>
  </si>
  <si>
    <t xml:space="preserve">The calibration line uses only standards with absorbance at or below the limit set on the Results sheet (default 0.7), because phone cameras are not linear at high absorbance.</t>
  </si>
  <si>
    <t xml:space="preserve">Concentration is in relative units (fractions of the stock strength) when the dye label gives no concentration.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</si>
  <si>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</si>
  <si>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</si>
  <si>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</si>
  <si>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</si>
  <si>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Blank (clean water) photo</t>
  </si>
  <si>
    <t xml:space="preserve">Channel value</t>
  </si>
  <si>
    <t xml:space="preserve">2. Standards (relative concentration, channel value of each photo)</t>
  </si>
  <si>
    <t xml:space="preserve">Relative concentration</t>
  </si>
  <si>
    <t xml:space="preserve">Absorbance</t>
  </si>
  <si>
    <t xml:space="preserve">Conc. used</t>
  </si>
  <si>
    <t xml:space="preserve">Absorbance used</t>
  </si>
  <si>
    <t xml:space="preserve">3. Unknown (channel value of each photo)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</si>
  <si>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</si>
  <si>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</si>
  <si>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</si>
  <si>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Highest absorbance used for the calibration line</t>
  </si>
  <si>
    <t xml:space="preserve">Standards above this are shown but not used.</t>
  </si>
  <si>
    <t xml:space="preserve">Calibration line over the linear range (absorbance = intercept + slope x relative concentration)</t>
  </si>
  <si>
    <t xml:space="preserve">Points used</t>
  </si>
  <si>
    <t xml:space="preserve">Slope (per relative unit)</t>
  </si>
  <si>
    <t xml:space="preserve">Intercept (per relative unit)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</si>
  <si>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</si>
  <si>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</si>
  <si>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</si>
  <si>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</si>
  <si>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</si>
  <si>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Unknown</t>
  </si>
  <si>
    <t xml:space="preserve">Photos used</t>
  </si>
  <si>
    <t xml:space="preserve">Mean absorbance</t>
  </si>
  <si>
    <t xml:space="preserve">Approximate standard error</t>
  </si>
  <si>
    <t xml:space="preserve">95% interval, lower</t>
  </si>
  <si>
    <t xml:space="preserve">95% interval, upper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</si>
</sst>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 (standards used)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data'!$D$15:$D$24</c:f>
              <c:numCache>
                <c:formatCode>General</c:formatCode>
                <c:ptCount val="10"/>
              </c:numCache>
            </c:numRef>
          </c:xVal>
          <c:yVal>
            <c:numRef>
              <c:f>'Enter data'!$E$15:$E$24</c:f>
              <c:numCache>
                <c:formatCode>General</c:formatCode>
                <c:ptCount val="10"/>
              </c:numCache>
            </c:numRef>
          </c:yVal>
          <c:smooth val="1"/>
        </c:ser>
        <c:axId val="53367647"/>
        <c:axId val="47322927"/>
      </c:scatterChart>
      <c:valAx>
        <c:axId val="533676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22927"/>
        <c:crosses val="autoZero"/>
        <c:crossBetween val="midCat"/>
      </c:valAx>
      <c:valAx>
        <c:axId val="47322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Absorbance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676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160560</xdr:rowOff>
    </xdr:from>
    <xdr:to>
      <xdr:col>3</xdr:col>
      <xdr:colOff>536040</xdr:colOff>
      <xdr:row>39</xdr:row>
      <xdr:rowOff>172440</xdr:rowOff>
    </xdr:to>
    <xdr:graphicFrame>
      <xdr:nvGraphicFramePr>
        <xdr:cNvPr id="0" name="Chart 1"/>
        <xdr:cNvGraphicFramePr/>
      </xdr:nvGraphicFramePr>
      <xdr:xfrm>
        <a:off x="211320" y="457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</row>
    <row r="6" customFormat="false" ht="15" hidden="false" customHeight="false" outlineLevel="0" collapsed="false">
      <c r="A6" s="11" t="n">
        <v>204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2"/>
    </row>
    <row r="12" customFormat="false" ht="15" hidden="false" customHeight="false" outlineLevel="0" collapsed="false">
      <c r="A12" s="9" t="s">
        <v>19</v>
      </c>
    </row>
    <row r="13" customFormat="false" ht="31.5" hidden="false" customHeight="true" outlineLevel="0" collapsed="false">
      <c r="A13" s="10" t="s">
        <v>20</v>
      </c>
      <c r="B13" s="10" t="s">
        <v>18</v>
      </c>
      <c r="C13" s="10" t="s">
        <v>21</v>
      </c>
      <c r="D13" s="10" t="s">
        <v>22</v>
      </c>
      <c r="E13" s="10" t="s">
        <v>23</v>
      </c>
    </row>
    <row r="14" customFormat="false" ht="15" hidden="false" customHeight="false" outlineLevel="0" collapsed="false">
      <c r="A14" s="11" t="n">
        <v>0.4</v>
      </c>
      <c r="B14" s="11" t="n">
        <v>130</v>
      </c>
    </row>
    <row r="15" customFormat="false" ht="15" hidden="false" customHeight="false" outlineLevel="0" collapsed="false">
      <c r="A15" s="12"/>
      <c r="B15" s="12"/>
      <c r="C15" s="13" t="str">
        <f aca="false">IF(AND(ISNUMBER(A15),ISNUMBER(B15)),LOG10(AVERAGE('Enter data'!$A$7:$A$9)/B15),"")</f>
        <v/>
      </c>
      <c r="D15" s="13" t="str">
        <f aca="false">IF(ISNUMBER(C15),IF(C15&lt;=Results!$C$5,A15,""),"")</f>
        <v/>
      </c>
      <c r="E15" s="13" t="str">
        <f aca="false">IF(ISNUMBER(C15),IF(C15&lt;=Results!$C$5,C15,""),"")</f>
        <v/>
      </c>
    </row>
    <row r="16" customFormat="false" ht="15" hidden="false" customHeight="false" outlineLevel="0" collapsed="false">
      <c r="A16" s="12"/>
      <c r="B16" s="12"/>
      <c r="C16" s="13" t="str">
        <f aca="false">IF(AND(ISNUMBER(A16),ISNUMBER(B16)),LOG10(AVERAGE('Enter data'!$A$7:$A$9)/B16),"")</f>
        <v/>
      </c>
      <c r="D16" s="13" t="str">
        <f aca="false">IF(ISNUMBER(C16),IF(C16&lt;=Results!$C$5,A16,""),"")</f>
        <v/>
      </c>
      <c r="E16" s="13" t="str">
        <f aca="false">IF(ISNUMBER(C16),IF(C16&lt;=Results!$C$5,C16,""),"")</f>
        <v/>
      </c>
    </row>
    <row r="17" customFormat="false" ht="15" hidden="false" customHeight="false" outlineLevel="0" collapsed="false">
      <c r="A17" s="12"/>
      <c r="B17" s="12"/>
      <c r="C17" s="13" t="str">
        <f aca="false">IF(AND(ISNUMBER(A17),ISNUMBER(B17)),LOG10(AVERAGE('Enter data'!$A$7:$A$9)/B17),"")</f>
        <v/>
      </c>
      <c r="D17" s="13" t="str">
        <f aca="false">IF(ISNUMBER(C17),IF(C17&lt;=Results!$C$5,A17,""),"")</f>
        <v/>
      </c>
      <c r="E17" s="13" t="str">
        <f aca="false">IF(ISNUMBER(C17),IF(C17&lt;=Results!$C$5,C17,""),"")</f>
        <v/>
      </c>
    </row>
    <row r="18" customFormat="false" ht="15" hidden="false" customHeight="false" outlineLevel="0" collapsed="false">
      <c r="A18" s="12"/>
      <c r="B18" s="12"/>
      <c r="C18" s="13" t="str">
        <f aca="false">IF(AND(ISNUMBER(A18),ISNUMBER(B18)),LOG10(AVERAGE('Enter data'!$A$7:$A$9)/B18),"")</f>
        <v/>
      </c>
      <c r="D18" s="13" t="str">
        <f aca="false">IF(ISNUMBER(C18),IF(C18&lt;=Results!$C$5,A18,""),"")</f>
        <v/>
      </c>
      <c r="E18" s="13" t="str">
        <f aca="false">IF(ISNUMBER(C18),IF(C18&lt;=Results!$C$5,C18,""),"")</f>
        <v/>
      </c>
    </row>
    <row r="19" customFormat="false" ht="15" hidden="false" customHeight="false" outlineLevel="0" collapsed="false">
      <c r="A19" s="12"/>
      <c r="B19" s="12"/>
      <c r="C19" s="13" t="str">
        <f aca="false">IF(AND(ISNUMBER(A19),ISNUMBER(B19)),LOG10(AVERAGE('Enter data'!$A$7:$A$9)/B19),"")</f>
        <v/>
      </c>
      <c r="D19" s="13" t="str">
        <f aca="false">IF(ISNUMBER(C19),IF(C19&lt;=Results!$C$5,A19,""),"")</f>
        <v/>
      </c>
      <c r="E19" s="13" t="str">
        <f aca="false">IF(ISNUMBER(C19),IF(C19&lt;=Results!$C$5,C19,""),"")</f>
        <v/>
      </c>
    </row>
    <row r="20" customFormat="false" ht="15" hidden="false" customHeight="false" outlineLevel="0" collapsed="false">
      <c r="A20" s="12"/>
      <c r="B20" s="12"/>
      <c r="C20" s="13" t="str">
        <f aca="false">IF(AND(ISNUMBER(A20),ISNUMBER(B20)),LOG10(AVERAGE('Enter data'!$A$7:$A$9)/B20),"")</f>
        <v/>
      </c>
      <c r="D20" s="13" t="str">
        <f aca="false">IF(ISNUMBER(C20),IF(C20&lt;=Results!$C$5,A20,""),"")</f>
        <v/>
      </c>
      <c r="E20" s="13" t="str">
        <f aca="false">IF(ISNUMBER(C20),IF(C20&lt;=Results!$C$5,C20,""),"")</f>
        <v/>
      </c>
    </row>
    <row r="21" customFormat="false" ht="15" hidden="false" customHeight="false" outlineLevel="0" collapsed="false">
      <c r="A21" s="12"/>
      <c r="B21" s="12"/>
      <c r="C21" s="13" t="str">
        <f aca="false">IF(AND(ISNUMBER(A21),ISNUMBER(B21)),LOG10(AVERAGE('Enter data'!$A$7:$A$9)/B21),"")</f>
        <v/>
      </c>
      <c r="D21" s="13" t="str">
        <f aca="false">IF(ISNUMBER(C21),IF(C21&lt;=Results!$C$5,A21,""),"")</f>
        <v/>
      </c>
      <c r="E21" s="13" t="str">
        <f aca="false">IF(ISNUMBER(C21),IF(C21&lt;=Results!$C$5,C21,""),"")</f>
        <v/>
      </c>
    </row>
    <row r="22" customFormat="false" ht="15" hidden="false" customHeight="false" outlineLevel="0" collapsed="false">
      <c r="A22" s="12"/>
      <c r="B22" s="12"/>
      <c r="C22" s="13" t="str">
        <f aca="false">IF(AND(ISNUMBER(A22),ISNUMBER(B22)),LOG10(AVERAGE('Enter data'!$A$7:$A$9)/B22),"")</f>
        <v/>
      </c>
      <c r="D22" s="13" t="str">
        <f aca="false">IF(ISNUMBER(C22),IF(C22&lt;=Results!$C$5,A22,""),"")</f>
        <v/>
      </c>
      <c r="E22" s="13" t="str">
        <f aca="false">IF(ISNUMBER(C22),IF(C22&lt;=Results!$C$5,C22,""),"")</f>
        <v/>
      </c>
    </row>
    <row r="23" customFormat="false" ht="15" hidden="false" customHeight="false" outlineLevel="0" collapsed="false">
      <c r="A23" s="12"/>
      <c r="B23" s="12"/>
      <c r="C23" s="13" t="str">
        <f aca="false">IF(AND(ISNUMBER(A23),ISNUMBER(B23)),LOG10(AVERAGE('Enter data'!$A$7:$A$9)/B23),"")</f>
        <v/>
      </c>
      <c r="D23" s="13" t="str">
        <f aca="false">IF(ISNUMBER(C23),IF(C23&lt;=Results!$C$5,A23,""),"")</f>
        <v/>
      </c>
      <c r="E23" s="13" t="str">
        <f aca="false">IF(ISNUMBER(C23),IF(C23&lt;=Results!$C$5,C23,""),"")</f>
        <v/>
      </c>
    </row>
    <row r="24" customFormat="false" ht="15" hidden="false" customHeight="false" outlineLevel="0" collapsed="false">
      <c r="A24" s="12"/>
      <c r="B24" s="12"/>
      <c r="C24" s="13" t="str">
        <f aca="false">IF(AND(ISNUMBER(A24),ISNUMBER(B24)),LOG10(AVERAGE('Enter data'!$A$7:$A$9)/B24),"")</f>
        <v/>
      </c>
      <c r="D24" s="13" t="str">
        <f aca="false">IF(ISNUMBER(C24),IF(C24&lt;=Results!$C$5,A24,""),"")</f>
        <v/>
      </c>
      <c r="E24" s="13" t="str">
        <f aca="false">IF(ISNUMBER(C24),IF(C24&lt;=Results!$C$5,C24,""),"")</f>
        <v/>
      </c>
    </row>
    <row r="27" customFormat="false" ht="15" hidden="false" customHeight="false" outlineLevel="0" collapsed="false">
      <c r="A27" s="9" t="s">
        <v>24</v>
      </c>
    </row>
    <row r="28" customFormat="false" ht="31.5" hidden="false" customHeight="true" outlineLevel="0" collapsed="false">
      <c r="A28" s="10" t="s">
        <v>18</v>
      </c>
      <c r="B28" s="10" t="s">
        <v>21</v>
      </c>
    </row>
    <row r="29" customFormat="false" ht="15" hidden="false" customHeight="false" outlineLevel="0" collapsed="false">
      <c r="A29" s="11" t="n">
        <v>126</v>
      </c>
    </row>
    <row r="30" customFormat="false" ht="15" hidden="false" customHeight="false" outlineLevel="0" collapsed="false">
      <c r="A30" s="12"/>
      <c r="B30" s="13" t="str">
        <f aca="false">IF(ISNUMBER(A30),LOG10(AVERAGE('Enter data'!$A$7:$A$9)/A30),"")</f>
        <v/>
      </c>
    </row>
    <row r="31" customFormat="false" ht="15" hidden="false" customHeight="false" outlineLevel="0" collapsed="false">
      <c r="A31" s="12"/>
      <c r="B31" s="13" t="str">
        <f aca="false">IF(ISNUMBER(A31),LOG10(AVERAGE('Enter data'!$A$7:$A$9)/A31),"")</f>
        <v/>
      </c>
    </row>
    <row r="32" customFormat="false" ht="15" hidden="false" customHeight="false" outlineLevel="0" collapsed="false">
      <c r="A32" s="12"/>
      <c r="B32" s="13" t="str">
        <f aca="false">IF(ISNUMBER(A32),LOG10(AVERAGE('Enter data'!$A$7:$A$9)/A32),"")</f>
        <v/>
      </c>
    </row>
    <row r="33" customFormat="false" ht="15" hidden="false" customHeight="false" outlineLevel="0" collapsed="false">
      <c r="A33" s="12"/>
      <c r="B33" s="13" t="str">
        <f aca="false">IF(ISNUMBER(A33),LOG10(AVERAGE('Enter data'!$A$7:$A$9)/A33),"")</f>
        <v/>
      </c>
    </row>
    <row r="34" customFormat="false" ht="15" hidden="false" customHeight="false" outlineLevel="0" collapsed="false">
      <c r="A34" s="12"/>
      <c r="B34" s="13" t="str">
        <f aca="false">IF(ISNUMBER(A34),LOG10(AVERAGE('Enter data'!$A$7:$A$9)/A34),"")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9 A15:B24 A30:A34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25</v>
      </c>
    </row>
    <row r="2" customFormat="false" ht="15" hidden="false" customHeight="false" outlineLevel="0" collapsed="false">
      <c r="B2" s="8" t="s">
        <v>26</v>
      </c>
    </row>
    <row r="4" customFormat="false" ht="15" hidden="false" customHeight="false" outlineLevel="0" collapsed="false">
      <c r="B4" s="9" t="s">
        <v>27</v>
      </c>
    </row>
    <row r="5" customFormat="false" ht="15" hidden="false" customHeight="false" outlineLevel="0" collapsed="false">
      <c r="B5" s="14" t="s">
        <v>28</v>
      </c>
      <c r="C5" s="12" t="n">
        <v>0.7</v>
      </c>
      <c r="D5" s="8" t="s">
        <v>29</v>
      </c>
    </row>
    <row r="7" customFormat="false" ht="15" hidden="false" customHeight="false" outlineLevel="0" collapsed="false">
      <c r="B7" s="9" t="s">
        <v>30</v>
      </c>
    </row>
    <row r="8" customFormat="false" ht="15" hidden="false" customHeight="false" outlineLevel="0" collapsed="false">
      <c r="B8" s="14" t="s">
        <v>31</v>
      </c>
      <c r="C8" s="15" t="n">
        <f aca="false">IFERROR(SUMPRODUCT(--ISNUMBER('Enter data'!$D$15:$D$24),--ISNUMBER('Enter data'!$E$15:$E$24)),"")</f>
        <v>0</v>
      </c>
    </row>
    <row r="9" customFormat="false" ht="15" hidden="false" customHeight="false" outlineLevel="0" collapsed="false">
      <c r="B9" s="14" t="s">
        <v>32</v>
      </c>
      <c r="C9" s="16" t="str">
        <f aca="false">IFERROR(SLOPE('Enter data'!$E$15:$E$24,'Enter data'!$D$15:$D$24),"")</f>
        <v/>
      </c>
    </row>
    <row r="10" customFormat="false" ht="15" hidden="false" customHeight="false" outlineLevel="0" collapsed="false">
      <c r="B10" s="14" t="s">
        <v>33</v>
      </c>
      <c r="C10" s="16" t="str">
        <f aca="false">IFERROR(INTERCEPT('Enter data'!$E$15:$E$24,'Enter data'!$D$15:$D$24),"")</f>
        <v/>
      </c>
    </row>
    <row r="11" customFormat="false" ht="15" hidden="false" customHeight="false" outlineLevel="0" collapsed="false">
      <c r="B11" s="14" t="s">
        <v>34</v>
      </c>
      <c r="C11" s="16" t="str">
        <f aca="false">IFERROR(RSQ('Enter data'!$E$15:$E$24,'Enter data'!$D$15:$D$24),"")</f>
        <v/>
      </c>
    </row>
    <row r="12" customFormat="false" ht="15" hidden="false" customHeight="false" outlineLevel="0" collapsed="false">
      <c r="B12" s="14" t="s">
        <v>35</v>
      </c>
      <c r="C12" s="16" t="str">
        <f aca="false">IFERROR(STEYX('Enter data'!$E$15:$E$24,'Enter data'!$D$15:$D$24),"")</f>
        <v/>
      </c>
    </row>
    <row r="13" customFormat="false" ht="15" hidden="false" customHeight="false" outlineLevel="0" collapsed="false">
      <c r="B13" s="14" t="s">
        <v>36</v>
      </c>
      <c r="C13" s="16" t="str">
        <f aca="false">IFERROR($C$12/SQRT(DEVSQ('Enter data'!$D$15:$D$24)),"")</f>
        <v/>
      </c>
    </row>
    <row r="14" customFormat="false" ht="15" hidden="false" customHeight="false" outlineLevel="0" collapsed="false">
      <c r="B14" s="14" t="s">
        <v>37</v>
      </c>
      <c r="C14" s="16" t="str">
        <f aca="false">IFERROR($C$9-TINV(0.05,$C$8-2)*$C$13,"")</f>
        <v/>
      </c>
    </row>
    <row r="15" customFormat="false" ht="15" hidden="false" customHeight="false" outlineLevel="0" collapsed="false">
      <c r="B15" s="14" t="s">
        <v>38</v>
      </c>
      <c r="C15" s="16" t="str">
        <f aca="false">IFERROR($C$9+TINV(0.05,$C$8-2)*$C$13,"")</f>
        <v/>
      </c>
    </row>
    <row r="17" customFormat="false" ht="15" hidden="false" customHeight="false" outlineLevel="0" collapsed="false">
      <c r="B17" s="9" t="s">
        <v>39</v>
      </c>
    </row>
    <row r="18" customFormat="false" ht="15" hidden="false" customHeight="false" outlineLevel="0" collapsed="false">
      <c r="B18" s="14" t="s">
        <v>40</v>
      </c>
      <c r="C18" s="15" t="n">
        <f aca="false">IFERROR(COUNT('Enter data'!$B$30:$B$34),"")</f>
        <v>0</v>
      </c>
    </row>
    <row r="19" customFormat="false" ht="15" hidden="false" customHeight="false" outlineLevel="0" collapsed="false">
      <c r="B19" s="14" t="s">
        <v>41</v>
      </c>
      <c r="C19" s="17" t="str">
        <f aca="false">IFERROR(AVERAGE('Enter data'!$B$30:$B$34),"")</f>
        <v/>
      </c>
    </row>
    <row r="20" customFormat="false" ht="15" hidden="false" customHeight="false" outlineLevel="0" collapsed="false">
      <c r="B20" s="14" t="s">
        <v>20</v>
      </c>
      <c r="C20" s="17" t="str">
        <f aca="false">IFERROR(($C$19-$C$10)/$C$9,"")</f>
        <v/>
      </c>
    </row>
    <row r="21" customFormat="false" ht="15" hidden="false" customHeight="false" outlineLevel="0" collapsed="false">
      <c r="B21" s="14" t="s">
        <v>42</v>
      </c>
      <c r="C21" s="17" t="str">
        <f aca="false">IFERROR($C$12*SQRT(1/$C$18+1/$C$8+($C$20-AVERAGE('Enter data'!$D$15:$D$24))^2/DEVSQ('Enter data'!$D$15:$D$24))/$C$9,"")</f>
        <v/>
      </c>
    </row>
    <row r="22" customFormat="false" ht="15" hidden="false" customHeight="false" outlineLevel="0" collapsed="false">
      <c r="B22" s="14" t="s">
        <v>43</v>
      </c>
      <c r="C22" s="17" t="str">
        <f aca="false">IFERROR($C$20-TINV(0.05,$C$8-2)*$C$21,"")</f>
        <v/>
      </c>
    </row>
    <row r="23" customFormat="false" ht="15" hidden="false" customHeight="false" outlineLevel="0" collapsed="false">
      <c r="B23" s="14" t="s">
        <v>44</v>
      </c>
      <c r="C23" s="17" t="str">
        <f aca="false">IFERROR($C$20+TINV(0.05,$C$8-2)*$C$21,"")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2026-10-01T00:29:59Z</dcterms:modified>
  <cp:revision>1</cp:revision>
  <dc:subject/>
  <dc:title>ACH-05 Beer's law with a smartphone photometer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