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Enter data" sheetId="2" state="visible" r:id="rId4"/>
    <sheet name="Result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<sst xmlns="http://schemas.openxmlformats.org/spreadsheetml/2006/main" count="369" uniqueCount="69">
  <si>
    <t xml:space="preserve">AP-06  Reference intervals from a health survey</t>
  </si>
  <si>
    <t xml:space="preserve">Excel version of the card. It does the same calculations as the R script ap06_reference_intervals.R.</t>
  </si>
  <si>
    <t xml:space="preserve">How to use this workbook</t>
  </si>
  <si>
    <t xml:space="preserve">1.  Go to the 'Enter data' sheet. Type only in the yellow cells with blue text. Grey cells are calculated for you.</t>
  </si>
  <si>
    <t xml:space="preserve">2.  Fill the blocks that apply. Leave rows you did not use empty. The grey italic row above each table is an example of the format and is not used.</t>
  </si>
  <si>
    <t xml:space="preserve">3.  Open the 'Results' sheet. Everything there is calculated. Yellow cells on that sheet are settings you may change.</t>
  </si>
  <si>
    <t xml:space="preserve">What the colours mean</t>
  </si>
  <si>
    <t xml:space="preserve">Yellow cell, blue text:  you type here.</t>
  </si>
  <si>
    <t xml:space="preserve">Grey cell:  a formula. Sheets are protected without a password so formulas are not overwritten by accident (Review &gt; Unprotect Sheet).</t>
  </si>
  <si>
    <t xml:space="preserve">Assumptions and sources</t>
  </si>
  <si>
    <t xml:space="preserve">Reference interval = 2.5th to 97.5th percentile of a healthy sample. Use open, de-identified data only. Values are for teaching and are not medical advice.</t>
  </si>
  <si>
    <t xml:space="preserve">Regression of the measurement on age and sex uses LINEST with sex coded 1 for male and 0 for female.</t>
  </si>
  <si>
    <t xml:space="preserve">Differences from the R script on the card</t>
  </si>
  <si>
    <t xml:space="preserve">The R script bootstraps the limits and gives age-group intervals. This workbook gives whole-sample percentiles, sex-specific means and a regression on age and sex.</t>
  </si>
  <si>
    <t xml:space="preserve">Practice data in the filled example were invented for the card. They are not real measurements.</t>
  </si>
  <si>
    <t xml:space="preserve">Compiled by Emmanuel G. Lozano, Department of Biology, College of Arts and Sciences, Pampanga State University. Original material is licensed CC BY-NC 4.0: credit required, non-commercial use only.</t>
  </si>
  <si>
    <t xml:space="preserve">Enter your data</t>
  </si>
  <si>
    <t xml:space="preserve">Type only in yellow cells. Leave unused rows empty.</t>
  </si>
  <si>
    <t xml:space="preserve">1. People (one row per person)</t>
  </si>
  <si>
    <t xml:space="preserve">Age (years)</t>
  </si>
  <si>
    <t xml:space="preserve">Sex (F or M)</t>
  </si>
  <si>
    <t xml:space="preserve">Measurement</t>
  </si>
  <si>
    <t xml:space="preserve">Male = 1 (model)</t>
  </si>
  <si>
    <t xml:space="preserve">Age (model)</t>
  </si>
  <si>
    <t xml:space="preserve">Value (model)</t>
  </si>
  <si>
    <t xml:space="preserve">Age group index</t>
  </si>
  <si>
    <t xml:space="preserve">Row used</t>
  </si>
  <si>
    <t xml:space="preserve">F</t>
  </si>
  <si>
    <t xml:space="preserve">M</t>
  </si>
  <si>
    <t xml:space="preserve">Results</t>
  </si>
  <si>
    <t xml:space="preserve">Everything on this sheet is calculated. Change only the yellow settings.</t>
  </si>
  <si>
    <t xml:space="preserve">All adults</t>
  </si>
  <si>
    <t xml:space="preserve">People</t>
  </si>
  <si>
    <t xml:space="preserve">Mean</t>
  </si>
  <si>
    <t xml:space="preserve">Standard deviation</t>
  </si>
  <si>
    <t xml:space="preserve">Reference interval, lower (2.5th percentile)</t>
  </si>
  <si>
    <t xml:space="preserve">Median</t>
  </si>
  <si>
    <t xml:space="preserve">Reference interval, upper (97.5th percentile)</t>
  </si>
  <si>
    <t xml:space="preserve">By sex</t>
  </si>
  <si>
    <t xml:space="preserve">Name</t>
  </si>
  <si>
    <t xml:space="preserve">n</t>
  </si>
  <si>
    <t xml:space="preserve">SD</t>
  </si>
  <si>
    <t xml:space="preserve">SE</t>
  </si>
  <si>
    <t xml:space="preserve">Measurement regressed on age and sex</t>
  </si>
  <si>
    <t xml:space="preserve">Rows used</t>
  </si>
  <si>
    <t xml:space="preserve">Mean of x1</t>
  </si>
  <si>
    <t xml:space="preserve">Mean of x2</t>
  </si>
  <si>
    <t xml:space="preserve">Mean of y</t>
  </si>
  <si>
    <t xml:space="preserve">Sum of squares of x1</t>
  </si>
  <si>
    <t xml:space="preserve">Sum of squares of x2</t>
  </si>
  <si>
    <t xml:space="preserve">Cross products x1, x2</t>
  </si>
  <si>
    <t xml:space="preserve">Cross products x1, y</t>
  </si>
  <si>
    <t xml:space="preserve">Cross products x2, y</t>
  </si>
  <si>
    <t xml:space="preserve">Sum of squares of y</t>
  </si>
  <si>
    <t xml:space="preserve">Change per year of age</t>
  </si>
  <si>
    <t xml:space="preserve">Males minus females at the same age</t>
  </si>
  <si>
    <t xml:space="preserve">Intercept</t>
  </si>
  <si>
    <t xml:space="preserve">Residual sum of squares</t>
  </si>
  <si>
    <t xml:space="preserve">Residual standard deviation</t>
  </si>
  <si>
    <t xml:space="preserve">R squared</t>
  </si>
  <si>
    <t xml:space="preserve">Standard error of slope 1</t>
  </si>
  <si>
    <t xml:space="preserve">Standard error of slope 2</t>
  </si>
  <si>
    <t xml:space="preserve">95% interval for slope 1, lower</t>
  </si>
  <si>
    <t xml:space="preserve">95% interval for slope 1, upper</t>
  </si>
  <si>
    <t xml:space="preserve">A reference interval flags 5% of healthy people by design</t>
  </si>
  <si>
    <t xml:space="preserve">Chance of at least one flagged result in 10 independent tests</t>
  </si>
  <si>
    <t xml:space="preserve">Share outside the whole-sample interval, adults aged 65 and over</t>
  </si>
  <si>
    <t xml:space="preserve">Share outside (%)</t>
  </si>
  <si>
    <t xml:space="preserve">5% expected if age did not matter.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</si>
</sst>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0;\-0.000;;@"/>
    <numFmt numFmtId="166" formatCode="0"/>
    <numFmt numFmtId="167" formatCode="0.0"/>
    <numFmt numFmtId="168" formatCode="0.0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7F7F7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EDEDED"/>
      </patternFill>
    </fill>
    <fill>
      <patternFill patternType="solid">
        <fgColor rgb="FFEDEDED"/>
        <bgColor rgb="FFE2EFDA"/>
      </patternFill>
    </fill>
    <fill>
      <patternFill patternType="solid">
        <fgColor rgb="FF1F4E78"/>
        <bgColor rgb="FF003366"/>
      </patternFill>
    </fill>
    <fill>
      <patternFill patternType="solid">
        <fgColor rgb="FFE2EFDA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EDEDE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B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8"/>
  </cols>
  <sheetData>
    <row r="1" customFormat="false" ht="17.3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3" customFormat="false" ht="15" hidden="false" customHeight="false" outlineLevel="0" collapsed="false">
      <c r="B3" s="2"/>
    </row>
    <row r="4" customFormat="false" ht="15" hidden="false" customHeight="false" outlineLevel="0" collapsed="false">
      <c r="B4" s="3" t="s">
        <v>2</v>
      </c>
    </row>
    <row r="5" customFormat="false" ht="15" hidden="false" customHeight="false" outlineLevel="0" collapsed="false">
      <c r="B5" s="2" t="s">
        <v>3</v>
      </c>
    </row>
    <row r="6" customFormat="false" ht="23.85" hidden="false" customHeight="false" outlineLevel="0" collapsed="false">
      <c r="B6" s="2" t="s">
        <v>4</v>
      </c>
    </row>
    <row r="7" customFormat="false" ht="15" hidden="false" customHeight="false" outlineLevel="0" collapsed="false">
      <c r="B7" s="2" t="s">
        <v>5</v>
      </c>
    </row>
    <row r="8" customFormat="false" ht="15" hidden="false" customHeight="false" outlineLevel="0" collapsed="false">
      <c r="B8" s="2"/>
    </row>
    <row r="9" customFormat="false" ht="15" hidden="false" customHeight="false" outlineLevel="0" collapsed="false">
      <c r="B9" s="3" t="s">
        <v>6</v>
      </c>
    </row>
    <row r="10" customFormat="false" ht="15" hidden="false" customHeight="false" outlineLevel="0" collapsed="false">
      <c r="B10" s="4" t="s">
        <v>7</v>
      </c>
    </row>
    <row r="11" customFormat="false" ht="23.85" hidden="false" customHeight="false" outlineLevel="0" collapsed="false">
      <c r="B11" s="5" t="s">
        <v>8</v>
      </c>
    </row>
    <row r="12" customFormat="false" ht="15" hidden="false" customHeight="false" outlineLevel="0" collapsed="false">
      <c r="B12" s="2"/>
    </row>
    <row r="13" customFormat="false" ht="15" hidden="false" customHeight="false" outlineLevel="0" collapsed="false">
      <c r="B13" s="3" t="s">
        <v>9</v>
      </c>
    </row>
    <row r="14" customFormat="false" ht="23.85" hidden="false" customHeight="false" outlineLevel="0" collapsed="false">
      <c r="B14" s="2" t="s">
        <v>10</v>
      </c>
    </row>
    <row r="15" customFormat="false" ht="15" hidden="false" customHeight="false" outlineLevel="0" collapsed="false">
      <c r="B15" s="2" t="s">
        <v>11</v>
      </c>
    </row>
    <row r="16" customFormat="false" ht="15" hidden="false" customHeight="false" outlineLevel="0" collapsed="false">
      <c r="B16" s="2"/>
    </row>
    <row r="17" customFormat="false" ht="15" hidden="false" customHeight="false" outlineLevel="0" collapsed="false">
      <c r="B17" s="3" t="s">
        <v>12</v>
      </c>
    </row>
    <row r="18" customFormat="false" ht="23.85" hidden="false" customHeight="false" outlineLevel="0" collapsed="false">
      <c r="B18" s="2" t="s">
        <v>13</v>
      </c>
    </row>
    <row r="19" customFormat="false" ht="15" hidden="false" customHeight="false" outlineLevel="0" collapsed="false">
      <c r="B19" s="2"/>
    </row>
    <row r="20" customFormat="false" ht="15" hidden="false" customHeight="false" outlineLevel="0" collapsed="false">
      <c r="B20" s="6" t="s">
        <v>14</v>
      </c>
    </row>
    <row r="21" customFormat="false" ht="15" hidden="false" customHeight="false" outlineLevel="0" collapsed="false">
      <c r="B21" s="2"/>
    </row>
    <row r="22" customFormat="false" ht="22.35" hidden="false" customHeight="false" outlineLevel="0" collapsed="false">
      <c r="B22" s="6" t="s">
        <v>15</v>
      </c>
    </row>
  </sheetData>
  <sheetProtection sheet="true" formatColumns="false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12" min="2" style="0" width="21"/>
  </cols>
  <sheetData>
    <row r="1" customFormat="false" ht="17.35" hidden="false" customHeight="false" outlineLevel="0" collapsed="false">
      <c r="A1" s="7" t="s">
        <v>16</v>
      </c>
    </row>
    <row r="2" customFormat="false" ht="15" hidden="false" customHeight="false" outlineLevel="0" collapsed="false">
      <c r="A2" s="8" t="s">
        <v>17</v>
      </c>
    </row>
    <row r="4" customFormat="false" ht="15" hidden="false" customHeight="false" outlineLevel="0" collapsed="false">
      <c r="A4" s="9" t="s">
        <v>18</v>
      </c>
    </row>
    <row r="5" customFormat="false" ht="31.5" hidden="false" customHeight="true" outlineLevel="0" collapsed="false">
      <c r="A5" s="10" t="s">
        <v>19</v>
      </c>
      <c r="B5" s="10" t="s">
        <v>20</v>
      </c>
      <c r="C5" s="10" t="s">
        <v>21</v>
      </c>
      <c r="D5" s="10" t="s">
        <v>22</v>
      </c>
      <c r="E5" s="10" t="s">
        <v>23</v>
      </c>
      <c r="F5" s="10" t="s">
        <v>24</v>
      </c>
      <c r="G5" s="10" t="s">
        <v>25</v>
      </c>
      <c r="H5" s="10" t="s">
        <v>26</v>
      </c>
    </row>
    <row r="6" customFormat="false" ht="15" hidden="false" customHeight="false" outlineLevel="0" collapsed="false">
      <c r="A6" s="11" t="n">
        <v>45</v>
      </c>
      <c r="B6" s="11" t="s">
        <v>27</v>
      </c>
      <c r="C6" s="11" t="n">
        <v>128</v>
      </c>
    </row>
    <row r="7" customFormat="false" ht="15" hidden="false" customHeight="false" outlineLevel="0" collapsed="false">
      <c r="A7" s="12" t="n">
        <v>27</v>
      </c>
      <c r="B7" s="12" t="s">
        <v>27</v>
      </c>
      <c r="C7" s="12" t="n">
        <v>118</v>
      </c>
      <c r="D7" s="13" t="n">
        <f aca="false">IF(AND(ISNUMBER(A7),ISNUMBER(C7)),IF(B7="M",1,0),0)</f>
        <v>0</v>
      </c>
      <c r="E7" s="13" t="n">
        <f aca="false">IF(AND(ISNUMBER(A7),ISNUMBER(C7)),A7,0)</f>
        <v>27</v>
      </c>
      <c r="F7" s="13" t="n">
        <f aca="false">IF(AND(ISNUMBER(A7),ISNUMBER(C7)),C7,0)</f>
        <v>118</v>
      </c>
      <c r="G7" s="13" t="n">
        <f aca="false">IF(AND(ISNUMBER(A7),ISNUMBER(C7)),IF(A7&lt;35,1,IF(A7&lt;50,2,IF(A7&lt;65,3,4))),0)</f>
        <v>1</v>
      </c>
      <c r="H7" s="13" t="n">
        <f aca="false">IF(AND(ISNUMBER(A7),ISNUMBER(C7)),1,0)</f>
        <v>1</v>
      </c>
    </row>
    <row r="8" customFormat="false" ht="15" hidden="false" customHeight="false" outlineLevel="0" collapsed="false">
      <c r="A8" s="12" t="n">
        <v>72</v>
      </c>
      <c r="B8" s="12" t="s">
        <v>28</v>
      </c>
      <c r="C8" s="12" t="n">
        <v>149</v>
      </c>
      <c r="D8" s="13" t="n">
        <f aca="false">IF(AND(ISNUMBER(A8),ISNUMBER(C8)),IF(B8="M",1,0),0)</f>
        <v>1</v>
      </c>
      <c r="E8" s="13" t="n">
        <f aca="false">IF(AND(ISNUMBER(A8),ISNUMBER(C8)),A8,0)</f>
        <v>72</v>
      </c>
      <c r="F8" s="13" t="n">
        <f aca="false">IF(AND(ISNUMBER(A8),ISNUMBER(C8)),C8,0)</f>
        <v>149</v>
      </c>
      <c r="G8" s="13" t="n">
        <f aca="false">IF(AND(ISNUMBER(A8),ISNUMBER(C8)),IF(A8&lt;35,1,IF(A8&lt;50,2,IF(A8&lt;65,3,4))),0)</f>
        <v>4</v>
      </c>
      <c r="H8" s="13" t="n">
        <f aca="false">IF(AND(ISNUMBER(A8),ISNUMBER(C8)),1,0)</f>
        <v>1</v>
      </c>
    </row>
    <row r="9" customFormat="false" ht="15" hidden="false" customHeight="false" outlineLevel="0" collapsed="false">
      <c r="A9" s="12" t="n">
        <v>58</v>
      </c>
      <c r="B9" s="12" t="s">
        <v>28</v>
      </c>
      <c r="C9" s="12" t="n">
        <v>137</v>
      </c>
      <c r="D9" s="13" t="n">
        <f aca="false">IF(AND(ISNUMBER(A9),ISNUMBER(C9)),IF(B9="M",1,0),0)</f>
        <v>1</v>
      </c>
      <c r="E9" s="13" t="n">
        <f aca="false">IF(AND(ISNUMBER(A9),ISNUMBER(C9)),A9,0)</f>
        <v>58</v>
      </c>
      <c r="F9" s="13" t="n">
        <f aca="false">IF(AND(ISNUMBER(A9),ISNUMBER(C9)),C9,0)</f>
        <v>137</v>
      </c>
      <c r="G9" s="13" t="n">
        <f aca="false">IF(AND(ISNUMBER(A9),ISNUMBER(C9)),IF(A9&lt;35,1,IF(A9&lt;50,2,IF(A9&lt;65,3,4))),0)</f>
        <v>3</v>
      </c>
      <c r="H9" s="13" t="n">
        <f aca="false">IF(AND(ISNUMBER(A9),ISNUMBER(C9)),1,0)</f>
        <v>1</v>
      </c>
    </row>
    <row r="10" customFormat="false" ht="15" hidden="false" customHeight="false" outlineLevel="0" collapsed="false">
      <c r="A10" s="12" t="n">
        <v>53</v>
      </c>
      <c r="B10" s="12" t="s">
        <v>27</v>
      </c>
      <c r="C10" s="12" t="n">
        <v>138</v>
      </c>
      <c r="D10" s="13" t="n">
        <f aca="false">IF(AND(ISNUMBER(A10),ISNUMBER(C10)),IF(B10="M",1,0),0)</f>
        <v>0</v>
      </c>
      <c r="E10" s="13" t="n">
        <f aca="false">IF(AND(ISNUMBER(A10),ISNUMBER(C10)),A10,0)</f>
        <v>53</v>
      </c>
      <c r="F10" s="13" t="n">
        <f aca="false">IF(AND(ISNUMBER(A10),ISNUMBER(C10)),C10,0)</f>
        <v>138</v>
      </c>
      <c r="G10" s="13" t="n">
        <f aca="false">IF(AND(ISNUMBER(A10),ISNUMBER(C10)),IF(A10&lt;35,1,IF(A10&lt;50,2,IF(A10&lt;65,3,4))),0)</f>
        <v>3</v>
      </c>
      <c r="H10" s="13" t="n">
        <f aca="false">IF(AND(ISNUMBER(A10),ISNUMBER(C10)),1,0)</f>
        <v>1</v>
      </c>
    </row>
    <row r="11" customFormat="false" ht="15" hidden="false" customHeight="false" outlineLevel="0" collapsed="false">
      <c r="A11" s="12" t="n">
        <v>24</v>
      </c>
      <c r="B11" s="12" t="s">
        <v>27</v>
      </c>
      <c r="C11" s="12" t="n">
        <v>126</v>
      </c>
      <c r="D11" s="13" t="n">
        <f aca="false">IF(AND(ISNUMBER(A11),ISNUMBER(C11)),IF(B11="M",1,0),0)</f>
        <v>0</v>
      </c>
      <c r="E11" s="13" t="n">
        <f aca="false">IF(AND(ISNUMBER(A11),ISNUMBER(C11)),A11,0)</f>
        <v>24</v>
      </c>
      <c r="F11" s="13" t="n">
        <f aca="false">IF(AND(ISNUMBER(A11),ISNUMBER(C11)),C11,0)</f>
        <v>126</v>
      </c>
      <c r="G11" s="13" t="n">
        <f aca="false">IF(AND(ISNUMBER(A11),ISNUMBER(C11)),IF(A11&lt;35,1,IF(A11&lt;50,2,IF(A11&lt;65,3,4))),0)</f>
        <v>1</v>
      </c>
      <c r="H11" s="13" t="n">
        <f aca="false">IF(AND(ISNUMBER(A11),ISNUMBER(C11)),1,0)</f>
        <v>1</v>
      </c>
    </row>
    <row r="12" customFormat="false" ht="15" hidden="false" customHeight="false" outlineLevel="0" collapsed="false">
      <c r="A12" s="12" t="n">
        <v>37</v>
      </c>
      <c r="B12" s="12" t="s">
        <v>27</v>
      </c>
      <c r="C12" s="12" t="n">
        <v>109</v>
      </c>
      <c r="D12" s="13" t="n">
        <f aca="false">IF(AND(ISNUMBER(A12),ISNUMBER(C12)),IF(B12="M",1,0),0)</f>
        <v>0</v>
      </c>
      <c r="E12" s="13" t="n">
        <f aca="false">IF(AND(ISNUMBER(A12),ISNUMBER(C12)),A12,0)</f>
        <v>37</v>
      </c>
      <c r="F12" s="13" t="n">
        <f aca="false">IF(AND(ISNUMBER(A12),ISNUMBER(C12)),C12,0)</f>
        <v>109</v>
      </c>
      <c r="G12" s="13" t="n">
        <f aca="false">IF(AND(ISNUMBER(A12),ISNUMBER(C12)),IF(A12&lt;35,1,IF(A12&lt;50,2,IF(A12&lt;65,3,4))),0)</f>
        <v>2</v>
      </c>
      <c r="H12" s="13" t="n">
        <f aca="false">IF(AND(ISNUMBER(A12),ISNUMBER(C12)),1,0)</f>
        <v>1</v>
      </c>
    </row>
    <row r="13" customFormat="false" ht="15" hidden="false" customHeight="false" outlineLevel="0" collapsed="false">
      <c r="A13" s="12" t="n">
        <v>40</v>
      </c>
      <c r="B13" s="12" t="s">
        <v>28</v>
      </c>
      <c r="C13" s="12" t="n">
        <v>127</v>
      </c>
      <c r="D13" s="13" t="n">
        <f aca="false">IF(AND(ISNUMBER(A13),ISNUMBER(C13)),IF(B13="M",1,0),0)</f>
        <v>1</v>
      </c>
      <c r="E13" s="13" t="n">
        <f aca="false">IF(AND(ISNUMBER(A13),ISNUMBER(C13)),A13,0)</f>
        <v>40</v>
      </c>
      <c r="F13" s="13" t="n">
        <f aca="false">IF(AND(ISNUMBER(A13),ISNUMBER(C13)),C13,0)</f>
        <v>127</v>
      </c>
      <c r="G13" s="13" t="n">
        <f aca="false">IF(AND(ISNUMBER(A13),ISNUMBER(C13)),IF(A13&lt;35,1,IF(A13&lt;50,2,IF(A13&lt;65,3,4))),0)</f>
        <v>2</v>
      </c>
      <c r="H13" s="13" t="n">
        <f aca="false">IF(AND(ISNUMBER(A13),ISNUMBER(C13)),1,0)</f>
        <v>1</v>
      </c>
    </row>
    <row r="14" customFormat="false" ht="15" hidden="false" customHeight="false" outlineLevel="0" collapsed="false">
      <c r="A14" s="12" t="n">
        <v>40</v>
      </c>
      <c r="B14" s="12" t="s">
        <v>27</v>
      </c>
      <c r="C14" s="12" t="n">
        <v>123</v>
      </c>
      <c r="D14" s="13" t="n">
        <f aca="false">IF(AND(ISNUMBER(A14),ISNUMBER(C14)),IF(B14="M",1,0),0)</f>
        <v>0</v>
      </c>
      <c r="E14" s="13" t="n">
        <f aca="false">IF(AND(ISNUMBER(A14),ISNUMBER(C14)),A14,0)</f>
        <v>40</v>
      </c>
      <c r="F14" s="13" t="n">
        <f aca="false">IF(AND(ISNUMBER(A14),ISNUMBER(C14)),C14,0)</f>
        <v>123</v>
      </c>
      <c r="G14" s="13" t="n">
        <f aca="false">IF(AND(ISNUMBER(A14),ISNUMBER(C14)),IF(A14&lt;35,1,IF(A14&lt;50,2,IF(A14&lt;65,3,4))),0)</f>
        <v>2</v>
      </c>
      <c r="H14" s="13" t="n">
        <f aca="false">IF(AND(ISNUMBER(A14),ISNUMBER(C14)),1,0)</f>
        <v>1</v>
      </c>
    </row>
    <row r="15" customFormat="false" ht="15" hidden="false" customHeight="false" outlineLevel="0" collapsed="false">
      <c r="A15" s="12" t="n">
        <v>74</v>
      </c>
      <c r="B15" s="12" t="s">
        <v>27</v>
      </c>
      <c r="C15" s="12" t="n">
        <v>146</v>
      </c>
      <c r="D15" s="13" t="n">
        <f aca="false">IF(AND(ISNUMBER(A15),ISNUMBER(C15)),IF(B15="M",1,0),0)</f>
        <v>0</v>
      </c>
      <c r="E15" s="13" t="n">
        <f aca="false">IF(AND(ISNUMBER(A15),ISNUMBER(C15)),A15,0)</f>
        <v>74</v>
      </c>
      <c r="F15" s="13" t="n">
        <f aca="false">IF(AND(ISNUMBER(A15),ISNUMBER(C15)),C15,0)</f>
        <v>146</v>
      </c>
      <c r="G15" s="13" t="n">
        <f aca="false">IF(AND(ISNUMBER(A15),ISNUMBER(C15)),IF(A15&lt;35,1,IF(A15&lt;50,2,IF(A15&lt;65,3,4))),0)</f>
        <v>4</v>
      </c>
      <c r="H15" s="13" t="n">
        <f aca="false">IF(AND(ISNUMBER(A15),ISNUMBER(C15)),1,0)</f>
        <v>1</v>
      </c>
    </row>
    <row r="16" customFormat="false" ht="15" hidden="false" customHeight="false" outlineLevel="0" collapsed="false">
      <c r="A16" s="12" t="n">
        <v>36</v>
      </c>
      <c r="B16" s="12" t="s">
        <v>28</v>
      </c>
      <c r="C16" s="12" t="n">
        <v>128</v>
      </c>
      <c r="D16" s="13" t="n">
        <f aca="false">IF(AND(ISNUMBER(A16),ISNUMBER(C16)),IF(B16="M",1,0),0)</f>
        <v>1</v>
      </c>
      <c r="E16" s="13" t="n">
        <f aca="false">IF(AND(ISNUMBER(A16),ISNUMBER(C16)),A16,0)</f>
        <v>36</v>
      </c>
      <c r="F16" s="13" t="n">
        <f aca="false">IF(AND(ISNUMBER(A16),ISNUMBER(C16)),C16,0)</f>
        <v>128</v>
      </c>
      <c r="G16" s="13" t="n">
        <f aca="false">IF(AND(ISNUMBER(A16),ISNUMBER(C16)),IF(A16&lt;35,1,IF(A16&lt;50,2,IF(A16&lt;65,3,4))),0)</f>
        <v>2</v>
      </c>
      <c r="H16" s="13" t="n">
        <f aca="false">IF(AND(ISNUMBER(A16),ISNUMBER(C16)),1,0)</f>
        <v>1</v>
      </c>
    </row>
    <row r="17" customFormat="false" ht="15" hidden="false" customHeight="false" outlineLevel="0" collapsed="false">
      <c r="A17" s="12" t="n">
        <v>60</v>
      </c>
      <c r="B17" s="12" t="s">
        <v>28</v>
      </c>
      <c r="C17" s="12" t="n">
        <v>139</v>
      </c>
      <c r="D17" s="13" t="n">
        <f aca="false">IF(AND(ISNUMBER(A17),ISNUMBER(C17)),IF(B17="M",1,0),0)</f>
        <v>1</v>
      </c>
      <c r="E17" s="13" t="n">
        <f aca="false">IF(AND(ISNUMBER(A17),ISNUMBER(C17)),A17,0)</f>
        <v>60</v>
      </c>
      <c r="F17" s="13" t="n">
        <f aca="false">IF(AND(ISNUMBER(A17),ISNUMBER(C17)),C17,0)</f>
        <v>139</v>
      </c>
      <c r="G17" s="13" t="n">
        <f aca="false">IF(AND(ISNUMBER(A17),ISNUMBER(C17)),IF(A17&lt;35,1,IF(A17&lt;50,2,IF(A17&lt;65,3,4))),0)</f>
        <v>3</v>
      </c>
      <c r="H17" s="13" t="n">
        <f aca="false">IF(AND(ISNUMBER(A17),ISNUMBER(C17)),1,0)</f>
        <v>1</v>
      </c>
    </row>
    <row r="18" customFormat="false" ht="15" hidden="false" customHeight="false" outlineLevel="0" collapsed="false">
      <c r="A18" s="12" t="n">
        <v>78</v>
      </c>
      <c r="B18" s="12" t="s">
        <v>28</v>
      </c>
      <c r="C18" s="12" t="n">
        <v>138</v>
      </c>
      <c r="D18" s="13" t="n">
        <f aca="false">IF(AND(ISNUMBER(A18),ISNUMBER(C18)),IF(B18="M",1,0),0)</f>
        <v>1</v>
      </c>
      <c r="E18" s="13" t="n">
        <f aca="false">IF(AND(ISNUMBER(A18),ISNUMBER(C18)),A18,0)</f>
        <v>78</v>
      </c>
      <c r="F18" s="13" t="n">
        <f aca="false">IF(AND(ISNUMBER(A18),ISNUMBER(C18)),C18,0)</f>
        <v>138</v>
      </c>
      <c r="G18" s="13" t="n">
        <f aca="false">IF(AND(ISNUMBER(A18),ISNUMBER(C18)),IF(A18&lt;35,1,IF(A18&lt;50,2,IF(A18&lt;65,3,4))),0)</f>
        <v>4</v>
      </c>
      <c r="H18" s="13" t="n">
        <f aca="false">IF(AND(ISNUMBER(A18),ISNUMBER(C18)),1,0)</f>
        <v>1</v>
      </c>
    </row>
    <row r="19" customFormat="false" ht="15" hidden="false" customHeight="false" outlineLevel="0" collapsed="false">
      <c r="A19" s="12" t="n">
        <v>19</v>
      </c>
      <c r="B19" s="12" t="s">
        <v>28</v>
      </c>
      <c r="C19" s="12" t="n">
        <v>119</v>
      </c>
      <c r="D19" s="13" t="n">
        <f aca="false">IF(AND(ISNUMBER(A19),ISNUMBER(C19)),IF(B19="M",1,0),0)</f>
        <v>1</v>
      </c>
      <c r="E19" s="13" t="n">
        <f aca="false">IF(AND(ISNUMBER(A19),ISNUMBER(C19)),A19,0)</f>
        <v>19</v>
      </c>
      <c r="F19" s="13" t="n">
        <f aca="false">IF(AND(ISNUMBER(A19),ISNUMBER(C19)),C19,0)</f>
        <v>119</v>
      </c>
      <c r="G19" s="13" t="n">
        <f aca="false">IF(AND(ISNUMBER(A19),ISNUMBER(C19)),IF(A19&lt;35,1,IF(A19&lt;50,2,IF(A19&lt;65,3,4))),0)</f>
        <v>1</v>
      </c>
      <c r="H19" s="13" t="n">
        <f aca="false">IF(AND(ISNUMBER(A19),ISNUMBER(C19)),1,0)</f>
        <v>1</v>
      </c>
    </row>
    <row r="20" customFormat="false" ht="15" hidden="false" customHeight="false" outlineLevel="0" collapsed="false">
      <c r="A20" s="12" t="n">
        <v>22</v>
      </c>
      <c r="B20" s="12" t="s">
        <v>28</v>
      </c>
      <c r="C20" s="12" t="n">
        <v>112</v>
      </c>
      <c r="D20" s="13" t="n">
        <f aca="false">IF(AND(ISNUMBER(A20),ISNUMBER(C20)),IF(B20="M",1,0),0)</f>
        <v>1</v>
      </c>
      <c r="E20" s="13" t="n">
        <f aca="false">IF(AND(ISNUMBER(A20),ISNUMBER(C20)),A20,0)</f>
        <v>22</v>
      </c>
      <c r="F20" s="13" t="n">
        <f aca="false">IF(AND(ISNUMBER(A20),ISNUMBER(C20)),C20,0)</f>
        <v>112</v>
      </c>
      <c r="G20" s="13" t="n">
        <f aca="false">IF(AND(ISNUMBER(A20),ISNUMBER(C20)),IF(A20&lt;35,1,IF(A20&lt;50,2,IF(A20&lt;65,3,4))),0)</f>
        <v>1</v>
      </c>
      <c r="H20" s="13" t="n">
        <f aca="false">IF(AND(ISNUMBER(A20),ISNUMBER(C20)),1,0)</f>
        <v>1</v>
      </c>
    </row>
    <row r="21" customFormat="false" ht="15" hidden="false" customHeight="false" outlineLevel="0" collapsed="false">
      <c r="A21" s="12" t="n">
        <v>67</v>
      </c>
      <c r="B21" s="12" t="s">
        <v>27</v>
      </c>
      <c r="C21" s="12" t="n">
        <v>153</v>
      </c>
      <c r="D21" s="13" t="n">
        <f aca="false">IF(AND(ISNUMBER(A21),ISNUMBER(C21)),IF(B21="M",1,0),0)</f>
        <v>0</v>
      </c>
      <c r="E21" s="13" t="n">
        <f aca="false">IF(AND(ISNUMBER(A21),ISNUMBER(C21)),A21,0)</f>
        <v>67</v>
      </c>
      <c r="F21" s="13" t="n">
        <f aca="false">IF(AND(ISNUMBER(A21),ISNUMBER(C21)),C21,0)</f>
        <v>153</v>
      </c>
      <c r="G21" s="13" t="n">
        <f aca="false">IF(AND(ISNUMBER(A21),ISNUMBER(C21)),IF(A21&lt;35,1,IF(A21&lt;50,2,IF(A21&lt;65,3,4))),0)</f>
        <v>4</v>
      </c>
      <c r="H21" s="13" t="n">
        <f aca="false">IF(AND(ISNUMBER(A21),ISNUMBER(C21)),1,0)</f>
        <v>1</v>
      </c>
    </row>
    <row r="22" customFormat="false" ht="15" hidden="false" customHeight="false" outlineLevel="0" collapsed="false">
      <c r="A22" s="12" t="n">
        <v>43</v>
      </c>
      <c r="B22" s="12" t="s">
        <v>27</v>
      </c>
      <c r="C22" s="12" t="n">
        <v>113</v>
      </c>
      <c r="D22" s="13" t="n">
        <f aca="false">IF(AND(ISNUMBER(A22),ISNUMBER(C22)),IF(B22="M",1,0),0)</f>
        <v>0</v>
      </c>
      <c r="E22" s="13" t="n">
        <f aca="false">IF(AND(ISNUMBER(A22),ISNUMBER(C22)),A22,0)</f>
        <v>43</v>
      </c>
      <c r="F22" s="13" t="n">
        <f aca="false">IF(AND(ISNUMBER(A22),ISNUMBER(C22)),C22,0)</f>
        <v>113</v>
      </c>
      <c r="G22" s="13" t="n">
        <f aca="false">IF(AND(ISNUMBER(A22),ISNUMBER(C22)),IF(A22&lt;35,1,IF(A22&lt;50,2,IF(A22&lt;65,3,4))),0)</f>
        <v>2</v>
      </c>
      <c r="H22" s="13" t="n">
        <f aca="false">IF(AND(ISNUMBER(A22),ISNUMBER(C22)),1,0)</f>
        <v>1</v>
      </c>
    </row>
    <row r="23" customFormat="false" ht="15" hidden="false" customHeight="false" outlineLevel="0" collapsed="false">
      <c r="A23" s="12" t="n">
        <v>60</v>
      </c>
      <c r="B23" s="12" t="s">
        <v>28</v>
      </c>
      <c r="C23" s="12" t="n">
        <v>158</v>
      </c>
      <c r="D23" s="13" t="n">
        <f aca="false">IF(AND(ISNUMBER(A23),ISNUMBER(C23)),IF(B23="M",1,0),0)</f>
        <v>1</v>
      </c>
      <c r="E23" s="13" t="n">
        <f aca="false">IF(AND(ISNUMBER(A23),ISNUMBER(C23)),A23,0)</f>
        <v>60</v>
      </c>
      <c r="F23" s="13" t="n">
        <f aca="false">IF(AND(ISNUMBER(A23),ISNUMBER(C23)),C23,0)</f>
        <v>158</v>
      </c>
      <c r="G23" s="13" t="n">
        <f aca="false">IF(AND(ISNUMBER(A23),ISNUMBER(C23)),IF(A23&lt;35,1,IF(A23&lt;50,2,IF(A23&lt;65,3,4))),0)</f>
        <v>3</v>
      </c>
      <c r="H23" s="13" t="n">
        <f aca="false">IF(AND(ISNUMBER(A23),ISNUMBER(C23)),1,0)</f>
        <v>1</v>
      </c>
    </row>
    <row r="24" customFormat="false" ht="15" hidden="false" customHeight="false" outlineLevel="0" collapsed="false">
      <c r="A24" s="12" t="n">
        <v>77</v>
      </c>
      <c r="B24" s="12" t="s">
        <v>28</v>
      </c>
      <c r="C24" s="12" t="n">
        <v>135</v>
      </c>
      <c r="D24" s="13" t="n">
        <f aca="false">IF(AND(ISNUMBER(A24),ISNUMBER(C24)),IF(B24="M",1,0),0)</f>
        <v>1</v>
      </c>
      <c r="E24" s="13" t="n">
        <f aca="false">IF(AND(ISNUMBER(A24),ISNUMBER(C24)),A24,0)</f>
        <v>77</v>
      </c>
      <c r="F24" s="13" t="n">
        <f aca="false">IF(AND(ISNUMBER(A24),ISNUMBER(C24)),C24,0)</f>
        <v>135</v>
      </c>
      <c r="G24" s="13" t="n">
        <f aca="false">IF(AND(ISNUMBER(A24),ISNUMBER(C24)),IF(A24&lt;35,1,IF(A24&lt;50,2,IF(A24&lt;65,3,4))),0)</f>
        <v>4</v>
      </c>
      <c r="H24" s="13" t="n">
        <f aca="false">IF(AND(ISNUMBER(A24),ISNUMBER(C24)),1,0)</f>
        <v>1</v>
      </c>
    </row>
    <row r="25" customFormat="false" ht="15" hidden="false" customHeight="false" outlineLevel="0" collapsed="false">
      <c r="A25" s="12" t="n">
        <v>31</v>
      </c>
      <c r="B25" s="12" t="s">
        <v>27</v>
      </c>
      <c r="C25" s="12" t="n">
        <v>111</v>
      </c>
      <c r="D25" s="13" t="n">
        <f aca="false">IF(AND(ISNUMBER(A25),ISNUMBER(C25)),IF(B25="M",1,0),0)</f>
        <v>0</v>
      </c>
      <c r="E25" s="13" t="n">
        <f aca="false">IF(AND(ISNUMBER(A25),ISNUMBER(C25)),A25,0)</f>
        <v>31</v>
      </c>
      <c r="F25" s="13" t="n">
        <f aca="false">IF(AND(ISNUMBER(A25),ISNUMBER(C25)),C25,0)</f>
        <v>111</v>
      </c>
      <c r="G25" s="13" t="n">
        <f aca="false">IF(AND(ISNUMBER(A25),ISNUMBER(C25)),IF(A25&lt;35,1,IF(A25&lt;50,2,IF(A25&lt;65,3,4))),0)</f>
        <v>1</v>
      </c>
      <c r="H25" s="13" t="n">
        <f aca="false">IF(AND(ISNUMBER(A25),ISNUMBER(C25)),1,0)</f>
        <v>1</v>
      </c>
    </row>
    <row r="26" customFormat="false" ht="15" hidden="false" customHeight="false" outlineLevel="0" collapsed="false">
      <c r="A26" s="12" t="n">
        <v>72</v>
      </c>
      <c r="B26" s="12" t="s">
        <v>27</v>
      </c>
      <c r="C26" s="12" t="n">
        <v>152</v>
      </c>
      <c r="D26" s="13" t="n">
        <f aca="false">IF(AND(ISNUMBER(A26),ISNUMBER(C26)),IF(B26="M",1,0),0)</f>
        <v>0</v>
      </c>
      <c r="E26" s="13" t="n">
        <f aca="false">IF(AND(ISNUMBER(A26),ISNUMBER(C26)),A26,0)</f>
        <v>72</v>
      </c>
      <c r="F26" s="13" t="n">
        <f aca="false">IF(AND(ISNUMBER(A26),ISNUMBER(C26)),C26,0)</f>
        <v>152</v>
      </c>
      <c r="G26" s="13" t="n">
        <f aca="false">IF(AND(ISNUMBER(A26),ISNUMBER(C26)),IF(A26&lt;35,1,IF(A26&lt;50,2,IF(A26&lt;65,3,4))),0)</f>
        <v>4</v>
      </c>
      <c r="H26" s="13" t="n">
        <f aca="false">IF(AND(ISNUMBER(A26),ISNUMBER(C26)),1,0)</f>
        <v>1</v>
      </c>
    </row>
    <row r="27" customFormat="false" ht="15" hidden="false" customHeight="false" outlineLevel="0" collapsed="false">
      <c r="A27" s="12" t="n">
        <v>54</v>
      </c>
      <c r="B27" s="12" t="s">
        <v>27</v>
      </c>
      <c r="C27" s="12" t="n">
        <v>129</v>
      </c>
      <c r="D27" s="13" t="n">
        <f aca="false">IF(AND(ISNUMBER(A27),ISNUMBER(C27)),IF(B27="M",1,0),0)</f>
        <v>0</v>
      </c>
      <c r="E27" s="13" t="n">
        <f aca="false">IF(AND(ISNUMBER(A27),ISNUMBER(C27)),A27,0)</f>
        <v>54</v>
      </c>
      <c r="F27" s="13" t="n">
        <f aca="false">IF(AND(ISNUMBER(A27),ISNUMBER(C27)),C27,0)</f>
        <v>129</v>
      </c>
      <c r="G27" s="13" t="n">
        <f aca="false">IF(AND(ISNUMBER(A27),ISNUMBER(C27)),IF(A27&lt;35,1,IF(A27&lt;50,2,IF(A27&lt;65,3,4))),0)</f>
        <v>3</v>
      </c>
      <c r="H27" s="13" t="n">
        <f aca="false">IF(AND(ISNUMBER(A27),ISNUMBER(C27)),1,0)</f>
        <v>1</v>
      </c>
    </row>
    <row r="28" customFormat="false" ht="15" hidden="false" customHeight="false" outlineLevel="0" collapsed="false">
      <c r="A28" s="12" t="n">
        <v>47</v>
      </c>
      <c r="B28" s="12" t="s">
        <v>27</v>
      </c>
      <c r="C28" s="12" t="n">
        <v>113</v>
      </c>
      <c r="D28" s="13" t="n">
        <f aca="false">IF(AND(ISNUMBER(A28),ISNUMBER(C28)),IF(B28="M",1,0),0)</f>
        <v>0</v>
      </c>
      <c r="E28" s="13" t="n">
        <f aca="false">IF(AND(ISNUMBER(A28),ISNUMBER(C28)),A28,0)</f>
        <v>47</v>
      </c>
      <c r="F28" s="13" t="n">
        <f aca="false">IF(AND(ISNUMBER(A28),ISNUMBER(C28)),C28,0)</f>
        <v>113</v>
      </c>
      <c r="G28" s="13" t="n">
        <f aca="false">IF(AND(ISNUMBER(A28),ISNUMBER(C28)),IF(A28&lt;35,1,IF(A28&lt;50,2,IF(A28&lt;65,3,4))),0)</f>
        <v>2</v>
      </c>
      <c r="H28" s="13" t="n">
        <f aca="false">IF(AND(ISNUMBER(A28),ISNUMBER(C28)),1,0)</f>
        <v>1</v>
      </c>
    </row>
    <row r="29" customFormat="false" ht="15" hidden="false" customHeight="false" outlineLevel="0" collapsed="false">
      <c r="A29" s="12" t="n">
        <v>69</v>
      </c>
      <c r="B29" s="12" t="s">
        <v>28</v>
      </c>
      <c r="C29" s="12" t="n">
        <v>114</v>
      </c>
      <c r="D29" s="13" t="n">
        <f aca="false">IF(AND(ISNUMBER(A29),ISNUMBER(C29)),IF(B29="M",1,0),0)</f>
        <v>1</v>
      </c>
      <c r="E29" s="13" t="n">
        <f aca="false">IF(AND(ISNUMBER(A29),ISNUMBER(C29)),A29,0)</f>
        <v>69</v>
      </c>
      <c r="F29" s="13" t="n">
        <f aca="false">IF(AND(ISNUMBER(A29),ISNUMBER(C29)),C29,0)</f>
        <v>114</v>
      </c>
      <c r="G29" s="13" t="n">
        <f aca="false">IF(AND(ISNUMBER(A29),ISNUMBER(C29)),IF(A29&lt;35,1,IF(A29&lt;50,2,IF(A29&lt;65,3,4))),0)</f>
        <v>4</v>
      </c>
      <c r="H29" s="13" t="n">
        <f aca="false">IF(AND(ISNUMBER(A29),ISNUMBER(C29)),1,0)</f>
        <v>1</v>
      </c>
    </row>
    <row r="30" customFormat="false" ht="15" hidden="false" customHeight="false" outlineLevel="0" collapsed="false">
      <c r="A30" s="12" t="n">
        <v>21</v>
      </c>
      <c r="B30" s="12" t="s">
        <v>28</v>
      </c>
      <c r="C30" s="12" t="n">
        <v>121</v>
      </c>
      <c r="D30" s="13" t="n">
        <f aca="false">IF(AND(ISNUMBER(A30),ISNUMBER(C30)),IF(B30="M",1,0),0)</f>
        <v>1</v>
      </c>
      <c r="E30" s="13" t="n">
        <f aca="false">IF(AND(ISNUMBER(A30),ISNUMBER(C30)),A30,0)</f>
        <v>21</v>
      </c>
      <c r="F30" s="13" t="n">
        <f aca="false">IF(AND(ISNUMBER(A30),ISNUMBER(C30)),C30,0)</f>
        <v>121</v>
      </c>
      <c r="G30" s="13" t="n">
        <f aca="false">IF(AND(ISNUMBER(A30),ISNUMBER(C30)),IF(A30&lt;35,1,IF(A30&lt;50,2,IF(A30&lt;65,3,4))),0)</f>
        <v>1</v>
      </c>
      <c r="H30" s="13" t="n">
        <f aca="false">IF(AND(ISNUMBER(A30),ISNUMBER(C30)),1,0)</f>
        <v>1</v>
      </c>
    </row>
    <row r="31" customFormat="false" ht="15" hidden="false" customHeight="false" outlineLevel="0" collapsed="false">
      <c r="A31" s="12" t="n">
        <v>42</v>
      </c>
      <c r="B31" s="12" t="s">
        <v>28</v>
      </c>
      <c r="C31" s="12" t="n">
        <v>134</v>
      </c>
      <c r="D31" s="13" t="n">
        <f aca="false">IF(AND(ISNUMBER(A31),ISNUMBER(C31)),IF(B31="M",1,0),0)</f>
        <v>1</v>
      </c>
      <c r="E31" s="13" t="n">
        <f aca="false">IF(AND(ISNUMBER(A31),ISNUMBER(C31)),A31,0)</f>
        <v>42</v>
      </c>
      <c r="F31" s="13" t="n">
        <f aca="false">IF(AND(ISNUMBER(A31),ISNUMBER(C31)),C31,0)</f>
        <v>134</v>
      </c>
      <c r="G31" s="13" t="n">
        <f aca="false">IF(AND(ISNUMBER(A31),ISNUMBER(C31)),IF(A31&lt;35,1,IF(A31&lt;50,2,IF(A31&lt;65,3,4))),0)</f>
        <v>2</v>
      </c>
      <c r="H31" s="13" t="n">
        <f aca="false">IF(AND(ISNUMBER(A31),ISNUMBER(C31)),1,0)</f>
        <v>1</v>
      </c>
    </row>
    <row r="32" customFormat="false" ht="15" hidden="false" customHeight="false" outlineLevel="0" collapsed="false">
      <c r="A32" s="12" t="n">
        <v>69</v>
      </c>
      <c r="B32" s="12" t="s">
        <v>28</v>
      </c>
      <c r="C32" s="12" t="n">
        <v>148</v>
      </c>
      <c r="D32" s="13" t="n">
        <f aca="false">IF(AND(ISNUMBER(A32),ISNUMBER(C32)),IF(B32="M",1,0),0)</f>
        <v>1</v>
      </c>
      <c r="E32" s="13" t="n">
        <f aca="false">IF(AND(ISNUMBER(A32),ISNUMBER(C32)),A32,0)</f>
        <v>69</v>
      </c>
      <c r="F32" s="13" t="n">
        <f aca="false">IF(AND(ISNUMBER(A32),ISNUMBER(C32)),C32,0)</f>
        <v>148</v>
      </c>
      <c r="G32" s="13" t="n">
        <f aca="false">IF(AND(ISNUMBER(A32),ISNUMBER(C32)),IF(A32&lt;35,1,IF(A32&lt;50,2,IF(A32&lt;65,3,4))),0)</f>
        <v>4</v>
      </c>
      <c r="H32" s="13" t="n">
        <f aca="false">IF(AND(ISNUMBER(A32),ISNUMBER(C32)),1,0)</f>
        <v>1</v>
      </c>
    </row>
    <row r="33" customFormat="false" ht="15" hidden="false" customHeight="false" outlineLevel="0" collapsed="false">
      <c r="A33" s="12" t="n">
        <v>21</v>
      </c>
      <c r="B33" s="12" t="s">
        <v>28</v>
      </c>
      <c r="C33" s="12" t="n">
        <v>109</v>
      </c>
      <c r="D33" s="13" t="n">
        <f aca="false">IF(AND(ISNUMBER(A33),ISNUMBER(C33)),IF(B33="M",1,0),0)</f>
        <v>1</v>
      </c>
      <c r="E33" s="13" t="n">
        <f aca="false">IF(AND(ISNUMBER(A33),ISNUMBER(C33)),A33,0)</f>
        <v>21</v>
      </c>
      <c r="F33" s="13" t="n">
        <f aca="false">IF(AND(ISNUMBER(A33),ISNUMBER(C33)),C33,0)</f>
        <v>109</v>
      </c>
      <c r="G33" s="13" t="n">
        <f aca="false">IF(AND(ISNUMBER(A33),ISNUMBER(C33)),IF(A33&lt;35,1,IF(A33&lt;50,2,IF(A33&lt;65,3,4))),0)</f>
        <v>1</v>
      </c>
      <c r="H33" s="13" t="n">
        <f aca="false">IF(AND(ISNUMBER(A33),ISNUMBER(C33)),1,0)</f>
        <v>1</v>
      </c>
    </row>
    <row r="34" customFormat="false" ht="15" hidden="false" customHeight="false" outlineLevel="0" collapsed="false">
      <c r="A34" s="12" t="n">
        <v>74</v>
      </c>
      <c r="B34" s="12" t="s">
        <v>28</v>
      </c>
      <c r="C34" s="12" t="n">
        <v>126</v>
      </c>
      <c r="D34" s="13" t="n">
        <f aca="false">IF(AND(ISNUMBER(A34),ISNUMBER(C34)),IF(B34="M",1,0),0)</f>
        <v>1</v>
      </c>
      <c r="E34" s="13" t="n">
        <f aca="false">IF(AND(ISNUMBER(A34),ISNUMBER(C34)),A34,0)</f>
        <v>74</v>
      </c>
      <c r="F34" s="13" t="n">
        <f aca="false">IF(AND(ISNUMBER(A34),ISNUMBER(C34)),C34,0)</f>
        <v>126</v>
      </c>
      <c r="G34" s="13" t="n">
        <f aca="false">IF(AND(ISNUMBER(A34),ISNUMBER(C34)),IF(A34&lt;35,1,IF(A34&lt;50,2,IF(A34&lt;65,3,4))),0)</f>
        <v>4</v>
      </c>
      <c r="H34" s="13" t="n">
        <f aca="false">IF(AND(ISNUMBER(A34),ISNUMBER(C34)),1,0)</f>
        <v>1</v>
      </c>
    </row>
    <row r="35" customFormat="false" ht="15" hidden="false" customHeight="false" outlineLevel="0" collapsed="false">
      <c r="A35" s="12" t="n">
        <v>37</v>
      </c>
      <c r="B35" s="12" t="s">
        <v>28</v>
      </c>
      <c r="C35" s="12" t="n">
        <v>106</v>
      </c>
      <c r="D35" s="13" t="n">
        <f aca="false">IF(AND(ISNUMBER(A35),ISNUMBER(C35)),IF(B35="M",1,0),0)</f>
        <v>1</v>
      </c>
      <c r="E35" s="13" t="n">
        <f aca="false">IF(AND(ISNUMBER(A35),ISNUMBER(C35)),A35,0)</f>
        <v>37</v>
      </c>
      <c r="F35" s="13" t="n">
        <f aca="false">IF(AND(ISNUMBER(A35),ISNUMBER(C35)),C35,0)</f>
        <v>106</v>
      </c>
      <c r="G35" s="13" t="n">
        <f aca="false">IF(AND(ISNUMBER(A35),ISNUMBER(C35)),IF(A35&lt;35,1,IF(A35&lt;50,2,IF(A35&lt;65,3,4))),0)</f>
        <v>2</v>
      </c>
      <c r="H35" s="13" t="n">
        <f aca="false">IF(AND(ISNUMBER(A35),ISNUMBER(C35)),1,0)</f>
        <v>1</v>
      </c>
    </row>
    <row r="36" customFormat="false" ht="15" hidden="false" customHeight="false" outlineLevel="0" collapsed="false">
      <c r="A36" s="12" t="n">
        <v>36</v>
      </c>
      <c r="B36" s="12" t="s">
        <v>28</v>
      </c>
      <c r="C36" s="12" t="n">
        <v>127</v>
      </c>
      <c r="D36" s="13" t="n">
        <f aca="false">IF(AND(ISNUMBER(A36),ISNUMBER(C36)),IF(B36="M",1,0),0)</f>
        <v>1</v>
      </c>
      <c r="E36" s="13" t="n">
        <f aca="false">IF(AND(ISNUMBER(A36),ISNUMBER(C36)),A36,0)</f>
        <v>36</v>
      </c>
      <c r="F36" s="13" t="n">
        <f aca="false">IF(AND(ISNUMBER(A36),ISNUMBER(C36)),C36,0)</f>
        <v>127</v>
      </c>
      <c r="G36" s="13" t="n">
        <f aca="false">IF(AND(ISNUMBER(A36),ISNUMBER(C36)),IF(A36&lt;35,1,IF(A36&lt;50,2,IF(A36&lt;65,3,4))),0)</f>
        <v>2</v>
      </c>
      <c r="H36" s="13" t="n">
        <f aca="false">IF(AND(ISNUMBER(A36),ISNUMBER(C36)),1,0)</f>
        <v>1</v>
      </c>
    </row>
    <row r="37" customFormat="false" ht="15" hidden="false" customHeight="false" outlineLevel="0" collapsed="false">
      <c r="A37" s="12" t="n">
        <v>59</v>
      </c>
      <c r="B37" s="12" t="s">
        <v>27</v>
      </c>
      <c r="C37" s="12" t="n">
        <v>133</v>
      </c>
      <c r="D37" s="13" t="n">
        <f aca="false">IF(AND(ISNUMBER(A37),ISNUMBER(C37)),IF(B37="M",1,0),0)</f>
        <v>0</v>
      </c>
      <c r="E37" s="13" t="n">
        <f aca="false">IF(AND(ISNUMBER(A37),ISNUMBER(C37)),A37,0)</f>
        <v>59</v>
      </c>
      <c r="F37" s="13" t="n">
        <f aca="false">IF(AND(ISNUMBER(A37),ISNUMBER(C37)),C37,0)</f>
        <v>133</v>
      </c>
      <c r="G37" s="13" t="n">
        <f aca="false">IF(AND(ISNUMBER(A37),ISNUMBER(C37)),IF(A37&lt;35,1,IF(A37&lt;50,2,IF(A37&lt;65,3,4))),0)</f>
        <v>3</v>
      </c>
      <c r="H37" s="13" t="n">
        <f aca="false">IF(AND(ISNUMBER(A37),ISNUMBER(C37)),1,0)</f>
        <v>1</v>
      </c>
    </row>
    <row r="38" customFormat="false" ht="15" hidden="false" customHeight="false" outlineLevel="0" collapsed="false">
      <c r="A38" s="12" t="n">
        <v>18</v>
      </c>
      <c r="B38" s="12" t="s">
        <v>28</v>
      </c>
      <c r="C38" s="12" t="n">
        <v>114</v>
      </c>
      <c r="D38" s="13" t="n">
        <f aca="false">IF(AND(ISNUMBER(A38),ISNUMBER(C38)),IF(B38="M",1,0),0)</f>
        <v>1</v>
      </c>
      <c r="E38" s="13" t="n">
        <f aca="false">IF(AND(ISNUMBER(A38),ISNUMBER(C38)),A38,0)</f>
        <v>18</v>
      </c>
      <c r="F38" s="13" t="n">
        <f aca="false">IF(AND(ISNUMBER(A38),ISNUMBER(C38)),C38,0)</f>
        <v>114</v>
      </c>
      <c r="G38" s="13" t="n">
        <f aca="false">IF(AND(ISNUMBER(A38),ISNUMBER(C38)),IF(A38&lt;35,1,IF(A38&lt;50,2,IF(A38&lt;65,3,4))),0)</f>
        <v>1</v>
      </c>
      <c r="H38" s="13" t="n">
        <f aca="false">IF(AND(ISNUMBER(A38),ISNUMBER(C38)),1,0)</f>
        <v>1</v>
      </c>
    </row>
    <row r="39" customFormat="false" ht="15" hidden="false" customHeight="false" outlineLevel="0" collapsed="false">
      <c r="A39" s="12" t="n">
        <v>72</v>
      </c>
      <c r="B39" s="12" t="s">
        <v>28</v>
      </c>
      <c r="C39" s="12" t="n">
        <v>143</v>
      </c>
      <c r="D39" s="13" t="n">
        <f aca="false">IF(AND(ISNUMBER(A39),ISNUMBER(C39)),IF(B39="M",1,0),0)</f>
        <v>1</v>
      </c>
      <c r="E39" s="13" t="n">
        <f aca="false">IF(AND(ISNUMBER(A39),ISNUMBER(C39)),A39,0)</f>
        <v>72</v>
      </c>
      <c r="F39" s="13" t="n">
        <f aca="false">IF(AND(ISNUMBER(A39),ISNUMBER(C39)),C39,0)</f>
        <v>143</v>
      </c>
      <c r="G39" s="13" t="n">
        <f aca="false">IF(AND(ISNUMBER(A39),ISNUMBER(C39)),IF(A39&lt;35,1,IF(A39&lt;50,2,IF(A39&lt;65,3,4))),0)</f>
        <v>4</v>
      </c>
      <c r="H39" s="13" t="n">
        <f aca="false">IF(AND(ISNUMBER(A39),ISNUMBER(C39)),1,0)</f>
        <v>1</v>
      </c>
    </row>
    <row r="40" customFormat="false" ht="15" hidden="false" customHeight="false" outlineLevel="0" collapsed="false">
      <c r="A40" s="12" t="n">
        <v>74</v>
      </c>
      <c r="B40" s="12" t="s">
        <v>27</v>
      </c>
      <c r="C40" s="12" t="n">
        <v>124</v>
      </c>
      <c r="D40" s="13" t="n">
        <f aca="false">IF(AND(ISNUMBER(A40),ISNUMBER(C40)),IF(B40="M",1,0),0)</f>
        <v>0</v>
      </c>
      <c r="E40" s="13" t="n">
        <f aca="false">IF(AND(ISNUMBER(A40),ISNUMBER(C40)),A40,0)</f>
        <v>74</v>
      </c>
      <c r="F40" s="13" t="n">
        <f aca="false">IF(AND(ISNUMBER(A40),ISNUMBER(C40)),C40,0)</f>
        <v>124</v>
      </c>
      <c r="G40" s="13" t="n">
        <f aca="false">IF(AND(ISNUMBER(A40),ISNUMBER(C40)),IF(A40&lt;35,1,IF(A40&lt;50,2,IF(A40&lt;65,3,4))),0)</f>
        <v>4</v>
      </c>
      <c r="H40" s="13" t="n">
        <f aca="false">IF(AND(ISNUMBER(A40),ISNUMBER(C40)),1,0)</f>
        <v>1</v>
      </c>
    </row>
    <row r="41" customFormat="false" ht="15" hidden="false" customHeight="false" outlineLevel="0" collapsed="false">
      <c r="A41" s="12" t="n">
        <v>44</v>
      </c>
      <c r="B41" s="12" t="s">
        <v>28</v>
      </c>
      <c r="C41" s="12" t="n">
        <v>137</v>
      </c>
      <c r="D41" s="13" t="n">
        <f aca="false">IF(AND(ISNUMBER(A41),ISNUMBER(C41)),IF(B41="M",1,0),0)</f>
        <v>1</v>
      </c>
      <c r="E41" s="13" t="n">
        <f aca="false">IF(AND(ISNUMBER(A41),ISNUMBER(C41)),A41,0)</f>
        <v>44</v>
      </c>
      <c r="F41" s="13" t="n">
        <f aca="false">IF(AND(ISNUMBER(A41),ISNUMBER(C41)),C41,0)</f>
        <v>137</v>
      </c>
      <c r="G41" s="13" t="n">
        <f aca="false">IF(AND(ISNUMBER(A41),ISNUMBER(C41)),IF(A41&lt;35,1,IF(A41&lt;50,2,IF(A41&lt;65,3,4))),0)</f>
        <v>2</v>
      </c>
      <c r="H41" s="13" t="n">
        <f aca="false">IF(AND(ISNUMBER(A41),ISNUMBER(C41)),1,0)</f>
        <v>1</v>
      </c>
    </row>
    <row r="42" customFormat="false" ht="15" hidden="false" customHeight="false" outlineLevel="0" collapsed="false">
      <c r="A42" s="12" t="n">
        <v>56</v>
      </c>
      <c r="B42" s="12" t="s">
        <v>27</v>
      </c>
      <c r="C42" s="12" t="n">
        <v>113</v>
      </c>
      <c r="D42" s="13" t="n">
        <f aca="false">IF(AND(ISNUMBER(A42),ISNUMBER(C42)),IF(B42="M",1,0),0)</f>
        <v>0</v>
      </c>
      <c r="E42" s="13" t="n">
        <f aca="false">IF(AND(ISNUMBER(A42),ISNUMBER(C42)),A42,0)</f>
        <v>56</v>
      </c>
      <c r="F42" s="13" t="n">
        <f aca="false">IF(AND(ISNUMBER(A42),ISNUMBER(C42)),C42,0)</f>
        <v>113</v>
      </c>
      <c r="G42" s="13" t="n">
        <f aca="false">IF(AND(ISNUMBER(A42),ISNUMBER(C42)),IF(A42&lt;35,1,IF(A42&lt;50,2,IF(A42&lt;65,3,4))),0)</f>
        <v>3</v>
      </c>
      <c r="H42" s="13" t="n">
        <f aca="false">IF(AND(ISNUMBER(A42),ISNUMBER(C42)),1,0)</f>
        <v>1</v>
      </c>
    </row>
    <row r="43" customFormat="false" ht="15" hidden="false" customHeight="false" outlineLevel="0" collapsed="false">
      <c r="A43" s="12" t="n">
        <v>46</v>
      </c>
      <c r="B43" s="12" t="s">
        <v>27</v>
      </c>
      <c r="C43" s="12" t="n">
        <v>140</v>
      </c>
      <c r="D43" s="13" t="n">
        <f aca="false">IF(AND(ISNUMBER(A43),ISNUMBER(C43)),IF(B43="M",1,0),0)</f>
        <v>0</v>
      </c>
      <c r="E43" s="13" t="n">
        <f aca="false">IF(AND(ISNUMBER(A43),ISNUMBER(C43)),A43,0)</f>
        <v>46</v>
      </c>
      <c r="F43" s="13" t="n">
        <f aca="false">IF(AND(ISNUMBER(A43),ISNUMBER(C43)),C43,0)</f>
        <v>140</v>
      </c>
      <c r="G43" s="13" t="n">
        <f aca="false">IF(AND(ISNUMBER(A43),ISNUMBER(C43)),IF(A43&lt;35,1,IF(A43&lt;50,2,IF(A43&lt;65,3,4))),0)</f>
        <v>2</v>
      </c>
      <c r="H43" s="13" t="n">
        <f aca="false">IF(AND(ISNUMBER(A43),ISNUMBER(C43)),1,0)</f>
        <v>1</v>
      </c>
    </row>
    <row r="44" customFormat="false" ht="15" hidden="false" customHeight="false" outlineLevel="0" collapsed="false">
      <c r="A44" s="12" t="n">
        <v>44</v>
      </c>
      <c r="B44" s="12" t="s">
        <v>28</v>
      </c>
      <c r="C44" s="12" t="n">
        <v>130</v>
      </c>
      <c r="D44" s="13" t="n">
        <f aca="false">IF(AND(ISNUMBER(A44),ISNUMBER(C44)),IF(B44="M",1,0),0)</f>
        <v>1</v>
      </c>
      <c r="E44" s="13" t="n">
        <f aca="false">IF(AND(ISNUMBER(A44),ISNUMBER(C44)),A44,0)</f>
        <v>44</v>
      </c>
      <c r="F44" s="13" t="n">
        <f aca="false">IF(AND(ISNUMBER(A44),ISNUMBER(C44)),C44,0)</f>
        <v>130</v>
      </c>
      <c r="G44" s="13" t="n">
        <f aca="false">IF(AND(ISNUMBER(A44),ISNUMBER(C44)),IF(A44&lt;35,1,IF(A44&lt;50,2,IF(A44&lt;65,3,4))),0)</f>
        <v>2</v>
      </c>
      <c r="H44" s="13" t="n">
        <f aca="false">IF(AND(ISNUMBER(A44),ISNUMBER(C44)),1,0)</f>
        <v>1</v>
      </c>
    </row>
    <row r="45" customFormat="false" ht="15" hidden="false" customHeight="false" outlineLevel="0" collapsed="false">
      <c r="A45" s="12" t="n">
        <v>73</v>
      </c>
      <c r="B45" s="12" t="s">
        <v>27</v>
      </c>
      <c r="C45" s="12" t="n">
        <v>120</v>
      </c>
      <c r="D45" s="13" t="n">
        <f aca="false">IF(AND(ISNUMBER(A45),ISNUMBER(C45)),IF(B45="M",1,0),0)</f>
        <v>0</v>
      </c>
      <c r="E45" s="13" t="n">
        <f aca="false">IF(AND(ISNUMBER(A45),ISNUMBER(C45)),A45,0)</f>
        <v>73</v>
      </c>
      <c r="F45" s="13" t="n">
        <f aca="false">IF(AND(ISNUMBER(A45),ISNUMBER(C45)),C45,0)</f>
        <v>120</v>
      </c>
      <c r="G45" s="13" t="n">
        <f aca="false">IF(AND(ISNUMBER(A45),ISNUMBER(C45)),IF(A45&lt;35,1,IF(A45&lt;50,2,IF(A45&lt;65,3,4))),0)</f>
        <v>4</v>
      </c>
      <c r="H45" s="13" t="n">
        <f aca="false">IF(AND(ISNUMBER(A45),ISNUMBER(C45)),1,0)</f>
        <v>1</v>
      </c>
    </row>
    <row r="46" customFormat="false" ht="15" hidden="false" customHeight="false" outlineLevel="0" collapsed="false">
      <c r="A46" s="12" t="n">
        <v>27</v>
      </c>
      <c r="B46" s="12" t="s">
        <v>28</v>
      </c>
      <c r="C46" s="12" t="n">
        <v>131</v>
      </c>
      <c r="D46" s="13" t="n">
        <f aca="false">IF(AND(ISNUMBER(A46),ISNUMBER(C46)),IF(B46="M",1,0),0)</f>
        <v>1</v>
      </c>
      <c r="E46" s="13" t="n">
        <f aca="false">IF(AND(ISNUMBER(A46),ISNUMBER(C46)),A46,0)</f>
        <v>27</v>
      </c>
      <c r="F46" s="13" t="n">
        <f aca="false">IF(AND(ISNUMBER(A46),ISNUMBER(C46)),C46,0)</f>
        <v>131</v>
      </c>
      <c r="G46" s="13" t="n">
        <f aca="false">IF(AND(ISNUMBER(A46),ISNUMBER(C46)),IF(A46&lt;35,1,IF(A46&lt;50,2,IF(A46&lt;65,3,4))),0)</f>
        <v>1</v>
      </c>
      <c r="H46" s="13" t="n">
        <f aca="false">IF(AND(ISNUMBER(A46),ISNUMBER(C46)),1,0)</f>
        <v>1</v>
      </c>
    </row>
    <row r="47" customFormat="false" ht="15" hidden="false" customHeight="false" outlineLevel="0" collapsed="false">
      <c r="A47" s="12" t="n">
        <v>25</v>
      </c>
      <c r="B47" s="12" t="s">
        <v>27</v>
      </c>
      <c r="C47" s="12" t="n">
        <v>112</v>
      </c>
      <c r="D47" s="13" t="n">
        <f aca="false">IF(AND(ISNUMBER(A47),ISNUMBER(C47)),IF(B47="M",1,0),0)</f>
        <v>0</v>
      </c>
      <c r="E47" s="13" t="n">
        <f aca="false">IF(AND(ISNUMBER(A47),ISNUMBER(C47)),A47,0)</f>
        <v>25</v>
      </c>
      <c r="F47" s="13" t="n">
        <f aca="false">IF(AND(ISNUMBER(A47),ISNUMBER(C47)),C47,0)</f>
        <v>112</v>
      </c>
      <c r="G47" s="13" t="n">
        <f aca="false">IF(AND(ISNUMBER(A47),ISNUMBER(C47)),IF(A47&lt;35,1,IF(A47&lt;50,2,IF(A47&lt;65,3,4))),0)</f>
        <v>1</v>
      </c>
      <c r="H47" s="13" t="n">
        <f aca="false">IF(AND(ISNUMBER(A47),ISNUMBER(C47)),1,0)</f>
        <v>1</v>
      </c>
    </row>
    <row r="48" customFormat="false" ht="15" hidden="false" customHeight="false" outlineLevel="0" collapsed="false">
      <c r="A48" s="12" t="n">
        <v>61</v>
      </c>
      <c r="B48" s="12" t="s">
        <v>28</v>
      </c>
      <c r="C48" s="12" t="n">
        <v>137</v>
      </c>
      <c r="D48" s="13" t="n">
        <f aca="false">IF(AND(ISNUMBER(A48),ISNUMBER(C48)),IF(B48="M",1,0),0)</f>
        <v>1</v>
      </c>
      <c r="E48" s="13" t="n">
        <f aca="false">IF(AND(ISNUMBER(A48),ISNUMBER(C48)),A48,0)</f>
        <v>61</v>
      </c>
      <c r="F48" s="13" t="n">
        <f aca="false">IF(AND(ISNUMBER(A48),ISNUMBER(C48)),C48,0)</f>
        <v>137</v>
      </c>
      <c r="G48" s="13" t="n">
        <f aca="false">IF(AND(ISNUMBER(A48),ISNUMBER(C48)),IF(A48&lt;35,1,IF(A48&lt;50,2,IF(A48&lt;65,3,4))),0)</f>
        <v>3</v>
      </c>
      <c r="H48" s="13" t="n">
        <f aca="false">IF(AND(ISNUMBER(A48),ISNUMBER(C48)),1,0)</f>
        <v>1</v>
      </c>
    </row>
    <row r="49" customFormat="false" ht="15" hidden="false" customHeight="false" outlineLevel="0" collapsed="false">
      <c r="A49" s="12" t="n">
        <v>80</v>
      </c>
      <c r="B49" s="12" t="s">
        <v>28</v>
      </c>
      <c r="C49" s="12" t="n">
        <v>170</v>
      </c>
      <c r="D49" s="13" t="n">
        <f aca="false">IF(AND(ISNUMBER(A49),ISNUMBER(C49)),IF(B49="M",1,0),0)</f>
        <v>1</v>
      </c>
      <c r="E49" s="13" t="n">
        <f aca="false">IF(AND(ISNUMBER(A49),ISNUMBER(C49)),A49,0)</f>
        <v>80</v>
      </c>
      <c r="F49" s="13" t="n">
        <f aca="false">IF(AND(ISNUMBER(A49),ISNUMBER(C49)),C49,0)</f>
        <v>170</v>
      </c>
      <c r="G49" s="13" t="n">
        <f aca="false">IF(AND(ISNUMBER(A49),ISNUMBER(C49)),IF(A49&lt;35,1,IF(A49&lt;50,2,IF(A49&lt;65,3,4))),0)</f>
        <v>4</v>
      </c>
      <c r="H49" s="13" t="n">
        <f aca="false">IF(AND(ISNUMBER(A49),ISNUMBER(C49)),1,0)</f>
        <v>1</v>
      </c>
    </row>
    <row r="50" customFormat="false" ht="15" hidden="false" customHeight="false" outlineLevel="0" collapsed="false">
      <c r="A50" s="12" t="n">
        <v>55</v>
      </c>
      <c r="B50" s="12" t="s">
        <v>27</v>
      </c>
      <c r="C50" s="12" t="n">
        <v>133</v>
      </c>
      <c r="D50" s="13" t="n">
        <f aca="false">IF(AND(ISNUMBER(A50),ISNUMBER(C50)),IF(B50="M",1,0),0)</f>
        <v>0</v>
      </c>
      <c r="E50" s="13" t="n">
        <f aca="false">IF(AND(ISNUMBER(A50),ISNUMBER(C50)),A50,0)</f>
        <v>55</v>
      </c>
      <c r="F50" s="13" t="n">
        <f aca="false">IF(AND(ISNUMBER(A50),ISNUMBER(C50)),C50,0)</f>
        <v>133</v>
      </c>
      <c r="G50" s="13" t="n">
        <f aca="false">IF(AND(ISNUMBER(A50),ISNUMBER(C50)),IF(A50&lt;35,1,IF(A50&lt;50,2,IF(A50&lt;65,3,4))),0)</f>
        <v>3</v>
      </c>
      <c r="H50" s="13" t="n">
        <f aca="false">IF(AND(ISNUMBER(A50),ISNUMBER(C50)),1,0)</f>
        <v>1</v>
      </c>
    </row>
    <row r="51" customFormat="false" ht="15" hidden="false" customHeight="false" outlineLevel="0" collapsed="false">
      <c r="A51" s="12" t="n">
        <v>29</v>
      </c>
      <c r="B51" s="12" t="s">
        <v>27</v>
      </c>
      <c r="C51" s="12" t="n">
        <v>116</v>
      </c>
      <c r="D51" s="13" t="n">
        <f aca="false">IF(AND(ISNUMBER(A51),ISNUMBER(C51)),IF(B51="M",1,0),0)</f>
        <v>0</v>
      </c>
      <c r="E51" s="13" t="n">
        <f aca="false">IF(AND(ISNUMBER(A51),ISNUMBER(C51)),A51,0)</f>
        <v>29</v>
      </c>
      <c r="F51" s="13" t="n">
        <f aca="false">IF(AND(ISNUMBER(A51),ISNUMBER(C51)),C51,0)</f>
        <v>116</v>
      </c>
      <c r="G51" s="13" t="n">
        <f aca="false">IF(AND(ISNUMBER(A51),ISNUMBER(C51)),IF(A51&lt;35,1,IF(A51&lt;50,2,IF(A51&lt;65,3,4))),0)</f>
        <v>1</v>
      </c>
      <c r="H51" s="13" t="n">
        <f aca="false">IF(AND(ISNUMBER(A51),ISNUMBER(C51)),1,0)</f>
        <v>1</v>
      </c>
    </row>
    <row r="52" customFormat="false" ht="15" hidden="false" customHeight="false" outlineLevel="0" collapsed="false">
      <c r="A52" s="12" t="n">
        <v>76</v>
      </c>
      <c r="B52" s="12" t="s">
        <v>28</v>
      </c>
      <c r="C52" s="12" t="n">
        <v>145</v>
      </c>
      <c r="D52" s="13" t="n">
        <f aca="false">IF(AND(ISNUMBER(A52),ISNUMBER(C52)),IF(B52="M",1,0),0)</f>
        <v>1</v>
      </c>
      <c r="E52" s="13" t="n">
        <f aca="false">IF(AND(ISNUMBER(A52),ISNUMBER(C52)),A52,0)</f>
        <v>76</v>
      </c>
      <c r="F52" s="13" t="n">
        <f aca="false">IF(AND(ISNUMBER(A52),ISNUMBER(C52)),C52,0)</f>
        <v>145</v>
      </c>
      <c r="G52" s="13" t="n">
        <f aca="false">IF(AND(ISNUMBER(A52),ISNUMBER(C52)),IF(A52&lt;35,1,IF(A52&lt;50,2,IF(A52&lt;65,3,4))),0)</f>
        <v>4</v>
      </c>
      <c r="H52" s="13" t="n">
        <f aca="false">IF(AND(ISNUMBER(A52),ISNUMBER(C52)),1,0)</f>
        <v>1</v>
      </c>
    </row>
    <row r="53" customFormat="false" ht="15" hidden="false" customHeight="false" outlineLevel="0" collapsed="false">
      <c r="A53" s="12" t="n">
        <v>27</v>
      </c>
      <c r="B53" s="12" t="s">
        <v>27</v>
      </c>
      <c r="C53" s="12" t="n">
        <v>126</v>
      </c>
      <c r="D53" s="13" t="n">
        <f aca="false">IF(AND(ISNUMBER(A53),ISNUMBER(C53)),IF(B53="M",1,0),0)</f>
        <v>0</v>
      </c>
      <c r="E53" s="13" t="n">
        <f aca="false">IF(AND(ISNUMBER(A53),ISNUMBER(C53)),A53,0)</f>
        <v>27</v>
      </c>
      <c r="F53" s="13" t="n">
        <f aca="false">IF(AND(ISNUMBER(A53),ISNUMBER(C53)),C53,0)</f>
        <v>126</v>
      </c>
      <c r="G53" s="13" t="n">
        <f aca="false">IF(AND(ISNUMBER(A53),ISNUMBER(C53)),IF(A53&lt;35,1,IF(A53&lt;50,2,IF(A53&lt;65,3,4))),0)</f>
        <v>1</v>
      </c>
      <c r="H53" s="13" t="n">
        <f aca="false">IF(AND(ISNUMBER(A53),ISNUMBER(C53)),1,0)</f>
        <v>1</v>
      </c>
    </row>
    <row r="54" customFormat="false" ht="15" hidden="false" customHeight="false" outlineLevel="0" collapsed="false">
      <c r="A54" s="12" t="n">
        <v>63</v>
      </c>
      <c r="B54" s="12" t="s">
        <v>28</v>
      </c>
      <c r="C54" s="12" t="n">
        <v>141</v>
      </c>
      <c r="D54" s="13" t="n">
        <f aca="false">IF(AND(ISNUMBER(A54),ISNUMBER(C54)),IF(B54="M",1,0),0)</f>
        <v>1</v>
      </c>
      <c r="E54" s="13" t="n">
        <f aca="false">IF(AND(ISNUMBER(A54),ISNUMBER(C54)),A54,0)</f>
        <v>63</v>
      </c>
      <c r="F54" s="13" t="n">
        <f aca="false">IF(AND(ISNUMBER(A54),ISNUMBER(C54)),C54,0)</f>
        <v>141</v>
      </c>
      <c r="G54" s="13" t="n">
        <f aca="false">IF(AND(ISNUMBER(A54),ISNUMBER(C54)),IF(A54&lt;35,1,IF(A54&lt;50,2,IF(A54&lt;65,3,4))),0)</f>
        <v>3</v>
      </c>
      <c r="H54" s="13" t="n">
        <f aca="false">IF(AND(ISNUMBER(A54),ISNUMBER(C54)),1,0)</f>
        <v>1</v>
      </c>
    </row>
    <row r="55" customFormat="false" ht="15" hidden="false" customHeight="false" outlineLevel="0" collapsed="false">
      <c r="A55" s="12" t="n">
        <v>21</v>
      </c>
      <c r="B55" s="12" t="s">
        <v>28</v>
      </c>
      <c r="C55" s="12" t="n">
        <v>107</v>
      </c>
      <c r="D55" s="13" t="n">
        <f aca="false">IF(AND(ISNUMBER(A55),ISNUMBER(C55)),IF(B55="M",1,0),0)</f>
        <v>1</v>
      </c>
      <c r="E55" s="13" t="n">
        <f aca="false">IF(AND(ISNUMBER(A55),ISNUMBER(C55)),A55,0)</f>
        <v>21</v>
      </c>
      <c r="F55" s="13" t="n">
        <f aca="false">IF(AND(ISNUMBER(A55),ISNUMBER(C55)),C55,0)</f>
        <v>107</v>
      </c>
      <c r="G55" s="13" t="n">
        <f aca="false">IF(AND(ISNUMBER(A55),ISNUMBER(C55)),IF(A55&lt;35,1,IF(A55&lt;50,2,IF(A55&lt;65,3,4))),0)</f>
        <v>1</v>
      </c>
      <c r="H55" s="13" t="n">
        <f aca="false">IF(AND(ISNUMBER(A55),ISNUMBER(C55)),1,0)</f>
        <v>1</v>
      </c>
    </row>
    <row r="56" customFormat="false" ht="15" hidden="false" customHeight="false" outlineLevel="0" collapsed="false">
      <c r="A56" s="12" t="n">
        <v>78</v>
      </c>
      <c r="B56" s="12" t="s">
        <v>28</v>
      </c>
      <c r="C56" s="12" t="n">
        <v>153</v>
      </c>
      <c r="D56" s="13" t="n">
        <f aca="false">IF(AND(ISNUMBER(A56),ISNUMBER(C56)),IF(B56="M",1,0),0)</f>
        <v>1</v>
      </c>
      <c r="E56" s="13" t="n">
        <f aca="false">IF(AND(ISNUMBER(A56),ISNUMBER(C56)),A56,0)</f>
        <v>78</v>
      </c>
      <c r="F56" s="13" t="n">
        <f aca="false">IF(AND(ISNUMBER(A56),ISNUMBER(C56)),C56,0)</f>
        <v>153</v>
      </c>
      <c r="G56" s="13" t="n">
        <f aca="false">IF(AND(ISNUMBER(A56),ISNUMBER(C56)),IF(A56&lt;35,1,IF(A56&lt;50,2,IF(A56&lt;65,3,4))),0)</f>
        <v>4</v>
      </c>
      <c r="H56" s="13" t="n">
        <f aca="false">IF(AND(ISNUMBER(A56),ISNUMBER(C56)),1,0)</f>
        <v>1</v>
      </c>
    </row>
    <row r="57" customFormat="false" ht="15" hidden="false" customHeight="false" outlineLevel="0" collapsed="false">
      <c r="A57" s="12" t="n">
        <v>46</v>
      </c>
      <c r="B57" s="12" t="s">
        <v>28</v>
      </c>
      <c r="C57" s="12" t="n">
        <v>132</v>
      </c>
      <c r="D57" s="13" t="n">
        <f aca="false">IF(AND(ISNUMBER(A57),ISNUMBER(C57)),IF(B57="M",1,0),0)</f>
        <v>1</v>
      </c>
      <c r="E57" s="13" t="n">
        <f aca="false">IF(AND(ISNUMBER(A57),ISNUMBER(C57)),A57,0)</f>
        <v>46</v>
      </c>
      <c r="F57" s="13" t="n">
        <f aca="false">IF(AND(ISNUMBER(A57),ISNUMBER(C57)),C57,0)</f>
        <v>132</v>
      </c>
      <c r="G57" s="13" t="n">
        <f aca="false">IF(AND(ISNUMBER(A57),ISNUMBER(C57)),IF(A57&lt;35,1,IF(A57&lt;50,2,IF(A57&lt;65,3,4))),0)</f>
        <v>2</v>
      </c>
      <c r="H57" s="13" t="n">
        <f aca="false">IF(AND(ISNUMBER(A57),ISNUMBER(C57)),1,0)</f>
        <v>1</v>
      </c>
    </row>
    <row r="58" customFormat="false" ht="15" hidden="false" customHeight="false" outlineLevel="0" collapsed="false">
      <c r="A58" s="12" t="n">
        <v>40</v>
      </c>
      <c r="B58" s="12" t="s">
        <v>28</v>
      </c>
      <c r="C58" s="12" t="n">
        <v>131</v>
      </c>
      <c r="D58" s="13" t="n">
        <f aca="false">IF(AND(ISNUMBER(A58),ISNUMBER(C58)),IF(B58="M",1,0),0)</f>
        <v>1</v>
      </c>
      <c r="E58" s="13" t="n">
        <f aca="false">IF(AND(ISNUMBER(A58),ISNUMBER(C58)),A58,0)</f>
        <v>40</v>
      </c>
      <c r="F58" s="13" t="n">
        <f aca="false">IF(AND(ISNUMBER(A58),ISNUMBER(C58)),C58,0)</f>
        <v>131</v>
      </c>
      <c r="G58" s="13" t="n">
        <f aca="false">IF(AND(ISNUMBER(A58),ISNUMBER(C58)),IF(A58&lt;35,1,IF(A58&lt;50,2,IF(A58&lt;65,3,4))),0)</f>
        <v>2</v>
      </c>
      <c r="H58" s="13" t="n">
        <f aca="false">IF(AND(ISNUMBER(A58),ISNUMBER(C58)),1,0)</f>
        <v>1</v>
      </c>
    </row>
    <row r="59" customFormat="false" ht="15" hidden="false" customHeight="false" outlineLevel="0" collapsed="false">
      <c r="A59" s="12" t="n">
        <v>71</v>
      </c>
      <c r="B59" s="12" t="s">
        <v>27</v>
      </c>
      <c r="C59" s="12" t="n">
        <v>130</v>
      </c>
      <c r="D59" s="13" t="n">
        <f aca="false">IF(AND(ISNUMBER(A59),ISNUMBER(C59)),IF(B59="M",1,0),0)</f>
        <v>0</v>
      </c>
      <c r="E59" s="13" t="n">
        <f aca="false">IF(AND(ISNUMBER(A59),ISNUMBER(C59)),A59,0)</f>
        <v>71</v>
      </c>
      <c r="F59" s="13" t="n">
        <f aca="false">IF(AND(ISNUMBER(A59),ISNUMBER(C59)),C59,0)</f>
        <v>130</v>
      </c>
      <c r="G59" s="13" t="n">
        <f aca="false">IF(AND(ISNUMBER(A59),ISNUMBER(C59)),IF(A59&lt;35,1,IF(A59&lt;50,2,IF(A59&lt;65,3,4))),0)</f>
        <v>4</v>
      </c>
      <c r="H59" s="13" t="n">
        <f aca="false">IF(AND(ISNUMBER(A59),ISNUMBER(C59)),1,0)</f>
        <v>1</v>
      </c>
    </row>
    <row r="60" customFormat="false" ht="15" hidden="false" customHeight="false" outlineLevel="0" collapsed="false">
      <c r="A60" s="12" t="n">
        <v>59</v>
      </c>
      <c r="B60" s="12" t="s">
        <v>28</v>
      </c>
      <c r="C60" s="12" t="n">
        <v>141</v>
      </c>
      <c r="D60" s="13" t="n">
        <f aca="false">IF(AND(ISNUMBER(A60),ISNUMBER(C60)),IF(B60="M",1,0),0)</f>
        <v>1</v>
      </c>
      <c r="E60" s="13" t="n">
        <f aca="false">IF(AND(ISNUMBER(A60),ISNUMBER(C60)),A60,0)</f>
        <v>59</v>
      </c>
      <c r="F60" s="13" t="n">
        <f aca="false">IF(AND(ISNUMBER(A60),ISNUMBER(C60)),C60,0)</f>
        <v>141</v>
      </c>
      <c r="G60" s="13" t="n">
        <f aca="false">IF(AND(ISNUMBER(A60),ISNUMBER(C60)),IF(A60&lt;35,1,IF(A60&lt;50,2,IF(A60&lt;65,3,4))),0)</f>
        <v>3</v>
      </c>
      <c r="H60" s="13" t="n">
        <f aca="false">IF(AND(ISNUMBER(A60),ISNUMBER(C60)),1,0)</f>
        <v>1</v>
      </c>
    </row>
    <row r="61" customFormat="false" ht="15" hidden="false" customHeight="false" outlineLevel="0" collapsed="false">
      <c r="A61" s="12" t="n">
        <v>18</v>
      </c>
      <c r="B61" s="12" t="s">
        <v>28</v>
      </c>
      <c r="C61" s="12" t="n">
        <v>113</v>
      </c>
      <c r="D61" s="13" t="n">
        <f aca="false">IF(AND(ISNUMBER(A61),ISNUMBER(C61)),IF(B61="M",1,0),0)</f>
        <v>1</v>
      </c>
      <c r="E61" s="13" t="n">
        <f aca="false">IF(AND(ISNUMBER(A61),ISNUMBER(C61)),A61,0)</f>
        <v>18</v>
      </c>
      <c r="F61" s="13" t="n">
        <f aca="false">IF(AND(ISNUMBER(A61),ISNUMBER(C61)),C61,0)</f>
        <v>113</v>
      </c>
      <c r="G61" s="13" t="n">
        <f aca="false">IF(AND(ISNUMBER(A61),ISNUMBER(C61)),IF(A61&lt;35,1,IF(A61&lt;50,2,IF(A61&lt;65,3,4))),0)</f>
        <v>1</v>
      </c>
      <c r="H61" s="13" t="n">
        <f aca="false">IF(AND(ISNUMBER(A61),ISNUMBER(C61)),1,0)</f>
        <v>1</v>
      </c>
    </row>
    <row r="62" customFormat="false" ht="15" hidden="false" customHeight="false" outlineLevel="0" collapsed="false">
      <c r="A62" s="12" t="n">
        <v>59</v>
      </c>
      <c r="B62" s="12" t="s">
        <v>28</v>
      </c>
      <c r="C62" s="12" t="n">
        <v>135</v>
      </c>
      <c r="D62" s="13" t="n">
        <f aca="false">IF(AND(ISNUMBER(A62),ISNUMBER(C62)),IF(B62="M",1,0),0)</f>
        <v>1</v>
      </c>
      <c r="E62" s="13" t="n">
        <f aca="false">IF(AND(ISNUMBER(A62),ISNUMBER(C62)),A62,0)</f>
        <v>59</v>
      </c>
      <c r="F62" s="13" t="n">
        <f aca="false">IF(AND(ISNUMBER(A62),ISNUMBER(C62)),C62,0)</f>
        <v>135</v>
      </c>
      <c r="G62" s="13" t="n">
        <f aca="false">IF(AND(ISNUMBER(A62),ISNUMBER(C62)),IF(A62&lt;35,1,IF(A62&lt;50,2,IF(A62&lt;65,3,4))),0)</f>
        <v>3</v>
      </c>
      <c r="H62" s="13" t="n">
        <f aca="false">IF(AND(ISNUMBER(A62),ISNUMBER(C62)),1,0)</f>
        <v>1</v>
      </c>
    </row>
    <row r="63" customFormat="false" ht="15" hidden="false" customHeight="false" outlineLevel="0" collapsed="false">
      <c r="A63" s="12" t="n">
        <v>71</v>
      </c>
      <c r="B63" s="12" t="s">
        <v>28</v>
      </c>
      <c r="C63" s="12" t="n">
        <v>135</v>
      </c>
      <c r="D63" s="13" t="n">
        <f aca="false">IF(AND(ISNUMBER(A63),ISNUMBER(C63)),IF(B63="M",1,0),0)</f>
        <v>1</v>
      </c>
      <c r="E63" s="13" t="n">
        <f aca="false">IF(AND(ISNUMBER(A63),ISNUMBER(C63)),A63,0)</f>
        <v>71</v>
      </c>
      <c r="F63" s="13" t="n">
        <f aca="false">IF(AND(ISNUMBER(A63),ISNUMBER(C63)),C63,0)</f>
        <v>135</v>
      </c>
      <c r="G63" s="13" t="n">
        <f aca="false">IF(AND(ISNUMBER(A63),ISNUMBER(C63)),IF(A63&lt;35,1,IF(A63&lt;50,2,IF(A63&lt;65,3,4))),0)</f>
        <v>4</v>
      </c>
      <c r="H63" s="13" t="n">
        <f aca="false">IF(AND(ISNUMBER(A63),ISNUMBER(C63)),1,0)</f>
        <v>1</v>
      </c>
    </row>
    <row r="64" customFormat="false" ht="15" hidden="false" customHeight="false" outlineLevel="0" collapsed="false">
      <c r="A64" s="12" t="n">
        <v>30</v>
      </c>
      <c r="B64" s="12" t="s">
        <v>28</v>
      </c>
      <c r="C64" s="12" t="n">
        <v>129</v>
      </c>
      <c r="D64" s="13" t="n">
        <f aca="false">IF(AND(ISNUMBER(A64),ISNUMBER(C64)),IF(B64="M",1,0),0)</f>
        <v>1</v>
      </c>
      <c r="E64" s="13" t="n">
        <f aca="false">IF(AND(ISNUMBER(A64),ISNUMBER(C64)),A64,0)</f>
        <v>30</v>
      </c>
      <c r="F64" s="13" t="n">
        <f aca="false">IF(AND(ISNUMBER(A64),ISNUMBER(C64)),C64,0)</f>
        <v>129</v>
      </c>
      <c r="G64" s="13" t="n">
        <f aca="false">IF(AND(ISNUMBER(A64),ISNUMBER(C64)),IF(A64&lt;35,1,IF(A64&lt;50,2,IF(A64&lt;65,3,4))),0)</f>
        <v>1</v>
      </c>
      <c r="H64" s="13" t="n">
        <f aca="false">IF(AND(ISNUMBER(A64),ISNUMBER(C64)),1,0)</f>
        <v>1</v>
      </c>
    </row>
    <row r="65" customFormat="false" ht="15" hidden="false" customHeight="false" outlineLevel="0" collapsed="false">
      <c r="A65" s="12" t="n">
        <v>52</v>
      </c>
      <c r="B65" s="12" t="s">
        <v>28</v>
      </c>
      <c r="C65" s="12" t="n">
        <v>122</v>
      </c>
      <c r="D65" s="13" t="n">
        <f aca="false">IF(AND(ISNUMBER(A65),ISNUMBER(C65)),IF(B65="M",1,0),0)</f>
        <v>1</v>
      </c>
      <c r="E65" s="13" t="n">
        <f aca="false">IF(AND(ISNUMBER(A65),ISNUMBER(C65)),A65,0)</f>
        <v>52</v>
      </c>
      <c r="F65" s="13" t="n">
        <f aca="false">IF(AND(ISNUMBER(A65),ISNUMBER(C65)),C65,0)</f>
        <v>122</v>
      </c>
      <c r="G65" s="13" t="n">
        <f aca="false">IF(AND(ISNUMBER(A65),ISNUMBER(C65)),IF(A65&lt;35,1,IF(A65&lt;50,2,IF(A65&lt;65,3,4))),0)</f>
        <v>3</v>
      </c>
      <c r="H65" s="13" t="n">
        <f aca="false">IF(AND(ISNUMBER(A65),ISNUMBER(C65)),1,0)</f>
        <v>1</v>
      </c>
    </row>
    <row r="66" customFormat="false" ht="15" hidden="false" customHeight="false" outlineLevel="0" collapsed="false">
      <c r="A66" s="12" t="n">
        <v>65</v>
      </c>
      <c r="B66" s="12" t="s">
        <v>28</v>
      </c>
      <c r="C66" s="12" t="n">
        <v>134</v>
      </c>
      <c r="D66" s="13" t="n">
        <f aca="false">IF(AND(ISNUMBER(A66),ISNUMBER(C66)),IF(B66="M",1,0),0)</f>
        <v>1</v>
      </c>
      <c r="E66" s="13" t="n">
        <f aca="false">IF(AND(ISNUMBER(A66),ISNUMBER(C66)),A66,0)</f>
        <v>65</v>
      </c>
      <c r="F66" s="13" t="n">
        <f aca="false">IF(AND(ISNUMBER(A66),ISNUMBER(C66)),C66,0)</f>
        <v>134</v>
      </c>
      <c r="G66" s="13" t="n">
        <f aca="false">IF(AND(ISNUMBER(A66),ISNUMBER(C66)),IF(A66&lt;35,1,IF(A66&lt;50,2,IF(A66&lt;65,3,4))),0)</f>
        <v>4</v>
      </c>
      <c r="H66" s="13" t="n">
        <f aca="false">IF(AND(ISNUMBER(A66),ISNUMBER(C66)),1,0)</f>
        <v>1</v>
      </c>
    </row>
    <row r="67" customFormat="false" ht="15" hidden="false" customHeight="false" outlineLevel="0" collapsed="false">
      <c r="A67" s="12" t="n">
        <v>69</v>
      </c>
      <c r="B67" s="12" t="s">
        <v>27</v>
      </c>
      <c r="C67" s="12" t="n">
        <v>122</v>
      </c>
      <c r="D67" s="13" t="n">
        <f aca="false">IF(AND(ISNUMBER(A67),ISNUMBER(C67)),IF(B67="M",1,0),0)</f>
        <v>0</v>
      </c>
      <c r="E67" s="13" t="n">
        <f aca="false">IF(AND(ISNUMBER(A67),ISNUMBER(C67)),A67,0)</f>
        <v>69</v>
      </c>
      <c r="F67" s="13" t="n">
        <f aca="false">IF(AND(ISNUMBER(A67),ISNUMBER(C67)),C67,0)</f>
        <v>122</v>
      </c>
      <c r="G67" s="13" t="n">
        <f aca="false">IF(AND(ISNUMBER(A67),ISNUMBER(C67)),IF(A67&lt;35,1,IF(A67&lt;50,2,IF(A67&lt;65,3,4))),0)</f>
        <v>4</v>
      </c>
      <c r="H67" s="13" t="n">
        <f aca="false">IF(AND(ISNUMBER(A67),ISNUMBER(C67)),1,0)</f>
        <v>1</v>
      </c>
    </row>
    <row r="68" customFormat="false" ht="15" hidden="false" customHeight="false" outlineLevel="0" collapsed="false">
      <c r="A68" s="12" t="n">
        <v>65</v>
      </c>
      <c r="B68" s="12" t="s">
        <v>27</v>
      </c>
      <c r="C68" s="12" t="n">
        <v>133</v>
      </c>
      <c r="D68" s="13" t="n">
        <f aca="false">IF(AND(ISNUMBER(A68),ISNUMBER(C68)),IF(B68="M",1,0),0)</f>
        <v>0</v>
      </c>
      <c r="E68" s="13" t="n">
        <f aca="false">IF(AND(ISNUMBER(A68),ISNUMBER(C68)),A68,0)</f>
        <v>65</v>
      </c>
      <c r="F68" s="13" t="n">
        <f aca="false">IF(AND(ISNUMBER(A68),ISNUMBER(C68)),C68,0)</f>
        <v>133</v>
      </c>
      <c r="G68" s="13" t="n">
        <f aca="false">IF(AND(ISNUMBER(A68),ISNUMBER(C68)),IF(A68&lt;35,1,IF(A68&lt;50,2,IF(A68&lt;65,3,4))),0)</f>
        <v>4</v>
      </c>
      <c r="H68" s="13" t="n">
        <f aca="false">IF(AND(ISNUMBER(A68),ISNUMBER(C68)),1,0)</f>
        <v>1</v>
      </c>
    </row>
    <row r="69" customFormat="false" ht="15" hidden="false" customHeight="false" outlineLevel="0" collapsed="false">
      <c r="A69" s="12" t="n">
        <v>71</v>
      </c>
      <c r="B69" s="12" t="s">
        <v>27</v>
      </c>
      <c r="C69" s="12" t="n">
        <v>147</v>
      </c>
      <c r="D69" s="13" t="n">
        <f aca="false">IF(AND(ISNUMBER(A69),ISNUMBER(C69)),IF(B69="M",1,0),0)</f>
        <v>0</v>
      </c>
      <c r="E69" s="13" t="n">
        <f aca="false">IF(AND(ISNUMBER(A69),ISNUMBER(C69)),A69,0)</f>
        <v>71</v>
      </c>
      <c r="F69" s="13" t="n">
        <f aca="false">IF(AND(ISNUMBER(A69),ISNUMBER(C69)),C69,0)</f>
        <v>147</v>
      </c>
      <c r="G69" s="13" t="n">
        <f aca="false">IF(AND(ISNUMBER(A69),ISNUMBER(C69)),IF(A69&lt;35,1,IF(A69&lt;50,2,IF(A69&lt;65,3,4))),0)</f>
        <v>4</v>
      </c>
      <c r="H69" s="13" t="n">
        <f aca="false">IF(AND(ISNUMBER(A69),ISNUMBER(C69)),1,0)</f>
        <v>1</v>
      </c>
    </row>
    <row r="70" customFormat="false" ht="15" hidden="false" customHeight="false" outlineLevel="0" collapsed="false">
      <c r="A70" s="12" t="n">
        <v>49</v>
      </c>
      <c r="B70" s="12" t="s">
        <v>27</v>
      </c>
      <c r="C70" s="12" t="n">
        <v>131</v>
      </c>
      <c r="D70" s="13" t="n">
        <f aca="false">IF(AND(ISNUMBER(A70),ISNUMBER(C70)),IF(B70="M",1,0),0)</f>
        <v>0</v>
      </c>
      <c r="E70" s="13" t="n">
        <f aca="false">IF(AND(ISNUMBER(A70),ISNUMBER(C70)),A70,0)</f>
        <v>49</v>
      </c>
      <c r="F70" s="13" t="n">
        <f aca="false">IF(AND(ISNUMBER(A70),ISNUMBER(C70)),C70,0)</f>
        <v>131</v>
      </c>
      <c r="G70" s="13" t="n">
        <f aca="false">IF(AND(ISNUMBER(A70),ISNUMBER(C70)),IF(A70&lt;35,1,IF(A70&lt;50,2,IF(A70&lt;65,3,4))),0)</f>
        <v>2</v>
      </c>
      <c r="H70" s="13" t="n">
        <f aca="false">IF(AND(ISNUMBER(A70),ISNUMBER(C70)),1,0)</f>
        <v>1</v>
      </c>
    </row>
    <row r="71" customFormat="false" ht="15" hidden="false" customHeight="false" outlineLevel="0" collapsed="false">
      <c r="A71" s="12" t="n">
        <v>78</v>
      </c>
      <c r="B71" s="12" t="s">
        <v>28</v>
      </c>
      <c r="C71" s="12" t="n">
        <v>143</v>
      </c>
      <c r="D71" s="13" t="n">
        <f aca="false">IF(AND(ISNUMBER(A71),ISNUMBER(C71)),IF(B71="M",1,0),0)</f>
        <v>1</v>
      </c>
      <c r="E71" s="13" t="n">
        <f aca="false">IF(AND(ISNUMBER(A71),ISNUMBER(C71)),A71,0)</f>
        <v>78</v>
      </c>
      <c r="F71" s="13" t="n">
        <f aca="false">IF(AND(ISNUMBER(A71),ISNUMBER(C71)),C71,0)</f>
        <v>143</v>
      </c>
      <c r="G71" s="13" t="n">
        <f aca="false">IF(AND(ISNUMBER(A71),ISNUMBER(C71)),IF(A71&lt;35,1,IF(A71&lt;50,2,IF(A71&lt;65,3,4))),0)</f>
        <v>4</v>
      </c>
      <c r="H71" s="13" t="n">
        <f aca="false">IF(AND(ISNUMBER(A71),ISNUMBER(C71)),1,0)</f>
        <v>1</v>
      </c>
    </row>
    <row r="72" customFormat="false" ht="15" hidden="false" customHeight="false" outlineLevel="0" collapsed="false">
      <c r="A72" s="12" t="n">
        <v>58</v>
      </c>
      <c r="B72" s="12" t="s">
        <v>27</v>
      </c>
      <c r="C72" s="12" t="n">
        <v>144</v>
      </c>
      <c r="D72" s="13" t="n">
        <f aca="false">IF(AND(ISNUMBER(A72),ISNUMBER(C72)),IF(B72="M",1,0),0)</f>
        <v>0</v>
      </c>
      <c r="E72" s="13" t="n">
        <f aca="false">IF(AND(ISNUMBER(A72),ISNUMBER(C72)),A72,0)</f>
        <v>58</v>
      </c>
      <c r="F72" s="13" t="n">
        <f aca="false">IF(AND(ISNUMBER(A72),ISNUMBER(C72)),C72,0)</f>
        <v>144</v>
      </c>
      <c r="G72" s="13" t="n">
        <f aca="false">IF(AND(ISNUMBER(A72),ISNUMBER(C72)),IF(A72&lt;35,1,IF(A72&lt;50,2,IF(A72&lt;65,3,4))),0)</f>
        <v>3</v>
      </c>
      <c r="H72" s="13" t="n">
        <f aca="false">IF(AND(ISNUMBER(A72),ISNUMBER(C72)),1,0)</f>
        <v>1</v>
      </c>
    </row>
    <row r="73" customFormat="false" ht="15" hidden="false" customHeight="false" outlineLevel="0" collapsed="false">
      <c r="A73" s="12" t="n">
        <v>20</v>
      </c>
      <c r="B73" s="12" t="s">
        <v>28</v>
      </c>
      <c r="C73" s="12" t="n">
        <v>119</v>
      </c>
      <c r="D73" s="13" t="n">
        <f aca="false">IF(AND(ISNUMBER(A73),ISNUMBER(C73)),IF(B73="M",1,0),0)</f>
        <v>1</v>
      </c>
      <c r="E73" s="13" t="n">
        <f aca="false">IF(AND(ISNUMBER(A73),ISNUMBER(C73)),A73,0)</f>
        <v>20</v>
      </c>
      <c r="F73" s="13" t="n">
        <f aca="false">IF(AND(ISNUMBER(A73),ISNUMBER(C73)),C73,0)</f>
        <v>119</v>
      </c>
      <c r="G73" s="13" t="n">
        <f aca="false">IF(AND(ISNUMBER(A73),ISNUMBER(C73)),IF(A73&lt;35,1,IF(A73&lt;50,2,IF(A73&lt;65,3,4))),0)</f>
        <v>1</v>
      </c>
      <c r="H73" s="13" t="n">
        <f aca="false">IF(AND(ISNUMBER(A73),ISNUMBER(C73)),1,0)</f>
        <v>1</v>
      </c>
    </row>
    <row r="74" customFormat="false" ht="15" hidden="false" customHeight="false" outlineLevel="0" collapsed="false">
      <c r="A74" s="12" t="n">
        <v>35</v>
      </c>
      <c r="B74" s="12" t="s">
        <v>27</v>
      </c>
      <c r="C74" s="12" t="n">
        <v>114</v>
      </c>
      <c r="D74" s="13" t="n">
        <f aca="false">IF(AND(ISNUMBER(A74),ISNUMBER(C74)),IF(B74="M",1,0),0)</f>
        <v>0</v>
      </c>
      <c r="E74" s="13" t="n">
        <f aca="false">IF(AND(ISNUMBER(A74),ISNUMBER(C74)),A74,0)</f>
        <v>35</v>
      </c>
      <c r="F74" s="13" t="n">
        <f aca="false">IF(AND(ISNUMBER(A74),ISNUMBER(C74)),C74,0)</f>
        <v>114</v>
      </c>
      <c r="G74" s="13" t="n">
        <f aca="false">IF(AND(ISNUMBER(A74),ISNUMBER(C74)),IF(A74&lt;35,1,IF(A74&lt;50,2,IF(A74&lt;65,3,4))),0)</f>
        <v>2</v>
      </c>
      <c r="H74" s="13" t="n">
        <f aca="false">IF(AND(ISNUMBER(A74),ISNUMBER(C74)),1,0)</f>
        <v>1</v>
      </c>
    </row>
    <row r="75" customFormat="false" ht="15" hidden="false" customHeight="false" outlineLevel="0" collapsed="false">
      <c r="A75" s="12" t="n">
        <v>44</v>
      </c>
      <c r="B75" s="12" t="s">
        <v>27</v>
      </c>
      <c r="C75" s="12" t="n">
        <v>119</v>
      </c>
      <c r="D75" s="13" t="n">
        <f aca="false">IF(AND(ISNUMBER(A75),ISNUMBER(C75)),IF(B75="M",1,0),0)</f>
        <v>0</v>
      </c>
      <c r="E75" s="13" t="n">
        <f aca="false">IF(AND(ISNUMBER(A75),ISNUMBER(C75)),A75,0)</f>
        <v>44</v>
      </c>
      <c r="F75" s="13" t="n">
        <f aca="false">IF(AND(ISNUMBER(A75),ISNUMBER(C75)),C75,0)</f>
        <v>119</v>
      </c>
      <c r="G75" s="13" t="n">
        <f aca="false">IF(AND(ISNUMBER(A75),ISNUMBER(C75)),IF(A75&lt;35,1,IF(A75&lt;50,2,IF(A75&lt;65,3,4))),0)</f>
        <v>2</v>
      </c>
      <c r="H75" s="13" t="n">
        <f aca="false">IF(AND(ISNUMBER(A75),ISNUMBER(C75)),1,0)</f>
        <v>1</v>
      </c>
    </row>
    <row r="76" customFormat="false" ht="15" hidden="false" customHeight="false" outlineLevel="0" collapsed="false">
      <c r="A76" s="12" t="n">
        <v>72</v>
      </c>
      <c r="B76" s="12" t="s">
        <v>27</v>
      </c>
      <c r="C76" s="12" t="n">
        <v>146</v>
      </c>
      <c r="D76" s="13" t="n">
        <f aca="false">IF(AND(ISNUMBER(A76),ISNUMBER(C76)),IF(B76="M",1,0),0)</f>
        <v>0</v>
      </c>
      <c r="E76" s="13" t="n">
        <f aca="false">IF(AND(ISNUMBER(A76),ISNUMBER(C76)),A76,0)</f>
        <v>72</v>
      </c>
      <c r="F76" s="13" t="n">
        <f aca="false">IF(AND(ISNUMBER(A76),ISNUMBER(C76)),C76,0)</f>
        <v>146</v>
      </c>
      <c r="G76" s="13" t="n">
        <f aca="false">IF(AND(ISNUMBER(A76),ISNUMBER(C76)),IF(A76&lt;35,1,IF(A76&lt;50,2,IF(A76&lt;65,3,4))),0)</f>
        <v>4</v>
      </c>
      <c r="H76" s="13" t="n">
        <f aca="false">IF(AND(ISNUMBER(A76),ISNUMBER(C76)),1,0)</f>
        <v>1</v>
      </c>
    </row>
    <row r="77" customFormat="false" ht="15" hidden="false" customHeight="false" outlineLevel="0" collapsed="false">
      <c r="A77" s="12" t="n">
        <v>21</v>
      </c>
      <c r="B77" s="12" t="s">
        <v>27</v>
      </c>
      <c r="C77" s="12" t="n">
        <v>128</v>
      </c>
      <c r="D77" s="13" t="n">
        <f aca="false">IF(AND(ISNUMBER(A77),ISNUMBER(C77)),IF(B77="M",1,0),0)</f>
        <v>0</v>
      </c>
      <c r="E77" s="13" t="n">
        <f aca="false">IF(AND(ISNUMBER(A77),ISNUMBER(C77)),A77,0)</f>
        <v>21</v>
      </c>
      <c r="F77" s="13" t="n">
        <f aca="false">IF(AND(ISNUMBER(A77),ISNUMBER(C77)),C77,0)</f>
        <v>128</v>
      </c>
      <c r="G77" s="13" t="n">
        <f aca="false">IF(AND(ISNUMBER(A77),ISNUMBER(C77)),IF(A77&lt;35,1,IF(A77&lt;50,2,IF(A77&lt;65,3,4))),0)</f>
        <v>1</v>
      </c>
      <c r="H77" s="13" t="n">
        <f aca="false">IF(AND(ISNUMBER(A77),ISNUMBER(C77)),1,0)</f>
        <v>1</v>
      </c>
    </row>
    <row r="78" customFormat="false" ht="15" hidden="false" customHeight="false" outlineLevel="0" collapsed="false">
      <c r="A78" s="12" t="n">
        <v>30</v>
      </c>
      <c r="B78" s="12" t="s">
        <v>27</v>
      </c>
      <c r="C78" s="12" t="n">
        <v>106</v>
      </c>
      <c r="D78" s="13" t="n">
        <f aca="false">IF(AND(ISNUMBER(A78),ISNUMBER(C78)),IF(B78="M",1,0),0)</f>
        <v>0</v>
      </c>
      <c r="E78" s="13" t="n">
        <f aca="false">IF(AND(ISNUMBER(A78),ISNUMBER(C78)),A78,0)</f>
        <v>30</v>
      </c>
      <c r="F78" s="13" t="n">
        <f aca="false">IF(AND(ISNUMBER(A78),ISNUMBER(C78)),C78,0)</f>
        <v>106</v>
      </c>
      <c r="G78" s="13" t="n">
        <f aca="false">IF(AND(ISNUMBER(A78),ISNUMBER(C78)),IF(A78&lt;35,1,IF(A78&lt;50,2,IF(A78&lt;65,3,4))),0)</f>
        <v>1</v>
      </c>
      <c r="H78" s="13" t="n">
        <f aca="false">IF(AND(ISNUMBER(A78),ISNUMBER(C78)),1,0)</f>
        <v>1</v>
      </c>
    </row>
    <row r="79" customFormat="false" ht="15" hidden="false" customHeight="false" outlineLevel="0" collapsed="false">
      <c r="A79" s="12" t="n">
        <v>23</v>
      </c>
      <c r="B79" s="12" t="s">
        <v>27</v>
      </c>
      <c r="C79" s="12" t="n">
        <v>95</v>
      </c>
      <c r="D79" s="13" t="n">
        <f aca="false">IF(AND(ISNUMBER(A79),ISNUMBER(C79)),IF(B79="M",1,0),0)</f>
        <v>0</v>
      </c>
      <c r="E79" s="13" t="n">
        <f aca="false">IF(AND(ISNUMBER(A79),ISNUMBER(C79)),A79,0)</f>
        <v>23</v>
      </c>
      <c r="F79" s="13" t="n">
        <f aca="false">IF(AND(ISNUMBER(A79),ISNUMBER(C79)),C79,0)</f>
        <v>95</v>
      </c>
      <c r="G79" s="13" t="n">
        <f aca="false">IF(AND(ISNUMBER(A79),ISNUMBER(C79)),IF(A79&lt;35,1,IF(A79&lt;50,2,IF(A79&lt;65,3,4))),0)</f>
        <v>1</v>
      </c>
      <c r="H79" s="13" t="n">
        <f aca="false">IF(AND(ISNUMBER(A79),ISNUMBER(C79)),1,0)</f>
        <v>1</v>
      </c>
    </row>
    <row r="80" customFormat="false" ht="15" hidden="false" customHeight="false" outlineLevel="0" collapsed="false">
      <c r="A80" s="12" t="n">
        <v>68</v>
      </c>
      <c r="B80" s="12" t="s">
        <v>28</v>
      </c>
      <c r="C80" s="12" t="n">
        <v>150</v>
      </c>
      <c r="D80" s="13" t="n">
        <f aca="false">IF(AND(ISNUMBER(A80),ISNUMBER(C80)),IF(B80="M",1,0),0)</f>
        <v>1</v>
      </c>
      <c r="E80" s="13" t="n">
        <f aca="false">IF(AND(ISNUMBER(A80),ISNUMBER(C80)),A80,0)</f>
        <v>68</v>
      </c>
      <c r="F80" s="13" t="n">
        <f aca="false">IF(AND(ISNUMBER(A80),ISNUMBER(C80)),C80,0)</f>
        <v>150</v>
      </c>
      <c r="G80" s="13" t="n">
        <f aca="false">IF(AND(ISNUMBER(A80),ISNUMBER(C80)),IF(A80&lt;35,1,IF(A80&lt;50,2,IF(A80&lt;65,3,4))),0)</f>
        <v>4</v>
      </c>
      <c r="H80" s="13" t="n">
        <f aca="false">IF(AND(ISNUMBER(A80),ISNUMBER(C80)),1,0)</f>
        <v>1</v>
      </c>
    </row>
    <row r="81" customFormat="false" ht="15" hidden="false" customHeight="false" outlineLevel="0" collapsed="false">
      <c r="A81" s="12" t="n">
        <v>34</v>
      </c>
      <c r="B81" s="12" t="s">
        <v>27</v>
      </c>
      <c r="C81" s="12" t="n">
        <v>109</v>
      </c>
      <c r="D81" s="13" t="n">
        <f aca="false">IF(AND(ISNUMBER(A81),ISNUMBER(C81)),IF(B81="M",1,0),0)</f>
        <v>0</v>
      </c>
      <c r="E81" s="13" t="n">
        <f aca="false">IF(AND(ISNUMBER(A81),ISNUMBER(C81)),A81,0)</f>
        <v>34</v>
      </c>
      <c r="F81" s="13" t="n">
        <f aca="false">IF(AND(ISNUMBER(A81),ISNUMBER(C81)),C81,0)</f>
        <v>109</v>
      </c>
      <c r="G81" s="13" t="n">
        <f aca="false">IF(AND(ISNUMBER(A81),ISNUMBER(C81)),IF(A81&lt;35,1,IF(A81&lt;50,2,IF(A81&lt;65,3,4))),0)</f>
        <v>1</v>
      </c>
      <c r="H81" s="13" t="n">
        <f aca="false">IF(AND(ISNUMBER(A81),ISNUMBER(C81)),1,0)</f>
        <v>1</v>
      </c>
    </row>
    <row r="82" customFormat="false" ht="15" hidden="false" customHeight="false" outlineLevel="0" collapsed="false">
      <c r="A82" s="12" t="n">
        <v>40</v>
      </c>
      <c r="B82" s="12" t="s">
        <v>27</v>
      </c>
      <c r="C82" s="12" t="n">
        <v>109</v>
      </c>
      <c r="D82" s="13" t="n">
        <f aca="false">IF(AND(ISNUMBER(A82),ISNUMBER(C82)),IF(B82="M",1,0),0)</f>
        <v>0</v>
      </c>
      <c r="E82" s="13" t="n">
        <f aca="false">IF(AND(ISNUMBER(A82),ISNUMBER(C82)),A82,0)</f>
        <v>40</v>
      </c>
      <c r="F82" s="13" t="n">
        <f aca="false">IF(AND(ISNUMBER(A82),ISNUMBER(C82)),C82,0)</f>
        <v>109</v>
      </c>
      <c r="G82" s="13" t="n">
        <f aca="false">IF(AND(ISNUMBER(A82),ISNUMBER(C82)),IF(A82&lt;35,1,IF(A82&lt;50,2,IF(A82&lt;65,3,4))),0)</f>
        <v>2</v>
      </c>
      <c r="H82" s="13" t="n">
        <f aca="false">IF(AND(ISNUMBER(A82),ISNUMBER(C82)),1,0)</f>
        <v>1</v>
      </c>
    </row>
    <row r="83" customFormat="false" ht="15" hidden="false" customHeight="false" outlineLevel="0" collapsed="false">
      <c r="A83" s="12" t="n">
        <v>62</v>
      </c>
      <c r="B83" s="12" t="s">
        <v>28</v>
      </c>
      <c r="C83" s="12" t="n">
        <v>146</v>
      </c>
      <c r="D83" s="13" t="n">
        <f aca="false">IF(AND(ISNUMBER(A83),ISNUMBER(C83)),IF(B83="M",1,0),0)</f>
        <v>1</v>
      </c>
      <c r="E83" s="13" t="n">
        <f aca="false">IF(AND(ISNUMBER(A83),ISNUMBER(C83)),A83,0)</f>
        <v>62</v>
      </c>
      <c r="F83" s="13" t="n">
        <f aca="false">IF(AND(ISNUMBER(A83),ISNUMBER(C83)),C83,0)</f>
        <v>146</v>
      </c>
      <c r="G83" s="13" t="n">
        <f aca="false">IF(AND(ISNUMBER(A83),ISNUMBER(C83)),IF(A83&lt;35,1,IF(A83&lt;50,2,IF(A83&lt;65,3,4))),0)</f>
        <v>3</v>
      </c>
      <c r="H83" s="13" t="n">
        <f aca="false">IF(AND(ISNUMBER(A83),ISNUMBER(C83)),1,0)</f>
        <v>1</v>
      </c>
    </row>
    <row r="84" customFormat="false" ht="15" hidden="false" customHeight="false" outlineLevel="0" collapsed="false">
      <c r="A84" s="12" t="n">
        <v>53</v>
      </c>
      <c r="B84" s="12" t="s">
        <v>28</v>
      </c>
      <c r="C84" s="12" t="n">
        <v>126</v>
      </c>
      <c r="D84" s="13" t="n">
        <f aca="false">IF(AND(ISNUMBER(A84),ISNUMBER(C84)),IF(B84="M",1,0),0)</f>
        <v>1</v>
      </c>
      <c r="E84" s="13" t="n">
        <f aca="false">IF(AND(ISNUMBER(A84),ISNUMBER(C84)),A84,0)</f>
        <v>53</v>
      </c>
      <c r="F84" s="13" t="n">
        <f aca="false">IF(AND(ISNUMBER(A84),ISNUMBER(C84)),C84,0)</f>
        <v>126</v>
      </c>
      <c r="G84" s="13" t="n">
        <f aca="false">IF(AND(ISNUMBER(A84),ISNUMBER(C84)),IF(A84&lt;35,1,IF(A84&lt;50,2,IF(A84&lt;65,3,4))),0)</f>
        <v>3</v>
      </c>
      <c r="H84" s="13" t="n">
        <f aca="false">IF(AND(ISNUMBER(A84),ISNUMBER(C84)),1,0)</f>
        <v>1</v>
      </c>
    </row>
    <row r="85" customFormat="false" ht="15" hidden="false" customHeight="false" outlineLevel="0" collapsed="false">
      <c r="A85" s="12" t="n">
        <v>18</v>
      </c>
      <c r="B85" s="12" t="s">
        <v>27</v>
      </c>
      <c r="C85" s="12" t="n">
        <v>95</v>
      </c>
      <c r="D85" s="13" t="n">
        <f aca="false">IF(AND(ISNUMBER(A85),ISNUMBER(C85)),IF(B85="M",1,0),0)</f>
        <v>0</v>
      </c>
      <c r="E85" s="13" t="n">
        <f aca="false">IF(AND(ISNUMBER(A85),ISNUMBER(C85)),A85,0)</f>
        <v>18</v>
      </c>
      <c r="F85" s="13" t="n">
        <f aca="false">IF(AND(ISNUMBER(A85),ISNUMBER(C85)),C85,0)</f>
        <v>95</v>
      </c>
      <c r="G85" s="13" t="n">
        <f aca="false">IF(AND(ISNUMBER(A85),ISNUMBER(C85)),IF(A85&lt;35,1,IF(A85&lt;50,2,IF(A85&lt;65,3,4))),0)</f>
        <v>1</v>
      </c>
      <c r="H85" s="13" t="n">
        <f aca="false">IF(AND(ISNUMBER(A85),ISNUMBER(C85)),1,0)</f>
        <v>1</v>
      </c>
    </row>
    <row r="86" customFormat="false" ht="15" hidden="false" customHeight="false" outlineLevel="0" collapsed="false">
      <c r="A86" s="12" t="n">
        <v>74</v>
      </c>
      <c r="B86" s="12" t="s">
        <v>28</v>
      </c>
      <c r="C86" s="12" t="n">
        <v>158</v>
      </c>
      <c r="D86" s="13" t="n">
        <f aca="false">IF(AND(ISNUMBER(A86),ISNUMBER(C86)),IF(B86="M",1,0),0)</f>
        <v>1</v>
      </c>
      <c r="E86" s="13" t="n">
        <f aca="false">IF(AND(ISNUMBER(A86),ISNUMBER(C86)),A86,0)</f>
        <v>74</v>
      </c>
      <c r="F86" s="13" t="n">
        <f aca="false">IF(AND(ISNUMBER(A86),ISNUMBER(C86)),C86,0)</f>
        <v>158</v>
      </c>
      <c r="G86" s="13" t="n">
        <f aca="false">IF(AND(ISNUMBER(A86),ISNUMBER(C86)),IF(A86&lt;35,1,IF(A86&lt;50,2,IF(A86&lt;65,3,4))),0)</f>
        <v>4</v>
      </c>
      <c r="H86" s="13" t="n">
        <f aca="false">IF(AND(ISNUMBER(A86),ISNUMBER(C86)),1,0)</f>
        <v>1</v>
      </c>
    </row>
    <row r="87" customFormat="false" ht="15" hidden="false" customHeight="false" outlineLevel="0" collapsed="false">
      <c r="A87" s="12" t="n">
        <v>58</v>
      </c>
      <c r="B87" s="12" t="s">
        <v>27</v>
      </c>
      <c r="C87" s="12" t="n">
        <v>144</v>
      </c>
      <c r="D87" s="13" t="n">
        <f aca="false">IF(AND(ISNUMBER(A87),ISNUMBER(C87)),IF(B87="M",1,0),0)</f>
        <v>0</v>
      </c>
      <c r="E87" s="13" t="n">
        <f aca="false">IF(AND(ISNUMBER(A87),ISNUMBER(C87)),A87,0)</f>
        <v>58</v>
      </c>
      <c r="F87" s="13" t="n">
        <f aca="false">IF(AND(ISNUMBER(A87),ISNUMBER(C87)),C87,0)</f>
        <v>144</v>
      </c>
      <c r="G87" s="13" t="n">
        <f aca="false">IF(AND(ISNUMBER(A87),ISNUMBER(C87)),IF(A87&lt;35,1,IF(A87&lt;50,2,IF(A87&lt;65,3,4))),0)</f>
        <v>3</v>
      </c>
      <c r="H87" s="13" t="n">
        <f aca="false">IF(AND(ISNUMBER(A87),ISNUMBER(C87)),1,0)</f>
        <v>1</v>
      </c>
    </row>
    <row r="88" customFormat="false" ht="15" hidden="false" customHeight="false" outlineLevel="0" collapsed="false">
      <c r="A88" s="12" t="n">
        <v>48</v>
      </c>
      <c r="B88" s="12" t="s">
        <v>27</v>
      </c>
      <c r="C88" s="12" t="n">
        <v>121</v>
      </c>
      <c r="D88" s="13" t="n">
        <f aca="false">IF(AND(ISNUMBER(A88),ISNUMBER(C88)),IF(B88="M",1,0),0)</f>
        <v>0</v>
      </c>
      <c r="E88" s="13" t="n">
        <f aca="false">IF(AND(ISNUMBER(A88),ISNUMBER(C88)),A88,0)</f>
        <v>48</v>
      </c>
      <c r="F88" s="13" t="n">
        <f aca="false">IF(AND(ISNUMBER(A88),ISNUMBER(C88)),C88,0)</f>
        <v>121</v>
      </c>
      <c r="G88" s="13" t="n">
        <f aca="false">IF(AND(ISNUMBER(A88),ISNUMBER(C88)),IF(A88&lt;35,1,IF(A88&lt;50,2,IF(A88&lt;65,3,4))),0)</f>
        <v>2</v>
      </c>
      <c r="H88" s="13" t="n">
        <f aca="false">IF(AND(ISNUMBER(A88),ISNUMBER(C88)),1,0)</f>
        <v>1</v>
      </c>
    </row>
    <row r="89" customFormat="false" ht="15" hidden="false" customHeight="false" outlineLevel="0" collapsed="false">
      <c r="A89" s="12" t="n">
        <v>29</v>
      </c>
      <c r="B89" s="12" t="s">
        <v>28</v>
      </c>
      <c r="C89" s="12" t="n">
        <v>117</v>
      </c>
      <c r="D89" s="13" t="n">
        <f aca="false">IF(AND(ISNUMBER(A89),ISNUMBER(C89)),IF(B89="M",1,0),0)</f>
        <v>1</v>
      </c>
      <c r="E89" s="13" t="n">
        <f aca="false">IF(AND(ISNUMBER(A89),ISNUMBER(C89)),A89,0)</f>
        <v>29</v>
      </c>
      <c r="F89" s="13" t="n">
        <f aca="false">IF(AND(ISNUMBER(A89),ISNUMBER(C89)),C89,0)</f>
        <v>117</v>
      </c>
      <c r="G89" s="13" t="n">
        <f aca="false">IF(AND(ISNUMBER(A89),ISNUMBER(C89)),IF(A89&lt;35,1,IF(A89&lt;50,2,IF(A89&lt;65,3,4))),0)</f>
        <v>1</v>
      </c>
      <c r="H89" s="13" t="n">
        <f aca="false">IF(AND(ISNUMBER(A89),ISNUMBER(C89)),1,0)</f>
        <v>1</v>
      </c>
    </row>
    <row r="90" customFormat="false" ht="15" hidden="false" customHeight="false" outlineLevel="0" collapsed="false">
      <c r="A90" s="12" t="n">
        <v>74</v>
      </c>
      <c r="B90" s="12" t="s">
        <v>28</v>
      </c>
      <c r="C90" s="12" t="n">
        <v>133</v>
      </c>
      <c r="D90" s="13" t="n">
        <f aca="false">IF(AND(ISNUMBER(A90),ISNUMBER(C90)),IF(B90="M",1,0),0)</f>
        <v>1</v>
      </c>
      <c r="E90" s="13" t="n">
        <f aca="false">IF(AND(ISNUMBER(A90),ISNUMBER(C90)),A90,0)</f>
        <v>74</v>
      </c>
      <c r="F90" s="13" t="n">
        <f aca="false">IF(AND(ISNUMBER(A90),ISNUMBER(C90)),C90,0)</f>
        <v>133</v>
      </c>
      <c r="G90" s="13" t="n">
        <f aca="false">IF(AND(ISNUMBER(A90),ISNUMBER(C90)),IF(A90&lt;35,1,IF(A90&lt;50,2,IF(A90&lt;65,3,4))),0)</f>
        <v>4</v>
      </c>
      <c r="H90" s="13" t="n">
        <f aca="false">IF(AND(ISNUMBER(A90),ISNUMBER(C90)),1,0)</f>
        <v>1</v>
      </c>
    </row>
    <row r="91" customFormat="false" ht="15" hidden="false" customHeight="false" outlineLevel="0" collapsed="false">
      <c r="A91" s="12" t="n">
        <v>42</v>
      </c>
      <c r="B91" s="12" t="s">
        <v>27</v>
      </c>
      <c r="C91" s="12" t="n">
        <v>129</v>
      </c>
      <c r="D91" s="13" t="n">
        <f aca="false">IF(AND(ISNUMBER(A91),ISNUMBER(C91)),IF(B91="M",1,0),0)</f>
        <v>0</v>
      </c>
      <c r="E91" s="13" t="n">
        <f aca="false">IF(AND(ISNUMBER(A91),ISNUMBER(C91)),A91,0)</f>
        <v>42</v>
      </c>
      <c r="F91" s="13" t="n">
        <f aca="false">IF(AND(ISNUMBER(A91),ISNUMBER(C91)),C91,0)</f>
        <v>129</v>
      </c>
      <c r="G91" s="13" t="n">
        <f aca="false">IF(AND(ISNUMBER(A91),ISNUMBER(C91)),IF(A91&lt;35,1,IF(A91&lt;50,2,IF(A91&lt;65,3,4))),0)</f>
        <v>2</v>
      </c>
      <c r="H91" s="13" t="n">
        <f aca="false">IF(AND(ISNUMBER(A91),ISNUMBER(C91)),1,0)</f>
        <v>1</v>
      </c>
    </row>
    <row r="92" customFormat="false" ht="15" hidden="false" customHeight="false" outlineLevel="0" collapsed="false">
      <c r="A92" s="12" t="n">
        <v>33</v>
      </c>
      <c r="B92" s="12" t="s">
        <v>28</v>
      </c>
      <c r="C92" s="12" t="n">
        <v>109</v>
      </c>
      <c r="D92" s="13" t="n">
        <f aca="false">IF(AND(ISNUMBER(A92),ISNUMBER(C92)),IF(B92="M",1,0),0)</f>
        <v>1</v>
      </c>
      <c r="E92" s="13" t="n">
        <f aca="false">IF(AND(ISNUMBER(A92),ISNUMBER(C92)),A92,0)</f>
        <v>33</v>
      </c>
      <c r="F92" s="13" t="n">
        <f aca="false">IF(AND(ISNUMBER(A92),ISNUMBER(C92)),C92,0)</f>
        <v>109</v>
      </c>
      <c r="G92" s="13" t="n">
        <f aca="false">IF(AND(ISNUMBER(A92),ISNUMBER(C92)),IF(A92&lt;35,1,IF(A92&lt;50,2,IF(A92&lt;65,3,4))),0)</f>
        <v>1</v>
      </c>
      <c r="H92" s="13" t="n">
        <f aca="false">IF(AND(ISNUMBER(A92),ISNUMBER(C92)),1,0)</f>
        <v>1</v>
      </c>
    </row>
    <row r="93" customFormat="false" ht="15" hidden="false" customHeight="false" outlineLevel="0" collapsed="false">
      <c r="A93" s="12" t="n">
        <v>21</v>
      </c>
      <c r="B93" s="12" t="s">
        <v>27</v>
      </c>
      <c r="C93" s="12" t="n">
        <v>119</v>
      </c>
      <c r="D93" s="13" t="n">
        <f aca="false">IF(AND(ISNUMBER(A93),ISNUMBER(C93)),IF(B93="M",1,0),0)</f>
        <v>0</v>
      </c>
      <c r="E93" s="13" t="n">
        <f aca="false">IF(AND(ISNUMBER(A93),ISNUMBER(C93)),A93,0)</f>
        <v>21</v>
      </c>
      <c r="F93" s="13" t="n">
        <f aca="false">IF(AND(ISNUMBER(A93),ISNUMBER(C93)),C93,0)</f>
        <v>119</v>
      </c>
      <c r="G93" s="13" t="n">
        <f aca="false">IF(AND(ISNUMBER(A93),ISNUMBER(C93)),IF(A93&lt;35,1,IF(A93&lt;50,2,IF(A93&lt;65,3,4))),0)</f>
        <v>1</v>
      </c>
      <c r="H93" s="13" t="n">
        <f aca="false">IF(AND(ISNUMBER(A93),ISNUMBER(C93)),1,0)</f>
        <v>1</v>
      </c>
    </row>
    <row r="94" customFormat="false" ht="15" hidden="false" customHeight="false" outlineLevel="0" collapsed="false">
      <c r="A94" s="12" t="n">
        <v>75</v>
      </c>
      <c r="B94" s="12" t="s">
        <v>28</v>
      </c>
      <c r="C94" s="12" t="n">
        <v>169</v>
      </c>
      <c r="D94" s="13" t="n">
        <f aca="false">IF(AND(ISNUMBER(A94),ISNUMBER(C94)),IF(B94="M",1,0),0)</f>
        <v>1</v>
      </c>
      <c r="E94" s="13" t="n">
        <f aca="false">IF(AND(ISNUMBER(A94),ISNUMBER(C94)),A94,0)</f>
        <v>75</v>
      </c>
      <c r="F94" s="13" t="n">
        <f aca="false">IF(AND(ISNUMBER(A94),ISNUMBER(C94)),C94,0)</f>
        <v>169</v>
      </c>
      <c r="G94" s="13" t="n">
        <f aca="false">IF(AND(ISNUMBER(A94),ISNUMBER(C94)),IF(A94&lt;35,1,IF(A94&lt;50,2,IF(A94&lt;65,3,4))),0)</f>
        <v>4</v>
      </c>
      <c r="H94" s="13" t="n">
        <f aca="false">IF(AND(ISNUMBER(A94),ISNUMBER(C94)),1,0)</f>
        <v>1</v>
      </c>
    </row>
    <row r="95" customFormat="false" ht="15" hidden="false" customHeight="false" outlineLevel="0" collapsed="false">
      <c r="A95" s="12" t="n">
        <v>59</v>
      </c>
      <c r="B95" s="12" t="s">
        <v>27</v>
      </c>
      <c r="C95" s="12" t="n">
        <v>125</v>
      </c>
      <c r="D95" s="13" t="n">
        <f aca="false">IF(AND(ISNUMBER(A95),ISNUMBER(C95)),IF(B95="M",1,0),0)</f>
        <v>0</v>
      </c>
      <c r="E95" s="13" t="n">
        <f aca="false">IF(AND(ISNUMBER(A95),ISNUMBER(C95)),A95,0)</f>
        <v>59</v>
      </c>
      <c r="F95" s="13" t="n">
        <f aca="false">IF(AND(ISNUMBER(A95),ISNUMBER(C95)),C95,0)</f>
        <v>125</v>
      </c>
      <c r="G95" s="13" t="n">
        <f aca="false">IF(AND(ISNUMBER(A95),ISNUMBER(C95)),IF(A95&lt;35,1,IF(A95&lt;50,2,IF(A95&lt;65,3,4))),0)</f>
        <v>3</v>
      </c>
      <c r="H95" s="13" t="n">
        <f aca="false">IF(AND(ISNUMBER(A95),ISNUMBER(C95)),1,0)</f>
        <v>1</v>
      </c>
    </row>
    <row r="96" customFormat="false" ht="15" hidden="false" customHeight="false" outlineLevel="0" collapsed="false">
      <c r="A96" s="12" t="n">
        <v>63</v>
      </c>
      <c r="B96" s="12" t="s">
        <v>27</v>
      </c>
      <c r="C96" s="12" t="n">
        <v>154</v>
      </c>
      <c r="D96" s="13" t="n">
        <f aca="false">IF(AND(ISNUMBER(A96),ISNUMBER(C96)),IF(B96="M",1,0),0)</f>
        <v>0</v>
      </c>
      <c r="E96" s="13" t="n">
        <f aca="false">IF(AND(ISNUMBER(A96),ISNUMBER(C96)),A96,0)</f>
        <v>63</v>
      </c>
      <c r="F96" s="13" t="n">
        <f aca="false">IF(AND(ISNUMBER(A96),ISNUMBER(C96)),C96,0)</f>
        <v>154</v>
      </c>
      <c r="G96" s="13" t="n">
        <f aca="false">IF(AND(ISNUMBER(A96),ISNUMBER(C96)),IF(A96&lt;35,1,IF(A96&lt;50,2,IF(A96&lt;65,3,4))),0)</f>
        <v>3</v>
      </c>
      <c r="H96" s="13" t="n">
        <f aca="false">IF(AND(ISNUMBER(A96),ISNUMBER(C96)),1,0)</f>
        <v>1</v>
      </c>
    </row>
    <row r="97" customFormat="false" ht="15" hidden="false" customHeight="false" outlineLevel="0" collapsed="false">
      <c r="A97" s="12" t="n">
        <v>42</v>
      </c>
      <c r="B97" s="12" t="s">
        <v>27</v>
      </c>
      <c r="C97" s="12" t="n">
        <v>131</v>
      </c>
      <c r="D97" s="13" t="n">
        <f aca="false">IF(AND(ISNUMBER(A97),ISNUMBER(C97)),IF(B97="M",1,0),0)</f>
        <v>0</v>
      </c>
      <c r="E97" s="13" t="n">
        <f aca="false">IF(AND(ISNUMBER(A97),ISNUMBER(C97)),A97,0)</f>
        <v>42</v>
      </c>
      <c r="F97" s="13" t="n">
        <f aca="false">IF(AND(ISNUMBER(A97),ISNUMBER(C97)),C97,0)</f>
        <v>131</v>
      </c>
      <c r="G97" s="13" t="n">
        <f aca="false">IF(AND(ISNUMBER(A97),ISNUMBER(C97)),IF(A97&lt;35,1,IF(A97&lt;50,2,IF(A97&lt;65,3,4))),0)</f>
        <v>2</v>
      </c>
      <c r="H97" s="13" t="n">
        <f aca="false">IF(AND(ISNUMBER(A97),ISNUMBER(C97)),1,0)</f>
        <v>1</v>
      </c>
    </row>
    <row r="98" customFormat="false" ht="15" hidden="false" customHeight="false" outlineLevel="0" collapsed="false">
      <c r="A98" s="12" t="n">
        <v>53</v>
      </c>
      <c r="B98" s="12" t="s">
        <v>27</v>
      </c>
      <c r="C98" s="12" t="n">
        <v>124</v>
      </c>
      <c r="D98" s="13" t="n">
        <f aca="false">IF(AND(ISNUMBER(A98),ISNUMBER(C98)),IF(B98="M",1,0),0)</f>
        <v>0</v>
      </c>
      <c r="E98" s="13" t="n">
        <f aca="false">IF(AND(ISNUMBER(A98),ISNUMBER(C98)),A98,0)</f>
        <v>53</v>
      </c>
      <c r="F98" s="13" t="n">
        <f aca="false">IF(AND(ISNUMBER(A98),ISNUMBER(C98)),C98,0)</f>
        <v>124</v>
      </c>
      <c r="G98" s="13" t="n">
        <f aca="false">IF(AND(ISNUMBER(A98),ISNUMBER(C98)),IF(A98&lt;35,1,IF(A98&lt;50,2,IF(A98&lt;65,3,4))),0)</f>
        <v>3</v>
      </c>
      <c r="H98" s="13" t="n">
        <f aca="false">IF(AND(ISNUMBER(A98),ISNUMBER(C98)),1,0)</f>
        <v>1</v>
      </c>
    </row>
    <row r="99" customFormat="false" ht="15" hidden="false" customHeight="false" outlineLevel="0" collapsed="false">
      <c r="A99" s="12" t="n">
        <v>72</v>
      </c>
      <c r="B99" s="12" t="s">
        <v>28</v>
      </c>
      <c r="C99" s="12" t="n">
        <v>164</v>
      </c>
      <c r="D99" s="13" t="n">
        <f aca="false">IF(AND(ISNUMBER(A99),ISNUMBER(C99)),IF(B99="M",1,0),0)</f>
        <v>1</v>
      </c>
      <c r="E99" s="13" t="n">
        <f aca="false">IF(AND(ISNUMBER(A99),ISNUMBER(C99)),A99,0)</f>
        <v>72</v>
      </c>
      <c r="F99" s="13" t="n">
        <f aca="false">IF(AND(ISNUMBER(A99),ISNUMBER(C99)),C99,0)</f>
        <v>164</v>
      </c>
      <c r="G99" s="13" t="n">
        <f aca="false">IF(AND(ISNUMBER(A99),ISNUMBER(C99)),IF(A99&lt;35,1,IF(A99&lt;50,2,IF(A99&lt;65,3,4))),0)</f>
        <v>4</v>
      </c>
      <c r="H99" s="13" t="n">
        <f aca="false">IF(AND(ISNUMBER(A99),ISNUMBER(C99)),1,0)</f>
        <v>1</v>
      </c>
    </row>
    <row r="100" customFormat="false" ht="15" hidden="false" customHeight="false" outlineLevel="0" collapsed="false">
      <c r="A100" s="12" t="n">
        <v>66</v>
      </c>
      <c r="B100" s="12" t="s">
        <v>27</v>
      </c>
      <c r="C100" s="12" t="n">
        <v>120</v>
      </c>
      <c r="D100" s="13" t="n">
        <f aca="false">IF(AND(ISNUMBER(A100),ISNUMBER(C100)),IF(B100="M",1,0),0)</f>
        <v>0</v>
      </c>
      <c r="E100" s="13" t="n">
        <f aca="false">IF(AND(ISNUMBER(A100),ISNUMBER(C100)),A100,0)</f>
        <v>66</v>
      </c>
      <c r="F100" s="13" t="n">
        <f aca="false">IF(AND(ISNUMBER(A100),ISNUMBER(C100)),C100,0)</f>
        <v>120</v>
      </c>
      <c r="G100" s="13" t="n">
        <f aca="false">IF(AND(ISNUMBER(A100),ISNUMBER(C100)),IF(A100&lt;35,1,IF(A100&lt;50,2,IF(A100&lt;65,3,4))),0)</f>
        <v>4</v>
      </c>
      <c r="H100" s="13" t="n">
        <f aca="false">IF(AND(ISNUMBER(A100),ISNUMBER(C100)),1,0)</f>
        <v>1</v>
      </c>
    </row>
    <row r="101" customFormat="false" ht="15" hidden="false" customHeight="false" outlineLevel="0" collapsed="false">
      <c r="A101" s="12" t="n">
        <v>22</v>
      </c>
      <c r="B101" s="12" t="s">
        <v>27</v>
      </c>
      <c r="C101" s="12" t="n">
        <v>110</v>
      </c>
      <c r="D101" s="13" t="n">
        <f aca="false">IF(AND(ISNUMBER(A101),ISNUMBER(C101)),IF(B101="M",1,0),0)</f>
        <v>0</v>
      </c>
      <c r="E101" s="13" t="n">
        <f aca="false">IF(AND(ISNUMBER(A101),ISNUMBER(C101)),A101,0)</f>
        <v>22</v>
      </c>
      <c r="F101" s="13" t="n">
        <f aca="false">IF(AND(ISNUMBER(A101),ISNUMBER(C101)),C101,0)</f>
        <v>110</v>
      </c>
      <c r="G101" s="13" t="n">
        <f aca="false">IF(AND(ISNUMBER(A101),ISNUMBER(C101)),IF(A101&lt;35,1,IF(A101&lt;50,2,IF(A101&lt;65,3,4))),0)</f>
        <v>1</v>
      </c>
      <c r="H101" s="13" t="n">
        <f aca="false">IF(AND(ISNUMBER(A101),ISNUMBER(C101)),1,0)</f>
        <v>1</v>
      </c>
    </row>
    <row r="102" customFormat="false" ht="15" hidden="false" customHeight="false" outlineLevel="0" collapsed="false">
      <c r="A102" s="12" t="n">
        <v>48</v>
      </c>
      <c r="B102" s="12" t="s">
        <v>27</v>
      </c>
      <c r="C102" s="12" t="n">
        <v>109</v>
      </c>
      <c r="D102" s="13" t="n">
        <f aca="false">IF(AND(ISNUMBER(A102),ISNUMBER(C102)),IF(B102="M",1,0),0)</f>
        <v>0</v>
      </c>
      <c r="E102" s="13" t="n">
        <f aca="false">IF(AND(ISNUMBER(A102),ISNUMBER(C102)),A102,0)</f>
        <v>48</v>
      </c>
      <c r="F102" s="13" t="n">
        <f aca="false">IF(AND(ISNUMBER(A102),ISNUMBER(C102)),C102,0)</f>
        <v>109</v>
      </c>
      <c r="G102" s="13" t="n">
        <f aca="false">IF(AND(ISNUMBER(A102),ISNUMBER(C102)),IF(A102&lt;35,1,IF(A102&lt;50,2,IF(A102&lt;65,3,4))),0)</f>
        <v>2</v>
      </c>
      <c r="H102" s="13" t="n">
        <f aca="false">IF(AND(ISNUMBER(A102),ISNUMBER(C102)),1,0)</f>
        <v>1</v>
      </c>
    </row>
    <row r="103" customFormat="false" ht="15" hidden="false" customHeight="false" outlineLevel="0" collapsed="false">
      <c r="A103" s="12" t="n">
        <v>71</v>
      </c>
      <c r="B103" s="12" t="s">
        <v>28</v>
      </c>
      <c r="C103" s="12" t="n">
        <v>111</v>
      </c>
      <c r="D103" s="13" t="n">
        <f aca="false">IF(AND(ISNUMBER(A103),ISNUMBER(C103)),IF(B103="M",1,0),0)</f>
        <v>1</v>
      </c>
      <c r="E103" s="13" t="n">
        <f aca="false">IF(AND(ISNUMBER(A103),ISNUMBER(C103)),A103,0)</f>
        <v>71</v>
      </c>
      <c r="F103" s="13" t="n">
        <f aca="false">IF(AND(ISNUMBER(A103),ISNUMBER(C103)),C103,0)</f>
        <v>111</v>
      </c>
      <c r="G103" s="13" t="n">
        <f aca="false">IF(AND(ISNUMBER(A103),ISNUMBER(C103)),IF(A103&lt;35,1,IF(A103&lt;50,2,IF(A103&lt;65,3,4))),0)</f>
        <v>4</v>
      </c>
      <c r="H103" s="13" t="n">
        <f aca="false">IF(AND(ISNUMBER(A103),ISNUMBER(C103)),1,0)</f>
        <v>1</v>
      </c>
    </row>
    <row r="104" customFormat="false" ht="15" hidden="false" customHeight="false" outlineLevel="0" collapsed="false">
      <c r="A104" s="12" t="n">
        <v>29</v>
      </c>
      <c r="B104" s="12" t="s">
        <v>27</v>
      </c>
      <c r="C104" s="12" t="n">
        <v>96</v>
      </c>
      <c r="D104" s="13" t="n">
        <f aca="false">IF(AND(ISNUMBER(A104),ISNUMBER(C104)),IF(B104="M",1,0),0)</f>
        <v>0</v>
      </c>
      <c r="E104" s="13" t="n">
        <f aca="false">IF(AND(ISNUMBER(A104),ISNUMBER(C104)),A104,0)</f>
        <v>29</v>
      </c>
      <c r="F104" s="13" t="n">
        <f aca="false">IF(AND(ISNUMBER(A104),ISNUMBER(C104)),C104,0)</f>
        <v>96</v>
      </c>
      <c r="G104" s="13" t="n">
        <f aca="false">IF(AND(ISNUMBER(A104),ISNUMBER(C104)),IF(A104&lt;35,1,IF(A104&lt;50,2,IF(A104&lt;65,3,4))),0)</f>
        <v>1</v>
      </c>
      <c r="H104" s="13" t="n">
        <f aca="false">IF(AND(ISNUMBER(A104),ISNUMBER(C104)),1,0)</f>
        <v>1</v>
      </c>
    </row>
    <row r="105" customFormat="false" ht="15" hidden="false" customHeight="false" outlineLevel="0" collapsed="false">
      <c r="A105" s="12" t="n">
        <v>43</v>
      </c>
      <c r="B105" s="12" t="s">
        <v>28</v>
      </c>
      <c r="C105" s="12" t="n">
        <v>131</v>
      </c>
      <c r="D105" s="13" t="n">
        <f aca="false">IF(AND(ISNUMBER(A105),ISNUMBER(C105)),IF(B105="M",1,0),0)</f>
        <v>1</v>
      </c>
      <c r="E105" s="13" t="n">
        <f aca="false">IF(AND(ISNUMBER(A105),ISNUMBER(C105)),A105,0)</f>
        <v>43</v>
      </c>
      <c r="F105" s="13" t="n">
        <f aca="false">IF(AND(ISNUMBER(A105),ISNUMBER(C105)),C105,0)</f>
        <v>131</v>
      </c>
      <c r="G105" s="13" t="n">
        <f aca="false">IF(AND(ISNUMBER(A105),ISNUMBER(C105)),IF(A105&lt;35,1,IF(A105&lt;50,2,IF(A105&lt;65,3,4))),0)</f>
        <v>2</v>
      </c>
      <c r="H105" s="13" t="n">
        <f aca="false">IF(AND(ISNUMBER(A105),ISNUMBER(C105)),1,0)</f>
        <v>1</v>
      </c>
    </row>
    <row r="106" customFormat="false" ht="15" hidden="false" customHeight="false" outlineLevel="0" collapsed="false">
      <c r="A106" s="12" t="n">
        <v>52</v>
      </c>
      <c r="B106" s="12" t="s">
        <v>27</v>
      </c>
      <c r="C106" s="12" t="n">
        <v>125</v>
      </c>
      <c r="D106" s="13" t="n">
        <f aca="false">IF(AND(ISNUMBER(A106),ISNUMBER(C106)),IF(B106="M",1,0),0)</f>
        <v>0</v>
      </c>
      <c r="E106" s="13" t="n">
        <f aca="false">IF(AND(ISNUMBER(A106),ISNUMBER(C106)),A106,0)</f>
        <v>52</v>
      </c>
      <c r="F106" s="13" t="n">
        <f aca="false">IF(AND(ISNUMBER(A106),ISNUMBER(C106)),C106,0)</f>
        <v>125</v>
      </c>
      <c r="G106" s="13" t="n">
        <f aca="false">IF(AND(ISNUMBER(A106),ISNUMBER(C106)),IF(A106&lt;35,1,IF(A106&lt;50,2,IF(A106&lt;65,3,4))),0)</f>
        <v>3</v>
      </c>
      <c r="H106" s="13" t="n">
        <f aca="false">IF(AND(ISNUMBER(A106),ISNUMBER(C106)),1,0)</f>
        <v>1</v>
      </c>
    </row>
    <row r="107" customFormat="false" ht="15" hidden="false" customHeight="false" outlineLevel="0" collapsed="false">
      <c r="A107" s="12" t="n">
        <v>71</v>
      </c>
      <c r="B107" s="12" t="s">
        <v>27</v>
      </c>
      <c r="C107" s="12" t="n">
        <v>119</v>
      </c>
      <c r="D107" s="13" t="n">
        <f aca="false">IF(AND(ISNUMBER(A107),ISNUMBER(C107)),IF(B107="M",1,0),0)</f>
        <v>0</v>
      </c>
      <c r="E107" s="13" t="n">
        <f aca="false">IF(AND(ISNUMBER(A107),ISNUMBER(C107)),A107,0)</f>
        <v>71</v>
      </c>
      <c r="F107" s="13" t="n">
        <f aca="false">IF(AND(ISNUMBER(A107),ISNUMBER(C107)),C107,0)</f>
        <v>119</v>
      </c>
      <c r="G107" s="13" t="n">
        <f aca="false">IF(AND(ISNUMBER(A107),ISNUMBER(C107)),IF(A107&lt;35,1,IF(A107&lt;50,2,IF(A107&lt;65,3,4))),0)</f>
        <v>4</v>
      </c>
      <c r="H107" s="13" t="n">
        <f aca="false">IF(AND(ISNUMBER(A107),ISNUMBER(C107)),1,0)</f>
        <v>1</v>
      </c>
    </row>
    <row r="108" customFormat="false" ht="15" hidden="false" customHeight="false" outlineLevel="0" collapsed="false">
      <c r="A108" s="12" t="n">
        <v>35</v>
      </c>
      <c r="B108" s="12" t="s">
        <v>27</v>
      </c>
      <c r="C108" s="12" t="n">
        <v>124</v>
      </c>
      <c r="D108" s="13" t="n">
        <f aca="false">IF(AND(ISNUMBER(A108),ISNUMBER(C108)),IF(B108="M",1,0),0)</f>
        <v>0</v>
      </c>
      <c r="E108" s="13" t="n">
        <f aca="false">IF(AND(ISNUMBER(A108),ISNUMBER(C108)),A108,0)</f>
        <v>35</v>
      </c>
      <c r="F108" s="13" t="n">
        <f aca="false">IF(AND(ISNUMBER(A108),ISNUMBER(C108)),C108,0)</f>
        <v>124</v>
      </c>
      <c r="G108" s="13" t="n">
        <f aca="false">IF(AND(ISNUMBER(A108),ISNUMBER(C108)),IF(A108&lt;35,1,IF(A108&lt;50,2,IF(A108&lt;65,3,4))),0)</f>
        <v>2</v>
      </c>
      <c r="H108" s="13" t="n">
        <f aca="false">IF(AND(ISNUMBER(A108),ISNUMBER(C108)),1,0)</f>
        <v>1</v>
      </c>
    </row>
    <row r="109" customFormat="false" ht="15" hidden="false" customHeight="false" outlineLevel="0" collapsed="false">
      <c r="A109" s="12" t="n">
        <v>66</v>
      </c>
      <c r="B109" s="12" t="s">
        <v>28</v>
      </c>
      <c r="C109" s="12" t="n">
        <v>125</v>
      </c>
      <c r="D109" s="13" t="n">
        <f aca="false">IF(AND(ISNUMBER(A109),ISNUMBER(C109)),IF(B109="M",1,0),0)</f>
        <v>1</v>
      </c>
      <c r="E109" s="13" t="n">
        <f aca="false">IF(AND(ISNUMBER(A109),ISNUMBER(C109)),A109,0)</f>
        <v>66</v>
      </c>
      <c r="F109" s="13" t="n">
        <f aca="false">IF(AND(ISNUMBER(A109),ISNUMBER(C109)),C109,0)</f>
        <v>125</v>
      </c>
      <c r="G109" s="13" t="n">
        <f aca="false">IF(AND(ISNUMBER(A109),ISNUMBER(C109)),IF(A109&lt;35,1,IF(A109&lt;50,2,IF(A109&lt;65,3,4))),0)</f>
        <v>4</v>
      </c>
      <c r="H109" s="13" t="n">
        <f aca="false">IF(AND(ISNUMBER(A109),ISNUMBER(C109)),1,0)</f>
        <v>1</v>
      </c>
    </row>
    <row r="110" customFormat="false" ht="15" hidden="false" customHeight="false" outlineLevel="0" collapsed="false">
      <c r="A110" s="12" t="n">
        <v>46</v>
      </c>
      <c r="B110" s="12" t="s">
        <v>28</v>
      </c>
      <c r="C110" s="12" t="n">
        <v>110</v>
      </c>
      <c r="D110" s="13" t="n">
        <f aca="false">IF(AND(ISNUMBER(A110),ISNUMBER(C110)),IF(B110="M",1,0),0)</f>
        <v>1</v>
      </c>
      <c r="E110" s="13" t="n">
        <f aca="false">IF(AND(ISNUMBER(A110),ISNUMBER(C110)),A110,0)</f>
        <v>46</v>
      </c>
      <c r="F110" s="13" t="n">
        <f aca="false">IF(AND(ISNUMBER(A110),ISNUMBER(C110)),C110,0)</f>
        <v>110</v>
      </c>
      <c r="G110" s="13" t="n">
        <f aca="false">IF(AND(ISNUMBER(A110),ISNUMBER(C110)),IF(A110&lt;35,1,IF(A110&lt;50,2,IF(A110&lt;65,3,4))),0)</f>
        <v>2</v>
      </c>
      <c r="H110" s="13" t="n">
        <f aca="false">IF(AND(ISNUMBER(A110),ISNUMBER(C110)),1,0)</f>
        <v>1</v>
      </c>
    </row>
    <row r="111" customFormat="false" ht="15" hidden="false" customHeight="false" outlineLevel="0" collapsed="false">
      <c r="A111" s="12" t="n">
        <v>33</v>
      </c>
      <c r="B111" s="12" t="s">
        <v>27</v>
      </c>
      <c r="C111" s="12" t="n">
        <v>119</v>
      </c>
      <c r="D111" s="13" t="n">
        <f aca="false">IF(AND(ISNUMBER(A111),ISNUMBER(C111)),IF(B111="M",1,0),0)</f>
        <v>0</v>
      </c>
      <c r="E111" s="13" t="n">
        <f aca="false">IF(AND(ISNUMBER(A111),ISNUMBER(C111)),A111,0)</f>
        <v>33</v>
      </c>
      <c r="F111" s="13" t="n">
        <f aca="false">IF(AND(ISNUMBER(A111),ISNUMBER(C111)),C111,0)</f>
        <v>119</v>
      </c>
      <c r="G111" s="13" t="n">
        <f aca="false">IF(AND(ISNUMBER(A111),ISNUMBER(C111)),IF(A111&lt;35,1,IF(A111&lt;50,2,IF(A111&lt;65,3,4))),0)</f>
        <v>1</v>
      </c>
      <c r="H111" s="13" t="n">
        <f aca="false">IF(AND(ISNUMBER(A111),ISNUMBER(C111)),1,0)</f>
        <v>1</v>
      </c>
    </row>
    <row r="112" customFormat="false" ht="15" hidden="false" customHeight="false" outlineLevel="0" collapsed="false">
      <c r="A112" s="12" t="n">
        <v>28</v>
      </c>
      <c r="B112" s="12" t="s">
        <v>28</v>
      </c>
      <c r="C112" s="12" t="n">
        <v>123</v>
      </c>
      <c r="D112" s="13" t="n">
        <f aca="false">IF(AND(ISNUMBER(A112),ISNUMBER(C112)),IF(B112="M",1,0),0)</f>
        <v>1</v>
      </c>
      <c r="E112" s="13" t="n">
        <f aca="false">IF(AND(ISNUMBER(A112),ISNUMBER(C112)),A112,0)</f>
        <v>28</v>
      </c>
      <c r="F112" s="13" t="n">
        <f aca="false">IF(AND(ISNUMBER(A112),ISNUMBER(C112)),C112,0)</f>
        <v>123</v>
      </c>
      <c r="G112" s="13" t="n">
        <f aca="false">IF(AND(ISNUMBER(A112),ISNUMBER(C112)),IF(A112&lt;35,1,IF(A112&lt;50,2,IF(A112&lt;65,3,4))),0)</f>
        <v>1</v>
      </c>
      <c r="H112" s="13" t="n">
        <f aca="false">IF(AND(ISNUMBER(A112),ISNUMBER(C112)),1,0)</f>
        <v>1</v>
      </c>
    </row>
    <row r="113" customFormat="false" ht="15" hidden="false" customHeight="false" outlineLevel="0" collapsed="false">
      <c r="A113" s="12" t="n">
        <v>68</v>
      </c>
      <c r="B113" s="12" t="s">
        <v>28</v>
      </c>
      <c r="C113" s="12" t="n">
        <v>147</v>
      </c>
      <c r="D113" s="13" t="n">
        <f aca="false">IF(AND(ISNUMBER(A113),ISNUMBER(C113)),IF(B113="M",1,0),0)</f>
        <v>1</v>
      </c>
      <c r="E113" s="13" t="n">
        <f aca="false">IF(AND(ISNUMBER(A113),ISNUMBER(C113)),A113,0)</f>
        <v>68</v>
      </c>
      <c r="F113" s="13" t="n">
        <f aca="false">IF(AND(ISNUMBER(A113),ISNUMBER(C113)),C113,0)</f>
        <v>147</v>
      </c>
      <c r="G113" s="13" t="n">
        <f aca="false">IF(AND(ISNUMBER(A113),ISNUMBER(C113)),IF(A113&lt;35,1,IF(A113&lt;50,2,IF(A113&lt;65,3,4))),0)</f>
        <v>4</v>
      </c>
      <c r="H113" s="13" t="n">
        <f aca="false">IF(AND(ISNUMBER(A113),ISNUMBER(C113)),1,0)</f>
        <v>1</v>
      </c>
    </row>
    <row r="114" customFormat="false" ht="15" hidden="false" customHeight="false" outlineLevel="0" collapsed="false">
      <c r="A114" s="12" t="n">
        <v>29</v>
      </c>
      <c r="B114" s="12" t="s">
        <v>27</v>
      </c>
      <c r="C114" s="12" t="n">
        <v>118</v>
      </c>
      <c r="D114" s="13" t="n">
        <f aca="false">IF(AND(ISNUMBER(A114),ISNUMBER(C114)),IF(B114="M",1,0),0)</f>
        <v>0</v>
      </c>
      <c r="E114" s="13" t="n">
        <f aca="false">IF(AND(ISNUMBER(A114),ISNUMBER(C114)),A114,0)</f>
        <v>29</v>
      </c>
      <c r="F114" s="13" t="n">
        <f aca="false">IF(AND(ISNUMBER(A114),ISNUMBER(C114)),C114,0)</f>
        <v>118</v>
      </c>
      <c r="G114" s="13" t="n">
        <f aca="false">IF(AND(ISNUMBER(A114),ISNUMBER(C114)),IF(A114&lt;35,1,IF(A114&lt;50,2,IF(A114&lt;65,3,4))),0)</f>
        <v>1</v>
      </c>
      <c r="H114" s="13" t="n">
        <f aca="false">IF(AND(ISNUMBER(A114),ISNUMBER(C114)),1,0)</f>
        <v>1</v>
      </c>
    </row>
    <row r="115" customFormat="false" ht="15" hidden="false" customHeight="false" outlineLevel="0" collapsed="false">
      <c r="A115" s="12" t="n">
        <v>24</v>
      </c>
      <c r="B115" s="12" t="s">
        <v>27</v>
      </c>
      <c r="C115" s="12" t="n">
        <v>109</v>
      </c>
      <c r="D115" s="13" t="n">
        <f aca="false">IF(AND(ISNUMBER(A115),ISNUMBER(C115)),IF(B115="M",1,0),0)</f>
        <v>0</v>
      </c>
      <c r="E115" s="13" t="n">
        <f aca="false">IF(AND(ISNUMBER(A115),ISNUMBER(C115)),A115,0)</f>
        <v>24</v>
      </c>
      <c r="F115" s="13" t="n">
        <f aca="false">IF(AND(ISNUMBER(A115),ISNUMBER(C115)),C115,0)</f>
        <v>109</v>
      </c>
      <c r="G115" s="13" t="n">
        <f aca="false">IF(AND(ISNUMBER(A115),ISNUMBER(C115)),IF(A115&lt;35,1,IF(A115&lt;50,2,IF(A115&lt;65,3,4))),0)</f>
        <v>1</v>
      </c>
      <c r="H115" s="13" t="n">
        <f aca="false">IF(AND(ISNUMBER(A115),ISNUMBER(C115)),1,0)</f>
        <v>1</v>
      </c>
    </row>
    <row r="116" customFormat="false" ht="15" hidden="false" customHeight="false" outlineLevel="0" collapsed="false">
      <c r="A116" s="12" t="n">
        <v>35</v>
      </c>
      <c r="B116" s="12" t="s">
        <v>27</v>
      </c>
      <c r="C116" s="12" t="n">
        <v>124</v>
      </c>
      <c r="D116" s="13" t="n">
        <f aca="false">IF(AND(ISNUMBER(A116),ISNUMBER(C116)),IF(B116="M",1,0),0)</f>
        <v>0</v>
      </c>
      <c r="E116" s="13" t="n">
        <f aca="false">IF(AND(ISNUMBER(A116),ISNUMBER(C116)),A116,0)</f>
        <v>35</v>
      </c>
      <c r="F116" s="13" t="n">
        <f aca="false">IF(AND(ISNUMBER(A116),ISNUMBER(C116)),C116,0)</f>
        <v>124</v>
      </c>
      <c r="G116" s="13" t="n">
        <f aca="false">IF(AND(ISNUMBER(A116),ISNUMBER(C116)),IF(A116&lt;35,1,IF(A116&lt;50,2,IF(A116&lt;65,3,4))),0)</f>
        <v>2</v>
      </c>
      <c r="H116" s="13" t="n">
        <f aca="false">IF(AND(ISNUMBER(A116),ISNUMBER(C116)),1,0)</f>
        <v>1</v>
      </c>
    </row>
    <row r="117" customFormat="false" ht="15" hidden="false" customHeight="false" outlineLevel="0" collapsed="false">
      <c r="A117" s="12" t="n">
        <v>23</v>
      </c>
      <c r="B117" s="12" t="s">
        <v>27</v>
      </c>
      <c r="C117" s="12" t="n">
        <v>111</v>
      </c>
      <c r="D117" s="13" t="n">
        <f aca="false">IF(AND(ISNUMBER(A117),ISNUMBER(C117)),IF(B117="M",1,0),0)</f>
        <v>0</v>
      </c>
      <c r="E117" s="13" t="n">
        <f aca="false">IF(AND(ISNUMBER(A117),ISNUMBER(C117)),A117,0)</f>
        <v>23</v>
      </c>
      <c r="F117" s="13" t="n">
        <f aca="false">IF(AND(ISNUMBER(A117),ISNUMBER(C117)),C117,0)</f>
        <v>111</v>
      </c>
      <c r="G117" s="13" t="n">
        <f aca="false">IF(AND(ISNUMBER(A117),ISNUMBER(C117)),IF(A117&lt;35,1,IF(A117&lt;50,2,IF(A117&lt;65,3,4))),0)</f>
        <v>1</v>
      </c>
      <c r="H117" s="13" t="n">
        <f aca="false">IF(AND(ISNUMBER(A117),ISNUMBER(C117)),1,0)</f>
        <v>1</v>
      </c>
    </row>
    <row r="118" customFormat="false" ht="15" hidden="false" customHeight="false" outlineLevel="0" collapsed="false">
      <c r="A118" s="12" t="n">
        <v>59</v>
      </c>
      <c r="B118" s="12" t="s">
        <v>27</v>
      </c>
      <c r="C118" s="12" t="n">
        <v>104</v>
      </c>
      <c r="D118" s="13" t="n">
        <f aca="false">IF(AND(ISNUMBER(A118),ISNUMBER(C118)),IF(B118="M",1,0),0)</f>
        <v>0</v>
      </c>
      <c r="E118" s="13" t="n">
        <f aca="false">IF(AND(ISNUMBER(A118),ISNUMBER(C118)),A118,0)</f>
        <v>59</v>
      </c>
      <c r="F118" s="13" t="n">
        <f aca="false">IF(AND(ISNUMBER(A118),ISNUMBER(C118)),C118,0)</f>
        <v>104</v>
      </c>
      <c r="G118" s="13" t="n">
        <f aca="false">IF(AND(ISNUMBER(A118),ISNUMBER(C118)),IF(A118&lt;35,1,IF(A118&lt;50,2,IF(A118&lt;65,3,4))),0)</f>
        <v>3</v>
      </c>
      <c r="H118" s="13" t="n">
        <f aca="false">IF(AND(ISNUMBER(A118),ISNUMBER(C118)),1,0)</f>
        <v>1</v>
      </c>
    </row>
    <row r="119" customFormat="false" ht="15" hidden="false" customHeight="false" outlineLevel="0" collapsed="false">
      <c r="A119" s="12" t="n">
        <v>36</v>
      </c>
      <c r="B119" s="12" t="s">
        <v>27</v>
      </c>
      <c r="C119" s="12" t="n">
        <v>105</v>
      </c>
      <c r="D119" s="13" t="n">
        <f aca="false">IF(AND(ISNUMBER(A119),ISNUMBER(C119)),IF(B119="M",1,0),0)</f>
        <v>0</v>
      </c>
      <c r="E119" s="13" t="n">
        <f aca="false">IF(AND(ISNUMBER(A119),ISNUMBER(C119)),A119,0)</f>
        <v>36</v>
      </c>
      <c r="F119" s="13" t="n">
        <f aca="false">IF(AND(ISNUMBER(A119),ISNUMBER(C119)),C119,0)</f>
        <v>105</v>
      </c>
      <c r="G119" s="13" t="n">
        <f aca="false">IF(AND(ISNUMBER(A119),ISNUMBER(C119)),IF(A119&lt;35,1,IF(A119&lt;50,2,IF(A119&lt;65,3,4))),0)</f>
        <v>2</v>
      </c>
      <c r="H119" s="13" t="n">
        <f aca="false">IF(AND(ISNUMBER(A119),ISNUMBER(C119)),1,0)</f>
        <v>1</v>
      </c>
    </row>
    <row r="120" customFormat="false" ht="15" hidden="false" customHeight="false" outlineLevel="0" collapsed="false">
      <c r="A120" s="12" t="n">
        <v>56</v>
      </c>
      <c r="B120" s="12" t="s">
        <v>28</v>
      </c>
      <c r="C120" s="12" t="n">
        <v>142</v>
      </c>
      <c r="D120" s="13" t="n">
        <f aca="false">IF(AND(ISNUMBER(A120),ISNUMBER(C120)),IF(B120="M",1,0),0)</f>
        <v>1</v>
      </c>
      <c r="E120" s="13" t="n">
        <f aca="false">IF(AND(ISNUMBER(A120),ISNUMBER(C120)),A120,0)</f>
        <v>56</v>
      </c>
      <c r="F120" s="13" t="n">
        <f aca="false">IF(AND(ISNUMBER(A120),ISNUMBER(C120)),C120,0)</f>
        <v>142</v>
      </c>
      <c r="G120" s="13" t="n">
        <f aca="false">IF(AND(ISNUMBER(A120),ISNUMBER(C120)),IF(A120&lt;35,1,IF(A120&lt;50,2,IF(A120&lt;65,3,4))),0)</f>
        <v>3</v>
      </c>
      <c r="H120" s="13" t="n">
        <f aca="false">IF(AND(ISNUMBER(A120),ISNUMBER(C120)),1,0)</f>
        <v>1</v>
      </c>
    </row>
    <row r="121" customFormat="false" ht="15" hidden="false" customHeight="false" outlineLevel="0" collapsed="false">
      <c r="A121" s="12" t="n">
        <v>22</v>
      </c>
      <c r="B121" s="12" t="s">
        <v>27</v>
      </c>
      <c r="C121" s="12" t="n">
        <v>120</v>
      </c>
      <c r="D121" s="13" t="n">
        <f aca="false">IF(AND(ISNUMBER(A121),ISNUMBER(C121)),IF(B121="M",1,0),0)</f>
        <v>0</v>
      </c>
      <c r="E121" s="13" t="n">
        <f aca="false">IF(AND(ISNUMBER(A121),ISNUMBER(C121)),A121,0)</f>
        <v>22</v>
      </c>
      <c r="F121" s="13" t="n">
        <f aca="false">IF(AND(ISNUMBER(A121),ISNUMBER(C121)),C121,0)</f>
        <v>120</v>
      </c>
      <c r="G121" s="13" t="n">
        <f aca="false">IF(AND(ISNUMBER(A121),ISNUMBER(C121)),IF(A121&lt;35,1,IF(A121&lt;50,2,IF(A121&lt;65,3,4))),0)</f>
        <v>1</v>
      </c>
      <c r="H121" s="13" t="n">
        <f aca="false">IF(AND(ISNUMBER(A121),ISNUMBER(C121)),1,0)</f>
        <v>1</v>
      </c>
    </row>
    <row r="122" customFormat="false" ht="15" hidden="false" customHeight="false" outlineLevel="0" collapsed="false">
      <c r="A122" s="12" t="n">
        <v>46</v>
      </c>
      <c r="B122" s="12" t="s">
        <v>28</v>
      </c>
      <c r="C122" s="12" t="n">
        <v>139</v>
      </c>
      <c r="D122" s="13" t="n">
        <f aca="false">IF(AND(ISNUMBER(A122),ISNUMBER(C122)),IF(B122="M",1,0),0)</f>
        <v>1</v>
      </c>
      <c r="E122" s="13" t="n">
        <f aca="false">IF(AND(ISNUMBER(A122),ISNUMBER(C122)),A122,0)</f>
        <v>46</v>
      </c>
      <c r="F122" s="13" t="n">
        <f aca="false">IF(AND(ISNUMBER(A122),ISNUMBER(C122)),C122,0)</f>
        <v>139</v>
      </c>
      <c r="G122" s="13" t="n">
        <f aca="false">IF(AND(ISNUMBER(A122),ISNUMBER(C122)),IF(A122&lt;35,1,IF(A122&lt;50,2,IF(A122&lt;65,3,4))),0)</f>
        <v>2</v>
      </c>
      <c r="H122" s="13" t="n">
        <f aca="false">IF(AND(ISNUMBER(A122),ISNUMBER(C122)),1,0)</f>
        <v>1</v>
      </c>
    </row>
    <row r="123" customFormat="false" ht="15" hidden="false" customHeight="false" outlineLevel="0" collapsed="false">
      <c r="A123" s="12" t="n">
        <v>24</v>
      </c>
      <c r="B123" s="12" t="s">
        <v>28</v>
      </c>
      <c r="C123" s="12" t="n">
        <v>118</v>
      </c>
      <c r="D123" s="13" t="n">
        <f aca="false">IF(AND(ISNUMBER(A123),ISNUMBER(C123)),IF(B123="M",1,0),0)</f>
        <v>1</v>
      </c>
      <c r="E123" s="13" t="n">
        <f aca="false">IF(AND(ISNUMBER(A123),ISNUMBER(C123)),A123,0)</f>
        <v>24</v>
      </c>
      <c r="F123" s="13" t="n">
        <f aca="false">IF(AND(ISNUMBER(A123),ISNUMBER(C123)),C123,0)</f>
        <v>118</v>
      </c>
      <c r="G123" s="13" t="n">
        <f aca="false">IF(AND(ISNUMBER(A123),ISNUMBER(C123)),IF(A123&lt;35,1,IF(A123&lt;50,2,IF(A123&lt;65,3,4))),0)</f>
        <v>1</v>
      </c>
      <c r="H123" s="13" t="n">
        <f aca="false">IF(AND(ISNUMBER(A123),ISNUMBER(C123)),1,0)</f>
        <v>1</v>
      </c>
    </row>
    <row r="124" customFormat="false" ht="15" hidden="false" customHeight="false" outlineLevel="0" collapsed="false">
      <c r="A124" s="12" t="n">
        <v>36</v>
      </c>
      <c r="B124" s="12" t="s">
        <v>27</v>
      </c>
      <c r="C124" s="12" t="n">
        <v>108</v>
      </c>
      <c r="D124" s="13" t="n">
        <f aca="false">IF(AND(ISNUMBER(A124),ISNUMBER(C124)),IF(B124="M",1,0),0)</f>
        <v>0</v>
      </c>
      <c r="E124" s="13" t="n">
        <f aca="false">IF(AND(ISNUMBER(A124),ISNUMBER(C124)),A124,0)</f>
        <v>36</v>
      </c>
      <c r="F124" s="13" t="n">
        <f aca="false">IF(AND(ISNUMBER(A124),ISNUMBER(C124)),C124,0)</f>
        <v>108</v>
      </c>
      <c r="G124" s="13" t="n">
        <f aca="false">IF(AND(ISNUMBER(A124),ISNUMBER(C124)),IF(A124&lt;35,1,IF(A124&lt;50,2,IF(A124&lt;65,3,4))),0)</f>
        <v>2</v>
      </c>
      <c r="H124" s="13" t="n">
        <f aca="false">IF(AND(ISNUMBER(A124),ISNUMBER(C124)),1,0)</f>
        <v>1</v>
      </c>
    </row>
    <row r="125" customFormat="false" ht="15" hidden="false" customHeight="false" outlineLevel="0" collapsed="false">
      <c r="A125" s="12" t="n">
        <v>76</v>
      </c>
      <c r="B125" s="12" t="s">
        <v>27</v>
      </c>
      <c r="C125" s="12" t="n">
        <v>136</v>
      </c>
      <c r="D125" s="13" t="n">
        <f aca="false">IF(AND(ISNUMBER(A125),ISNUMBER(C125)),IF(B125="M",1,0),0)</f>
        <v>0</v>
      </c>
      <c r="E125" s="13" t="n">
        <f aca="false">IF(AND(ISNUMBER(A125),ISNUMBER(C125)),A125,0)</f>
        <v>76</v>
      </c>
      <c r="F125" s="13" t="n">
        <f aca="false">IF(AND(ISNUMBER(A125),ISNUMBER(C125)),C125,0)</f>
        <v>136</v>
      </c>
      <c r="G125" s="13" t="n">
        <f aca="false">IF(AND(ISNUMBER(A125),ISNUMBER(C125)),IF(A125&lt;35,1,IF(A125&lt;50,2,IF(A125&lt;65,3,4))),0)</f>
        <v>4</v>
      </c>
      <c r="H125" s="13" t="n">
        <f aca="false">IF(AND(ISNUMBER(A125),ISNUMBER(C125)),1,0)</f>
        <v>1</v>
      </c>
    </row>
    <row r="126" customFormat="false" ht="15" hidden="false" customHeight="false" outlineLevel="0" collapsed="false">
      <c r="A126" s="12" t="n">
        <v>56</v>
      </c>
      <c r="B126" s="12" t="s">
        <v>28</v>
      </c>
      <c r="C126" s="12" t="n">
        <v>141</v>
      </c>
      <c r="D126" s="13" t="n">
        <f aca="false">IF(AND(ISNUMBER(A126),ISNUMBER(C126)),IF(B126="M",1,0),0)</f>
        <v>1</v>
      </c>
      <c r="E126" s="13" t="n">
        <f aca="false">IF(AND(ISNUMBER(A126),ISNUMBER(C126)),A126,0)</f>
        <v>56</v>
      </c>
      <c r="F126" s="13" t="n">
        <f aca="false">IF(AND(ISNUMBER(A126),ISNUMBER(C126)),C126,0)</f>
        <v>141</v>
      </c>
      <c r="G126" s="13" t="n">
        <f aca="false">IF(AND(ISNUMBER(A126),ISNUMBER(C126)),IF(A126&lt;35,1,IF(A126&lt;50,2,IF(A126&lt;65,3,4))),0)</f>
        <v>3</v>
      </c>
      <c r="H126" s="13" t="n">
        <f aca="false">IF(AND(ISNUMBER(A126),ISNUMBER(C126)),1,0)</f>
        <v>1</v>
      </c>
    </row>
    <row r="127" customFormat="false" ht="15" hidden="false" customHeight="false" outlineLevel="0" collapsed="false">
      <c r="A127" s="12" t="n">
        <v>38</v>
      </c>
      <c r="B127" s="12" t="s">
        <v>27</v>
      </c>
      <c r="C127" s="12" t="n">
        <v>111</v>
      </c>
      <c r="D127" s="13" t="n">
        <f aca="false">IF(AND(ISNUMBER(A127),ISNUMBER(C127)),IF(B127="M",1,0),0)</f>
        <v>0</v>
      </c>
      <c r="E127" s="13" t="n">
        <f aca="false">IF(AND(ISNUMBER(A127),ISNUMBER(C127)),A127,0)</f>
        <v>38</v>
      </c>
      <c r="F127" s="13" t="n">
        <f aca="false">IF(AND(ISNUMBER(A127),ISNUMBER(C127)),C127,0)</f>
        <v>111</v>
      </c>
      <c r="G127" s="13" t="n">
        <f aca="false">IF(AND(ISNUMBER(A127),ISNUMBER(C127)),IF(A127&lt;35,1,IF(A127&lt;50,2,IF(A127&lt;65,3,4))),0)</f>
        <v>2</v>
      </c>
      <c r="H127" s="13" t="n">
        <f aca="false">IF(AND(ISNUMBER(A127),ISNUMBER(C127)),1,0)</f>
        <v>1</v>
      </c>
    </row>
    <row r="128" customFormat="false" ht="15" hidden="false" customHeight="false" outlineLevel="0" collapsed="false">
      <c r="A128" s="12" t="n">
        <v>73</v>
      </c>
      <c r="B128" s="12" t="s">
        <v>28</v>
      </c>
      <c r="C128" s="12" t="n">
        <v>148</v>
      </c>
      <c r="D128" s="13" t="n">
        <f aca="false">IF(AND(ISNUMBER(A128),ISNUMBER(C128)),IF(B128="M",1,0),0)</f>
        <v>1</v>
      </c>
      <c r="E128" s="13" t="n">
        <f aca="false">IF(AND(ISNUMBER(A128),ISNUMBER(C128)),A128,0)</f>
        <v>73</v>
      </c>
      <c r="F128" s="13" t="n">
        <f aca="false">IF(AND(ISNUMBER(A128),ISNUMBER(C128)),C128,0)</f>
        <v>148</v>
      </c>
      <c r="G128" s="13" t="n">
        <f aca="false">IF(AND(ISNUMBER(A128),ISNUMBER(C128)),IF(A128&lt;35,1,IF(A128&lt;50,2,IF(A128&lt;65,3,4))),0)</f>
        <v>4</v>
      </c>
      <c r="H128" s="13" t="n">
        <f aca="false">IF(AND(ISNUMBER(A128),ISNUMBER(C128)),1,0)</f>
        <v>1</v>
      </c>
    </row>
    <row r="129" customFormat="false" ht="15" hidden="false" customHeight="false" outlineLevel="0" collapsed="false">
      <c r="A129" s="12" t="n">
        <v>30</v>
      </c>
      <c r="B129" s="12" t="s">
        <v>28</v>
      </c>
      <c r="C129" s="12" t="n">
        <v>115</v>
      </c>
      <c r="D129" s="13" t="n">
        <f aca="false">IF(AND(ISNUMBER(A129),ISNUMBER(C129)),IF(B129="M",1,0),0)</f>
        <v>1</v>
      </c>
      <c r="E129" s="13" t="n">
        <f aca="false">IF(AND(ISNUMBER(A129),ISNUMBER(C129)),A129,0)</f>
        <v>30</v>
      </c>
      <c r="F129" s="13" t="n">
        <f aca="false">IF(AND(ISNUMBER(A129),ISNUMBER(C129)),C129,0)</f>
        <v>115</v>
      </c>
      <c r="G129" s="13" t="n">
        <f aca="false">IF(AND(ISNUMBER(A129),ISNUMBER(C129)),IF(A129&lt;35,1,IF(A129&lt;50,2,IF(A129&lt;65,3,4))),0)</f>
        <v>1</v>
      </c>
      <c r="H129" s="13" t="n">
        <f aca="false">IF(AND(ISNUMBER(A129),ISNUMBER(C129)),1,0)</f>
        <v>1</v>
      </c>
    </row>
    <row r="130" customFormat="false" ht="15" hidden="false" customHeight="false" outlineLevel="0" collapsed="false">
      <c r="A130" s="12" t="n">
        <v>74</v>
      </c>
      <c r="B130" s="12" t="s">
        <v>27</v>
      </c>
      <c r="C130" s="12" t="n">
        <v>126</v>
      </c>
      <c r="D130" s="13" t="n">
        <f aca="false">IF(AND(ISNUMBER(A130),ISNUMBER(C130)),IF(B130="M",1,0),0)</f>
        <v>0</v>
      </c>
      <c r="E130" s="13" t="n">
        <f aca="false">IF(AND(ISNUMBER(A130),ISNUMBER(C130)),A130,0)</f>
        <v>74</v>
      </c>
      <c r="F130" s="13" t="n">
        <f aca="false">IF(AND(ISNUMBER(A130),ISNUMBER(C130)),C130,0)</f>
        <v>126</v>
      </c>
      <c r="G130" s="13" t="n">
        <f aca="false">IF(AND(ISNUMBER(A130),ISNUMBER(C130)),IF(A130&lt;35,1,IF(A130&lt;50,2,IF(A130&lt;65,3,4))),0)</f>
        <v>4</v>
      </c>
      <c r="H130" s="13" t="n">
        <f aca="false">IF(AND(ISNUMBER(A130),ISNUMBER(C130)),1,0)</f>
        <v>1</v>
      </c>
    </row>
    <row r="131" customFormat="false" ht="15" hidden="false" customHeight="false" outlineLevel="0" collapsed="false">
      <c r="A131" s="12" t="n">
        <v>62</v>
      </c>
      <c r="B131" s="12" t="s">
        <v>28</v>
      </c>
      <c r="C131" s="12" t="n">
        <v>135</v>
      </c>
      <c r="D131" s="13" t="n">
        <f aca="false">IF(AND(ISNUMBER(A131),ISNUMBER(C131)),IF(B131="M",1,0),0)</f>
        <v>1</v>
      </c>
      <c r="E131" s="13" t="n">
        <f aca="false">IF(AND(ISNUMBER(A131),ISNUMBER(C131)),A131,0)</f>
        <v>62</v>
      </c>
      <c r="F131" s="13" t="n">
        <f aca="false">IF(AND(ISNUMBER(A131),ISNUMBER(C131)),C131,0)</f>
        <v>135</v>
      </c>
      <c r="G131" s="13" t="n">
        <f aca="false">IF(AND(ISNUMBER(A131),ISNUMBER(C131)),IF(A131&lt;35,1,IF(A131&lt;50,2,IF(A131&lt;65,3,4))),0)</f>
        <v>3</v>
      </c>
      <c r="H131" s="13" t="n">
        <f aca="false">IF(AND(ISNUMBER(A131),ISNUMBER(C131)),1,0)</f>
        <v>1</v>
      </c>
    </row>
    <row r="132" customFormat="false" ht="15" hidden="false" customHeight="false" outlineLevel="0" collapsed="false">
      <c r="A132" s="12" t="n">
        <v>18</v>
      </c>
      <c r="B132" s="12" t="s">
        <v>28</v>
      </c>
      <c r="C132" s="12" t="n">
        <v>114</v>
      </c>
      <c r="D132" s="13" t="n">
        <f aca="false">IF(AND(ISNUMBER(A132),ISNUMBER(C132)),IF(B132="M",1,0),0)</f>
        <v>1</v>
      </c>
      <c r="E132" s="13" t="n">
        <f aca="false">IF(AND(ISNUMBER(A132),ISNUMBER(C132)),A132,0)</f>
        <v>18</v>
      </c>
      <c r="F132" s="13" t="n">
        <f aca="false">IF(AND(ISNUMBER(A132),ISNUMBER(C132)),C132,0)</f>
        <v>114</v>
      </c>
      <c r="G132" s="13" t="n">
        <f aca="false">IF(AND(ISNUMBER(A132),ISNUMBER(C132)),IF(A132&lt;35,1,IF(A132&lt;50,2,IF(A132&lt;65,3,4))),0)</f>
        <v>1</v>
      </c>
      <c r="H132" s="13" t="n">
        <f aca="false">IF(AND(ISNUMBER(A132),ISNUMBER(C132)),1,0)</f>
        <v>1</v>
      </c>
    </row>
    <row r="133" customFormat="false" ht="15" hidden="false" customHeight="false" outlineLevel="0" collapsed="false">
      <c r="A133" s="12" t="n">
        <v>25</v>
      </c>
      <c r="B133" s="12" t="s">
        <v>28</v>
      </c>
      <c r="C133" s="12" t="n">
        <v>108</v>
      </c>
      <c r="D133" s="13" t="n">
        <f aca="false">IF(AND(ISNUMBER(A133),ISNUMBER(C133)),IF(B133="M",1,0),0)</f>
        <v>1</v>
      </c>
      <c r="E133" s="13" t="n">
        <f aca="false">IF(AND(ISNUMBER(A133),ISNUMBER(C133)),A133,0)</f>
        <v>25</v>
      </c>
      <c r="F133" s="13" t="n">
        <f aca="false">IF(AND(ISNUMBER(A133),ISNUMBER(C133)),C133,0)</f>
        <v>108</v>
      </c>
      <c r="G133" s="13" t="n">
        <f aca="false">IF(AND(ISNUMBER(A133),ISNUMBER(C133)),IF(A133&lt;35,1,IF(A133&lt;50,2,IF(A133&lt;65,3,4))),0)</f>
        <v>1</v>
      </c>
      <c r="H133" s="13" t="n">
        <f aca="false">IF(AND(ISNUMBER(A133),ISNUMBER(C133)),1,0)</f>
        <v>1</v>
      </c>
    </row>
    <row r="134" customFormat="false" ht="15" hidden="false" customHeight="false" outlineLevel="0" collapsed="false">
      <c r="A134" s="12" t="n">
        <v>35</v>
      </c>
      <c r="B134" s="12" t="s">
        <v>27</v>
      </c>
      <c r="C134" s="12" t="n">
        <v>123</v>
      </c>
      <c r="D134" s="13" t="n">
        <f aca="false">IF(AND(ISNUMBER(A134),ISNUMBER(C134)),IF(B134="M",1,0),0)</f>
        <v>0</v>
      </c>
      <c r="E134" s="13" t="n">
        <f aca="false">IF(AND(ISNUMBER(A134),ISNUMBER(C134)),A134,0)</f>
        <v>35</v>
      </c>
      <c r="F134" s="13" t="n">
        <f aca="false">IF(AND(ISNUMBER(A134),ISNUMBER(C134)),C134,0)</f>
        <v>123</v>
      </c>
      <c r="G134" s="13" t="n">
        <f aca="false">IF(AND(ISNUMBER(A134),ISNUMBER(C134)),IF(A134&lt;35,1,IF(A134&lt;50,2,IF(A134&lt;65,3,4))),0)</f>
        <v>2</v>
      </c>
      <c r="H134" s="13" t="n">
        <f aca="false">IF(AND(ISNUMBER(A134),ISNUMBER(C134)),1,0)</f>
        <v>1</v>
      </c>
    </row>
    <row r="135" customFormat="false" ht="15" hidden="false" customHeight="false" outlineLevel="0" collapsed="false">
      <c r="A135" s="12" t="n">
        <v>64</v>
      </c>
      <c r="B135" s="12" t="s">
        <v>27</v>
      </c>
      <c r="C135" s="12" t="n">
        <v>149</v>
      </c>
      <c r="D135" s="13" t="n">
        <f aca="false">IF(AND(ISNUMBER(A135),ISNUMBER(C135)),IF(B135="M",1,0),0)</f>
        <v>0</v>
      </c>
      <c r="E135" s="13" t="n">
        <f aca="false">IF(AND(ISNUMBER(A135),ISNUMBER(C135)),A135,0)</f>
        <v>64</v>
      </c>
      <c r="F135" s="13" t="n">
        <f aca="false">IF(AND(ISNUMBER(A135),ISNUMBER(C135)),C135,0)</f>
        <v>149</v>
      </c>
      <c r="G135" s="13" t="n">
        <f aca="false">IF(AND(ISNUMBER(A135),ISNUMBER(C135)),IF(A135&lt;35,1,IF(A135&lt;50,2,IF(A135&lt;65,3,4))),0)</f>
        <v>3</v>
      </c>
      <c r="H135" s="13" t="n">
        <f aca="false">IF(AND(ISNUMBER(A135),ISNUMBER(C135)),1,0)</f>
        <v>1</v>
      </c>
    </row>
    <row r="136" customFormat="false" ht="15" hidden="false" customHeight="false" outlineLevel="0" collapsed="false">
      <c r="A136" s="12" t="n">
        <v>43</v>
      </c>
      <c r="B136" s="12" t="s">
        <v>28</v>
      </c>
      <c r="C136" s="12" t="n">
        <v>132</v>
      </c>
      <c r="D136" s="13" t="n">
        <f aca="false">IF(AND(ISNUMBER(A136),ISNUMBER(C136)),IF(B136="M",1,0),0)</f>
        <v>1</v>
      </c>
      <c r="E136" s="13" t="n">
        <f aca="false">IF(AND(ISNUMBER(A136),ISNUMBER(C136)),A136,0)</f>
        <v>43</v>
      </c>
      <c r="F136" s="13" t="n">
        <f aca="false">IF(AND(ISNUMBER(A136),ISNUMBER(C136)),C136,0)</f>
        <v>132</v>
      </c>
      <c r="G136" s="13" t="n">
        <f aca="false">IF(AND(ISNUMBER(A136),ISNUMBER(C136)),IF(A136&lt;35,1,IF(A136&lt;50,2,IF(A136&lt;65,3,4))),0)</f>
        <v>2</v>
      </c>
      <c r="H136" s="13" t="n">
        <f aca="false">IF(AND(ISNUMBER(A136),ISNUMBER(C136)),1,0)</f>
        <v>1</v>
      </c>
    </row>
    <row r="137" customFormat="false" ht="15" hidden="false" customHeight="false" outlineLevel="0" collapsed="false">
      <c r="A137" s="12" t="n">
        <v>32</v>
      </c>
      <c r="B137" s="12" t="s">
        <v>28</v>
      </c>
      <c r="C137" s="12" t="n">
        <v>108</v>
      </c>
      <c r="D137" s="13" t="n">
        <f aca="false">IF(AND(ISNUMBER(A137),ISNUMBER(C137)),IF(B137="M",1,0),0)</f>
        <v>1</v>
      </c>
      <c r="E137" s="13" t="n">
        <f aca="false">IF(AND(ISNUMBER(A137),ISNUMBER(C137)),A137,0)</f>
        <v>32</v>
      </c>
      <c r="F137" s="13" t="n">
        <f aca="false">IF(AND(ISNUMBER(A137),ISNUMBER(C137)),C137,0)</f>
        <v>108</v>
      </c>
      <c r="G137" s="13" t="n">
        <f aca="false">IF(AND(ISNUMBER(A137),ISNUMBER(C137)),IF(A137&lt;35,1,IF(A137&lt;50,2,IF(A137&lt;65,3,4))),0)</f>
        <v>1</v>
      </c>
      <c r="H137" s="13" t="n">
        <f aca="false">IF(AND(ISNUMBER(A137),ISNUMBER(C137)),1,0)</f>
        <v>1</v>
      </c>
    </row>
    <row r="138" customFormat="false" ht="15" hidden="false" customHeight="false" outlineLevel="0" collapsed="false">
      <c r="A138" s="12" t="n">
        <v>44</v>
      </c>
      <c r="B138" s="12" t="s">
        <v>28</v>
      </c>
      <c r="C138" s="12" t="n">
        <v>125</v>
      </c>
      <c r="D138" s="13" t="n">
        <f aca="false">IF(AND(ISNUMBER(A138),ISNUMBER(C138)),IF(B138="M",1,0),0)</f>
        <v>1</v>
      </c>
      <c r="E138" s="13" t="n">
        <f aca="false">IF(AND(ISNUMBER(A138),ISNUMBER(C138)),A138,0)</f>
        <v>44</v>
      </c>
      <c r="F138" s="13" t="n">
        <f aca="false">IF(AND(ISNUMBER(A138),ISNUMBER(C138)),C138,0)</f>
        <v>125</v>
      </c>
      <c r="G138" s="13" t="n">
        <f aca="false">IF(AND(ISNUMBER(A138),ISNUMBER(C138)),IF(A138&lt;35,1,IF(A138&lt;50,2,IF(A138&lt;65,3,4))),0)</f>
        <v>2</v>
      </c>
      <c r="H138" s="13" t="n">
        <f aca="false">IF(AND(ISNUMBER(A138),ISNUMBER(C138)),1,0)</f>
        <v>1</v>
      </c>
    </row>
    <row r="139" customFormat="false" ht="15" hidden="false" customHeight="false" outlineLevel="0" collapsed="false">
      <c r="A139" s="12" t="n">
        <v>56</v>
      </c>
      <c r="B139" s="12" t="s">
        <v>28</v>
      </c>
      <c r="C139" s="12" t="n">
        <v>117</v>
      </c>
      <c r="D139" s="13" t="n">
        <f aca="false">IF(AND(ISNUMBER(A139),ISNUMBER(C139)),IF(B139="M",1,0),0)</f>
        <v>1</v>
      </c>
      <c r="E139" s="13" t="n">
        <f aca="false">IF(AND(ISNUMBER(A139),ISNUMBER(C139)),A139,0)</f>
        <v>56</v>
      </c>
      <c r="F139" s="13" t="n">
        <f aca="false">IF(AND(ISNUMBER(A139),ISNUMBER(C139)),C139,0)</f>
        <v>117</v>
      </c>
      <c r="G139" s="13" t="n">
        <f aca="false">IF(AND(ISNUMBER(A139),ISNUMBER(C139)),IF(A139&lt;35,1,IF(A139&lt;50,2,IF(A139&lt;65,3,4))),0)</f>
        <v>3</v>
      </c>
      <c r="H139" s="13" t="n">
        <f aca="false">IF(AND(ISNUMBER(A139),ISNUMBER(C139)),1,0)</f>
        <v>1</v>
      </c>
    </row>
    <row r="140" customFormat="false" ht="15" hidden="false" customHeight="false" outlineLevel="0" collapsed="false">
      <c r="A140" s="12" t="n">
        <v>71</v>
      </c>
      <c r="B140" s="12" t="s">
        <v>27</v>
      </c>
      <c r="C140" s="12" t="n">
        <v>141</v>
      </c>
      <c r="D140" s="13" t="n">
        <f aca="false">IF(AND(ISNUMBER(A140),ISNUMBER(C140)),IF(B140="M",1,0),0)</f>
        <v>0</v>
      </c>
      <c r="E140" s="13" t="n">
        <f aca="false">IF(AND(ISNUMBER(A140),ISNUMBER(C140)),A140,0)</f>
        <v>71</v>
      </c>
      <c r="F140" s="13" t="n">
        <f aca="false">IF(AND(ISNUMBER(A140),ISNUMBER(C140)),C140,0)</f>
        <v>141</v>
      </c>
      <c r="G140" s="13" t="n">
        <f aca="false">IF(AND(ISNUMBER(A140),ISNUMBER(C140)),IF(A140&lt;35,1,IF(A140&lt;50,2,IF(A140&lt;65,3,4))),0)</f>
        <v>4</v>
      </c>
      <c r="H140" s="13" t="n">
        <f aca="false">IF(AND(ISNUMBER(A140),ISNUMBER(C140)),1,0)</f>
        <v>1</v>
      </c>
    </row>
    <row r="141" customFormat="false" ht="15" hidden="false" customHeight="false" outlineLevel="0" collapsed="false">
      <c r="A141" s="12" t="n">
        <v>38</v>
      </c>
      <c r="B141" s="12" t="s">
        <v>28</v>
      </c>
      <c r="C141" s="12" t="n">
        <v>119</v>
      </c>
      <c r="D141" s="13" t="n">
        <f aca="false">IF(AND(ISNUMBER(A141),ISNUMBER(C141)),IF(B141="M",1,0),0)</f>
        <v>1</v>
      </c>
      <c r="E141" s="13" t="n">
        <f aca="false">IF(AND(ISNUMBER(A141),ISNUMBER(C141)),A141,0)</f>
        <v>38</v>
      </c>
      <c r="F141" s="13" t="n">
        <f aca="false">IF(AND(ISNUMBER(A141),ISNUMBER(C141)),C141,0)</f>
        <v>119</v>
      </c>
      <c r="G141" s="13" t="n">
        <f aca="false">IF(AND(ISNUMBER(A141),ISNUMBER(C141)),IF(A141&lt;35,1,IF(A141&lt;50,2,IF(A141&lt;65,3,4))),0)</f>
        <v>2</v>
      </c>
      <c r="H141" s="13" t="n">
        <f aca="false">IF(AND(ISNUMBER(A141),ISNUMBER(C141)),1,0)</f>
        <v>1</v>
      </c>
    </row>
    <row r="142" customFormat="false" ht="15" hidden="false" customHeight="false" outlineLevel="0" collapsed="false">
      <c r="A142" s="12" t="n">
        <v>75</v>
      </c>
      <c r="B142" s="12" t="s">
        <v>28</v>
      </c>
      <c r="C142" s="12" t="n">
        <v>137</v>
      </c>
      <c r="D142" s="13" t="n">
        <f aca="false">IF(AND(ISNUMBER(A142),ISNUMBER(C142)),IF(B142="M",1,0),0)</f>
        <v>1</v>
      </c>
      <c r="E142" s="13" t="n">
        <f aca="false">IF(AND(ISNUMBER(A142),ISNUMBER(C142)),A142,0)</f>
        <v>75</v>
      </c>
      <c r="F142" s="13" t="n">
        <f aca="false">IF(AND(ISNUMBER(A142),ISNUMBER(C142)),C142,0)</f>
        <v>137</v>
      </c>
      <c r="G142" s="13" t="n">
        <f aca="false">IF(AND(ISNUMBER(A142),ISNUMBER(C142)),IF(A142&lt;35,1,IF(A142&lt;50,2,IF(A142&lt;65,3,4))),0)</f>
        <v>4</v>
      </c>
      <c r="H142" s="13" t="n">
        <f aca="false">IF(AND(ISNUMBER(A142),ISNUMBER(C142)),1,0)</f>
        <v>1</v>
      </c>
    </row>
    <row r="143" customFormat="false" ht="15" hidden="false" customHeight="false" outlineLevel="0" collapsed="false">
      <c r="A143" s="12" t="n">
        <v>67</v>
      </c>
      <c r="B143" s="12" t="s">
        <v>28</v>
      </c>
      <c r="C143" s="12" t="n">
        <v>129</v>
      </c>
      <c r="D143" s="13" t="n">
        <f aca="false">IF(AND(ISNUMBER(A143),ISNUMBER(C143)),IF(B143="M",1,0),0)</f>
        <v>1</v>
      </c>
      <c r="E143" s="13" t="n">
        <f aca="false">IF(AND(ISNUMBER(A143),ISNUMBER(C143)),A143,0)</f>
        <v>67</v>
      </c>
      <c r="F143" s="13" t="n">
        <f aca="false">IF(AND(ISNUMBER(A143),ISNUMBER(C143)),C143,0)</f>
        <v>129</v>
      </c>
      <c r="G143" s="13" t="n">
        <f aca="false">IF(AND(ISNUMBER(A143),ISNUMBER(C143)),IF(A143&lt;35,1,IF(A143&lt;50,2,IF(A143&lt;65,3,4))),0)</f>
        <v>4</v>
      </c>
      <c r="H143" s="13" t="n">
        <f aca="false">IF(AND(ISNUMBER(A143),ISNUMBER(C143)),1,0)</f>
        <v>1</v>
      </c>
    </row>
    <row r="144" customFormat="false" ht="15" hidden="false" customHeight="false" outlineLevel="0" collapsed="false">
      <c r="A144" s="12" t="n">
        <v>28</v>
      </c>
      <c r="B144" s="12" t="s">
        <v>27</v>
      </c>
      <c r="C144" s="12" t="n">
        <v>98</v>
      </c>
      <c r="D144" s="13" t="n">
        <f aca="false">IF(AND(ISNUMBER(A144),ISNUMBER(C144)),IF(B144="M",1,0),0)</f>
        <v>0</v>
      </c>
      <c r="E144" s="13" t="n">
        <f aca="false">IF(AND(ISNUMBER(A144),ISNUMBER(C144)),A144,0)</f>
        <v>28</v>
      </c>
      <c r="F144" s="13" t="n">
        <f aca="false">IF(AND(ISNUMBER(A144),ISNUMBER(C144)),C144,0)</f>
        <v>98</v>
      </c>
      <c r="G144" s="13" t="n">
        <f aca="false">IF(AND(ISNUMBER(A144),ISNUMBER(C144)),IF(A144&lt;35,1,IF(A144&lt;50,2,IF(A144&lt;65,3,4))),0)</f>
        <v>1</v>
      </c>
      <c r="H144" s="13" t="n">
        <f aca="false">IF(AND(ISNUMBER(A144),ISNUMBER(C144)),1,0)</f>
        <v>1</v>
      </c>
    </row>
    <row r="145" customFormat="false" ht="15" hidden="false" customHeight="false" outlineLevel="0" collapsed="false">
      <c r="A145" s="12" t="n">
        <v>20</v>
      </c>
      <c r="B145" s="12" t="s">
        <v>27</v>
      </c>
      <c r="C145" s="12" t="n">
        <v>97</v>
      </c>
      <c r="D145" s="13" t="n">
        <f aca="false">IF(AND(ISNUMBER(A145),ISNUMBER(C145)),IF(B145="M",1,0),0)</f>
        <v>0</v>
      </c>
      <c r="E145" s="13" t="n">
        <f aca="false">IF(AND(ISNUMBER(A145),ISNUMBER(C145)),A145,0)</f>
        <v>20</v>
      </c>
      <c r="F145" s="13" t="n">
        <f aca="false">IF(AND(ISNUMBER(A145),ISNUMBER(C145)),C145,0)</f>
        <v>97</v>
      </c>
      <c r="G145" s="13" t="n">
        <f aca="false">IF(AND(ISNUMBER(A145),ISNUMBER(C145)),IF(A145&lt;35,1,IF(A145&lt;50,2,IF(A145&lt;65,3,4))),0)</f>
        <v>1</v>
      </c>
      <c r="H145" s="13" t="n">
        <f aca="false">IF(AND(ISNUMBER(A145),ISNUMBER(C145)),1,0)</f>
        <v>1</v>
      </c>
    </row>
    <row r="146" customFormat="false" ht="15" hidden="false" customHeight="false" outlineLevel="0" collapsed="false">
      <c r="A146" s="12" t="n">
        <v>62</v>
      </c>
      <c r="B146" s="12" t="s">
        <v>27</v>
      </c>
      <c r="C146" s="12" t="n">
        <v>134</v>
      </c>
      <c r="D146" s="13" t="n">
        <f aca="false">IF(AND(ISNUMBER(A146),ISNUMBER(C146)),IF(B146="M",1,0),0)</f>
        <v>0</v>
      </c>
      <c r="E146" s="13" t="n">
        <f aca="false">IF(AND(ISNUMBER(A146),ISNUMBER(C146)),A146,0)</f>
        <v>62</v>
      </c>
      <c r="F146" s="13" t="n">
        <f aca="false">IF(AND(ISNUMBER(A146),ISNUMBER(C146)),C146,0)</f>
        <v>134</v>
      </c>
      <c r="G146" s="13" t="n">
        <f aca="false">IF(AND(ISNUMBER(A146),ISNUMBER(C146)),IF(A146&lt;35,1,IF(A146&lt;50,2,IF(A146&lt;65,3,4))),0)</f>
        <v>3</v>
      </c>
      <c r="H146" s="13" t="n">
        <f aca="false">IF(AND(ISNUMBER(A146),ISNUMBER(C146)),1,0)</f>
        <v>1</v>
      </c>
    </row>
    <row r="147" customFormat="false" ht="15" hidden="false" customHeight="false" outlineLevel="0" collapsed="false">
      <c r="A147" s="12" t="n">
        <v>19</v>
      </c>
      <c r="B147" s="12" t="s">
        <v>28</v>
      </c>
      <c r="C147" s="12" t="n">
        <v>105</v>
      </c>
      <c r="D147" s="13" t="n">
        <f aca="false">IF(AND(ISNUMBER(A147),ISNUMBER(C147)),IF(B147="M",1,0),0)</f>
        <v>1</v>
      </c>
      <c r="E147" s="13" t="n">
        <f aca="false">IF(AND(ISNUMBER(A147),ISNUMBER(C147)),A147,0)</f>
        <v>19</v>
      </c>
      <c r="F147" s="13" t="n">
        <f aca="false">IF(AND(ISNUMBER(A147),ISNUMBER(C147)),C147,0)</f>
        <v>105</v>
      </c>
      <c r="G147" s="13" t="n">
        <f aca="false">IF(AND(ISNUMBER(A147),ISNUMBER(C147)),IF(A147&lt;35,1,IF(A147&lt;50,2,IF(A147&lt;65,3,4))),0)</f>
        <v>1</v>
      </c>
      <c r="H147" s="13" t="n">
        <f aca="false">IF(AND(ISNUMBER(A147),ISNUMBER(C147)),1,0)</f>
        <v>1</v>
      </c>
    </row>
    <row r="148" customFormat="false" ht="15" hidden="false" customHeight="false" outlineLevel="0" collapsed="false">
      <c r="A148" s="12" t="n">
        <v>45</v>
      </c>
      <c r="B148" s="12" t="s">
        <v>28</v>
      </c>
      <c r="C148" s="12" t="n">
        <v>127</v>
      </c>
      <c r="D148" s="13" t="n">
        <f aca="false">IF(AND(ISNUMBER(A148),ISNUMBER(C148)),IF(B148="M",1,0),0)</f>
        <v>1</v>
      </c>
      <c r="E148" s="13" t="n">
        <f aca="false">IF(AND(ISNUMBER(A148),ISNUMBER(C148)),A148,0)</f>
        <v>45</v>
      </c>
      <c r="F148" s="13" t="n">
        <f aca="false">IF(AND(ISNUMBER(A148),ISNUMBER(C148)),C148,0)</f>
        <v>127</v>
      </c>
      <c r="G148" s="13" t="n">
        <f aca="false">IF(AND(ISNUMBER(A148),ISNUMBER(C148)),IF(A148&lt;35,1,IF(A148&lt;50,2,IF(A148&lt;65,3,4))),0)</f>
        <v>2</v>
      </c>
      <c r="H148" s="13" t="n">
        <f aca="false">IF(AND(ISNUMBER(A148),ISNUMBER(C148)),1,0)</f>
        <v>1</v>
      </c>
    </row>
    <row r="149" customFormat="false" ht="15" hidden="false" customHeight="false" outlineLevel="0" collapsed="false">
      <c r="A149" s="12" t="n">
        <v>53</v>
      </c>
      <c r="B149" s="12" t="s">
        <v>27</v>
      </c>
      <c r="C149" s="12" t="n">
        <v>127</v>
      </c>
      <c r="D149" s="13" t="n">
        <f aca="false">IF(AND(ISNUMBER(A149),ISNUMBER(C149)),IF(B149="M",1,0),0)</f>
        <v>0</v>
      </c>
      <c r="E149" s="13" t="n">
        <f aca="false">IF(AND(ISNUMBER(A149),ISNUMBER(C149)),A149,0)</f>
        <v>53</v>
      </c>
      <c r="F149" s="13" t="n">
        <f aca="false">IF(AND(ISNUMBER(A149),ISNUMBER(C149)),C149,0)</f>
        <v>127</v>
      </c>
      <c r="G149" s="13" t="n">
        <f aca="false">IF(AND(ISNUMBER(A149),ISNUMBER(C149)),IF(A149&lt;35,1,IF(A149&lt;50,2,IF(A149&lt;65,3,4))),0)</f>
        <v>3</v>
      </c>
      <c r="H149" s="13" t="n">
        <f aca="false">IF(AND(ISNUMBER(A149),ISNUMBER(C149)),1,0)</f>
        <v>1</v>
      </c>
    </row>
    <row r="150" customFormat="false" ht="15" hidden="false" customHeight="false" outlineLevel="0" collapsed="false">
      <c r="A150" s="12" t="n">
        <v>64</v>
      </c>
      <c r="B150" s="12" t="s">
        <v>28</v>
      </c>
      <c r="C150" s="12" t="n">
        <v>130</v>
      </c>
      <c r="D150" s="13" t="n">
        <f aca="false">IF(AND(ISNUMBER(A150),ISNUMBER(C150)),IF(B150="M",1,0),0)</f>
        <v>1</v>
      </c>
      <c r="E150" s="13" t="n">
        <f aca="false">IF(AND(ISNUMBER(A150),ISNUMBER(C150)),A150,0)</f>
        <v>64</v>
      </c>
      <c r="F150" s="13" t="n">
        <f aca="false">IF(AND(ISNUMBER(A150),ISNUMBER(C150)),C150,0)</f>
        <v>130</v>
      </c>
      <c r="G150" s="13" t="n">
        <f aca="false">IF(AND(ISNUMBER(A150),ISNUMBER(C150)),IF(A150&lt;35,1,IF(A150&lt;50,2,IF(A150&lt;65,3,4))),0)</f>
        <v>3</v>
      </c>
      <c r="H150" s="13" t="n">
        <f aca="false">IF(AND(ISNUMBER(A150),ISNUMBER(C150)),1,0)</f>
        <v>1</v>
      </c>
    </row>
    <row r="151" customFormat="false" ht="15" hidden="false" customHeight="false" outlineLevel="0" collapsed="false">
      <c r="A151" s="12" t="n">
        <v>48</v>
      </c>
      <c r="B151" s="12" t="s">
        <v>27</v>
      </c>
      <c r="C151" s="12" t="n">
        <v>109</v>
      </c>
      <c r="D151" s="13" t="n">
        <f aca="false">IF(AND(ISNUMBER(A151),ISNUMBER(C151)),IF(B151="M",1,0),0)</f>
        <v>0</v>
      </c>
      <c r="E151" s="13" t="n">
        <f aca="false">IF(AND(ISNUMBER(A151),ISNUMBER(C151)),A151,0)</f>
        <v>48</v>
      </c>
      <c r="F151" s="13" t="n">
        <f aca="false">IF(AND(ISNUMBER(A151),ISNUMBER(C151)),C151,0)</f>
        <v>109</v>
      </c>
      <c r="G151" s="13" t="n">
        <f aca="false">IF(AND(ISNUMBER(A151),ISNUMBER(C151)),IF(A151&lt;35,1,IF(A151&lt;50,2,IF(A151&lt;65,3,4))),0)</f>
        <v>2</v>
      </c>
      <c r="H151" s="13" t="n">
        <f aca="false">IF(AND(ISNUMBER(A151),ISNUMBER(C151)),1,0)</f>
        <v>1</v>
      </c>
    </row>
    <row r="152" customFormat="false" ht="15" hidden="false" customHeight="false" outlineLevel="0" collapsed="false">
      <c r="A152" s="12" t="n">
        <v>33</v>
      </c>
      <c r="B152" s="12" t="s">
        <v>28</v>
      </c>
      <c r="C152" s="12" t="n">
        <v>128</v>
      </c>
      <c r="D152" s="13" t="n">
        <f aca="false">IF(AND(ISNUMBER(A152),ISNUMBER(C152)),IF(B152="M",1,0),0)</f>
        <v>1</v>
      </c>
      <c r="E152" s="13" t="n">
        <f aca="false">IF(AND(ISNUMBER(A152),ISNUMBER(C152)),A152,0)</f>
        <v>33</v>
      </c>
      <c r="F152" s="13" t="n">
        <f aca="false">IF(AND(ISNUMBER(A152),ISNUMBER(C152)),C152,0)</f>
        <v>128</v>
      </c>
      <c r="G152" s="13" t="n">
        <f aca="false">IF(AND(ISNUMBER(A152),ISNUMBER(C152)),IF(A152&lt;35,1,IF(A152&lt;50,2,IF(A152&lt;65,3,4))),0)</f>
        <v>1</v>
      </c>
      <c r="H152" s="13" t="n">
        <f aca="false">IF(AND(ISNUMBER(A152),ISNUMBER(C152)),1,0)</f>
        <v>1</v>
      </c>
    </row>
    <row r="153" customFormat="false" ht="15" hidden="false" customHeight="false" outlineLevel="0" collapsed="false">
      <c r="A153" s="12" t="n">
        <v>19</v>
      </c>
      <c r="B153" s="12" t="s">
        <v>27</v>
      </c>
      <c r="C153" s="12" t="n">
        <v>98</v>
      </c>
      <c r="D153" s="13" t="n">
        <f aca="false">IF(AND(ISNUMBER(A153),ISNUMBER(C153)),IF(B153="M",1,0),0)</f>
        <v>0</v>
      </c>
      <c r="E153" s="13" t="n">
        <f aca="false">IF(AND(ISNUMBER(A153),ISNUMBER(C153)),A153,0)</f>
        <v>19</v>
      </c>
      <c r="F153" s="13" t="n">
        <f aca="false">IF(AND(ISNUMBER(A153),ISNUMBER(C153)),C153,0)</f>
        <v>98</v>
      </c>
      <c r="G153" s="13" t="n">
        <f aca="false">IF(AND(ISNUMBER(A153),ISNUMBER(C153)),IF(A153&lt;35,1,IF(A153&lt;50,2,IF(A153&lt;65,3,4))),0)</f>
        <v>1</v>
      </c>
      <c r="H153" s="13" t="n">
        <f aca="false">IF(AND(ISNUMBER(A153),ISNUMBER(C153)),1,0)</f>
        <v>1</v>
      </c>
    </row>
    <row r="154" customFormat="false" ht="15" hidden="false" customHeight="false" outlineLevel="0" collapsed="false">
      <c r="A154" s="12" t="n">
        <v>64</v>
      </c>
      <c r="B154" s="12" t="s">
        <v>27</v>
      </c>
      <c r="C154" s="12" t="n">
        <v>121</v>
      </c>
      <c r="D154" s="13" t="n">
        <f aca="false">IF(AND(ISNUMBER(A154),ISNUMBER(C154)),IF(B154="M",1,0),0)</f>
        <v>0</v>
      </c>
      <c r="E154" s="13" t="n">
        <f aca="false">IF(AND(ISNUMBER(A154),ISNUMBER(C154)),A154,0)</f>
        <v>64</v>
      </c>
      <c r="F154" s="13" t="n">
        <f aca="false">IF(AND(ISNUMBER(A154),ISNUMBER(C154)),C154,0)</f>
        <v>121</v>
      </c>
      <c r="G154" s="13" t="n">
        <f aca="false">IF(AND(ISNUMBER(A154),ISNUMBER(C154)),IF(A154&lt;35,1,IF(A154&lt;50,2,IF(A154&lt;65,3,4))),0)</f>
        <v>3</v>
      </c>
      <c r="H154" s="13" t="n">
        <f aca="false">IF(AND(ISNUMBER(A154),ISNUMBER(C154)),1,0)</f>
        <v>1</v>
      </c>
    </row>
    <row r="155" customFormat="false" ht="15" hidden="false" customHeight="false" outlineLevel="0" collapsed="false">
      <c r="A155" s="12" t="n">
        <v>71</v>
      </c>
      <c r="B155" s="12" t="s">
        <v>27</v>
      </c>
      <c r="C155" s="12" t="n">
        <v>128</v>
      </c>
      <c r="D155" s="13" t="n">
        <f aca="false">IF(AND(ISNUMBER(A155),ISNUMBER(C155)),IF(B155="M",1,0),0)</f>
        <v>0</v>
      </c>
      <c r="E155" s="13" t="n">
        <f aca="false">IF(AND(ISNUMBER(A155),ISNUMBER(C155)),A155,0)</f>
        <v>71</v>
      </c>
      <c r="F155" s="13" t="n">
        <f aca="false">IF(AND(ISNUMBER(A155),ISNUMBER(C155)),C155,0)</f>
        <v>128</v>
      </c>
      <c r="G155" s="13" t="n">
        <f aca="false">IF(AND(ISNUMBER(A155),ISNUMBER(C155)),IF(A155&lt;35,1,IF(A155&lt;50,2,IF(A155&lt;65,3,4))),0)</f>
        <v>4</v>
      </c>
      <c r="H155" s="13" t="n">
        <f aca="false">IF(AND(ISNUMBER(A155),ISNUMBER(C155)),1,0)</f>
        <v>1</v>
      </c>
    </row>
    <row r="156" customFormat="false" ht="15" hidden="false" customHeight="false" outlineLevel="0" collapsed="false">
      <c r="A156" s="12" t="n">
        <v>65</v>
      </c>
      <c r="B156" s="12" t="s">
        <v>28</v>
      </c>
      <c r="C156" s="12" t="n">
        <v>151</v>
      </c>
      <c r="D156" s="13" t="n">
        <f aca="false">IF(AND(ISNUMBER(A156),ISNUMBER(C156)),IF(B156="M",1,0),0)</f>
        <v>1</v>
      </c>
      <c r="E156" s="13" t="n">
        <f aca="false">IF(AND(ISNUMBER(A156),ISNUMBER(C156)),A156,0)</f>
        <v>65</v>
      </c>
      <c r="F156" s="13" t="n">
        <f aca="false">IF(AND(ISNUMBER(A156),ISNUMBER(C156)),C156,0)</f>
        <v>151</v>
      </c>
      <c r="G156" s="13" t="n">
        <f aca="false">IF(AND(ISNUMBER(A156),ISNUMBER(C156)),IF(A156&lt;35,1,IF(A156&lt;50,2,IF(A156&lt;65,3,4))),0)</f>
        <v>4</v>
      </c>
      <c r="H156" s="13" t="n">
        <f aca="false">IF(AND(ISNUMBER(A156),ISNUMBER(C156)),1,0)</f>
        <v>1</v>
      </c>
    </row>
    <row r="157" customFormat="false" ht="15" hidden="false" customHeight="false" outlineLevel="0" collapsed="false">
      <c r="A157" s="12" t="n">
        <v>58</v>
      </c>
      <c r="B157" s="12" t="s">
        <v>28</v>
      </c>
      <c r="C157" s="12" t="n">
        <v>141</v>
      </c>
      <c r="D157" s="13" t="n">
        <f aca="false">IF(AND(ISNUMBER(A157),ISNUMBER(C157)),IF(B157="M",1,0),0)</f>
        <v>1</v>
      </c>
      <c r="E157" s="13" t="n">
        <f aca="false">IF(AND(ISNUMBER(A157),ISNUMBER(C157)),A157,0)</f>
        <v>58</v>
      </c>
      <c r="F157" s="13" t="n">
        <f aca="false">IF(AND(ISNUMBER(A157),ISNUMBER(C157)),C157,0)</f>
        <v>141</v>
      </c>
      <c r="G157" s="13" t="n">
        <f aca="false">IF(AND(ISNUMBER(A157),ISNUMBER(C157)),IF(A157&lt;35,1,IF(A157&lt;50,2,IF(A157&lt;65,3,4))),0)</f>
        <v>3</v>
      </c>
      <c r="H157" s="13" t="n">
        <f aca="false">IF(AND(ISNUMBER(A157),ISNUMBER(C157)),1,0)</f>
        <v>1</v>
      </c>
    </row>
    <row r="158" customFormat="false" ht="15" hidden="false" customHeight="false" outlineLevel="0" collapsed="false">
      <c r="A158" s="12" t="n">
        <v>44</v>
      </c>
      <c r="B158" s="12" t="s">
        <v>28</v>
      </c>
      <c r="C158" s="12" t="n">
        <v>123</v>
      </c>
      <c r="D158" s="13" t="n">
        <f aca="false">IF(AND(ISNUMBER(A158),ISNUMBER(C158)),IF(B158="M",1,0),0)</f>
        <v>1</v>
      </c>
      <c r="E158" s="13" t="n">
        <f aca="false">IF(AND(ISNUMBER(A158),ISNUMBER(C158)),A158,0)</f>
        <v>44</v>
      </c>
      <c r="F158" s="13" t="n">
        <f aca="false">IF(AND(ISNUMBER(A158),ISNUMBER(C158)),C158,0)</f>
        <v>123</v>
      </c>
      <c r="G158" s="13" t="n">
        <f aca="false">IF(AND(ISNUMBER(A158),ISNUMBER(C158)),IF(A158&lt;35,1,IF(A158&lt;50,2,IF(A158&lt;65,3,4))),0)</f>
        <v>2</v>
      </c>
      <c r="H158" s="13" t="n">
        <f aca="false">IF(AND(ISNUMBER(A158),ISNUMBER(C158)),1,0)</f>
        <v>1</v>
      </c>
    </row>
    <row r="159" customFormat="false" ht="15" hidden="false" customHeight="false" outlineLevel="0" collapsed="false">
      <c r="A159" s="12" t="n">
        <v>67</v>
      </c>
      <c r="B159" s="12" t="s">
        <v>28</v>
      </c>
      <c r="C159" s="12" t="n">
        <v>154</v>
      </c>
      <c r="D159" s="13" t="n">
        <f aca="false">IF(AND(ISNUMBER(A159),ISNUMBER(C159)),IF(B159="M",1,0),0)</f>
        <v>1</v>
      </c>
      <c r="E159" s="13" t="n">
        <f aca="false">IF(AND(ISNUMBER(A159),ISNUMBER(C159)),A159,0)</f>
        <v>67</v>
      </c>
      <c r="F159" s="13" t="n">
        <f aca="false">IF(AND(ISNUMBER(A159),ISNUMBER(C159)),C159,0)</f>
        <v>154</v>
      </c>
      <c r="G159" s="13" t="n">
        <f aca="false">IF(AND(ISNUMBER(A159),ISNUMBER(C159)),IF(A159&lt;35,1,IF(A159&lt;50,2,IF(A159&lt;65,3,4))),0)</f>
        <v>4</v>
      </c>
      <c r="H159" s="13" t="n">
        <f aca="false">IF(AND(ISNUMBER(A159),ISNUMBER(C159)),1,0)</f>
        <v>1</v>
      </c>
    </row>
    <row r="160" customFormat="false" ht="15" hidden="false" customHeight="false" outlineLevel="0" collapsed="false">
      <c r="A160" s="12" t="n">
        <v>34</v>
      </c>
      <c r="B160" s="12" t="s">
        <v>28</v>
      </c>
      <c r="C160" s="12" t="n">
        <v>120</v>
      </c>
      <c r="D160" s="13" t="n">
        <f aca="false">IF(AND(ISNUMBER(A160),ISNUMBER(C160)),IF(B160="M",1,0),0)</f>
        <v>1</v>
      </c>
      <c r="E160" s="13" t="n">
        <f aca="false">IF(AND(ISNUMBER(A160),ISNUMBER(C160)),A160,0)</f>
        <v>34</v>
      </c>
      <c r="F160" s="13" t="n">
        <f aca="false">IF(AND(ISNUMBER(A160),ISNUMBER(C160)),C160,0)</f>
        <v>120</v>
      </c>
      <c r="G160" s="13" t="n">
        <f aca="false">IF(AND(ISNUMBER(A160),ISNUMBER(C160)),IF(A160&lt;35,1,IF(A160&lt;50,2,IF(A160&lt;65,3,4))),0)</f>
        <v>1</v>
      </c>
      <c r="H160" s="13" t="n">
        <f aca="false">IF(AND(ISNUMBER(A160),ISNUMBER(C160)),1,0)</f>
        <v>1</v>
      </c>
    </row>
    <row r="161" customFormat="false" ht="15" hidden="false" customHeight="false" outlineLevel="0" collapsed="false">
      <c r="A161" s="12" t="n">
        <v>19</v>
      </c>
      <c r="B161" s="12" t="s">
        <v>27</v>
      </c>
      <c r="C161" s="12" t="n">
        <v>116</v>
      </c>
      <c r="D161" s="13" t="n">
        <f aca="false">IF(AND(ISNUMBER(A161),ISNUMBER(C161)),IF(B161="M",1,0),0)</f>
        <v>0</v>
      </c>
      <c r="E161" s="13" t="n">
        <f aca="false">IF(AND(ISNUMBER(A161),ISNUMBER(C161)),A161,0)</f>
        <v>19</v>
      </c>
      <c r="F161" s="13" t="n">
        <f aca="false">IF(AND(ISNUMBER(A161),ISNUMBER(C161)),C161,0)</f>
        <v>116</v>
      </c>
      <c r="G161" s="13" t="n">
        <f aca="false">IF(AND(ISNUMBER(A161),ISNUMBER(C161)),IF(A161&lt;35,1,IF(A161&lt;50,2,IF(A161&lt;65,3,4))),0)</f>
        <v>1</v>
      </c>
      <c r="H161" s="13" t="n">
        <f aca="false">IF(AND(ISNUMBER(A161),ISNUMBER(C161)),1,0)</f>
        <v>1</v>
      </c>
    </row>
    <row r="162" customFormat="false" ht="15" hidden="false" customHeight="false" outlineLevel="0" collapsed="false">
      <c r="A162" s="12" t="n">
        <v>71</v>
      </c>
      <c r="B162" s="12" t="s">
        <v>27</v>
      </c>
      <c r="C162" s="12" t="n">
        <v>142</v>
      </c>
      <c r="D162" s="13" t="n">
        <f aca="false">IF(AND(ISNUMBER(A162),ISNUMBER(C162)),IF(B162="M",1,0),0)</f>
        <v>0</v>
      </c>
      <c r="E162" s="13" t="n">
        <f aca="false">IF(AND(ISNUMBER(A162),ISNUMBER(C162)),A162,0)</f>
        <v>71</v>
      </c>
      <c r="F162" s="13" t="n">
        <f aca="false">IF(AND(ISNUMBER(A162),ISNUMBER(C162)),C162,0)</f>
        <v>142</v>
      </c>
      <c r="G162" s="13" t="n">
        <f aca="false">IF(AND(ISNUMBER(A162),ISNUMBER(C162)),IF(A162&lt;35,1,IF(A162&lt;50,2,IF(A162&lt;65,3,4))),0)</f>
        <v>4</v>
      </c>
      <c r="H162" s="13" t="n">
        <f aca="false">IF(AND(ISNUMBER(A162),ISNUMBER(C162)),1,0)</f>
        <v>1</v>
      </c>
    </row>
    <row r="163" customFormat="false" ht="15" hidden="false" customHeight="false" outlineLevel="0" collapsed="false">
      <c r="A163" s="12" t="n">
        <v>78</v>
      </c>
      <c r="B163" s="12" t="s">
        <v>27</v>
      </c>
      <c r="C163" s="12" t="n">
        <v>155</v>
      </c>
      <c r="D163" s="13" t="n">
        <f aca="false">IF(AND(ISNUMBER(A163),ISNUMBER(C163)),IF(B163="M",1,0),0)</f>
        <v>0</v>
      </c>
      <c r="E163" s="13" t="n">
        <f aca="false">IF(AND(ISNUMBER(A163),ISNUMBER(C163)),A163,0)</f>
        <v>78</v>
      </c>
      <c r="F163" s="13" t="n">
        <f aca="false">IF(AND(ISNUMBER(A163),ISNUMBER(C163)),C163,0)</f>
        <v>155</v>
      </c>
      <c r="G163" s="13" t="n">
        <f aca="false">IF(AND(ISNUMBER(A163),ISNUMBER(C163)),IF(A163&lt;35,1,IF(A163&lt;50,2,IF(A163&lt;65,3,4))),0)</f>
        <v>4</v>
      </c>
      <c r="H163" s="13" t="n">
        <f aca="false">IF(AND(ISNUMBER(A163),ISNUMBER(C163)),1,0)</f>
        <v>1</v>
      </c>
    </row>
    <row r="164" customFormat="false" ht="15" hidden="false" customHeight="false" outlineLevel="0" collapsed="false">
      <c r="A164" s="12" t="n">
        <v>52</v>
      </c>
      <c r="B164" s="12" t="s">
        <v>27</v>
      </c>
      <c r="C164" s="12" t="n">
        <v>133</v>
      </c>
      <c r="D164" s="13" t="n">
        <f aca="false">IF(AND(ISNUMBER(A164),ISNUMBER(C164)),IF(B164="M",1,0),0)</f>
        <v>0</v>
      </c>
      <c r="E164" s="13" t="n">
        <f aca="false">IF(AND(ISNUMBER(A164),ISNUMBER(C164)),A164,0)</f>
        <v>52</v>
      </c>
      <c r="F164" s="13" t="n">
        <f aca="false">IF(AND(ISNUMBER(A164),ISNUMBER(C164)),C164,0)</f>
        <v>133</v>
      </c>
      <c r="G164" s="13" t="n">
        <f aca="false">IF(AND(ISNUMBER(A164),ISNUMBER(C164)),IF(A164&lt;35,1,IF(A164&lt;50,2,IF(A164&lt;65,3,4))),0)</f>
        <v>3</v>
      </c>
      <c r="H164" s="13" t="n">
        <f aca="false">IF(AND(ISNUMBER(A164),ISNUMBER(C164)),1,0)</f>
        <v>1</v>
      </c>
    </row>
    <row r="165" customFormat="false" ht="15" hidden="false" customHeight="false" outlineLevel="0" collapsed="false">
      <c r="A165" s="12" t="n">
        <v>29</v>
      </c>
      <c r="B165" s="12" t="s">
        <v>27</v>
      </c>
      <c r="C165" s="12" t="n">
        <v>102</v>
      </c>
      <c r="D165" s="13" t="n">
        <f aca="false">IF(AND(ISNUMBER(A165),ISNUMBER(C165)),IF(B165="M",1,0),0)</f>
        <v>0</v>
      </c>
      <c r="E165" s="13" t="n">
        <f aca="false">IF(AND(ISNUMBER(A165),ISNUMBER(C165)),A165,0)</f>
        <v>29</v>
      </c>
      <c r="F165" s="13" t="n">
        <f aca="false">IF(AND(ISNUMBER(A165),ISNUMBER(C165)),C165,0)</f>
        <v>102</v>
      </c>
      <c r="G165" s="13" t="n">
        <f aca="false">IF(AND(ISNUMBER(A165),ISNUMBER(C165)),IF(A165&lt;35,1,IF(A165&lt;50,2,IF(A165&lt;65,3,4))),0)</f>
        <v>1</v>
      </c>
      <c r="H165" s="13" t="n">
        <f aca="false">IF(AND(ISNUMBER(A165),ISNUMBER(C165)),1,0)</f>
        <v>1</v>
      </c>
    </row>
    <row r="166" customFormat="false" ht="15" hidden="false" customHeight="false" outlineLevel="0" collapsed="false">
      <c r="A166" s="12" t="n">
        <v>21</v>
      </c>
      <c r="B166" s="12" t="s">
        <v>27</v>
      </c>
      <c r="C166" s="12" t="n">
        <v>117</v>
      </c>
      <c r="D166" s="13" t="n">
        <f aca="false">IF(AND(ISNUMBER(A166),ISNUMBER(C166)),IF(B166="M",1,0),0)</f>
        <v>0</v>
      </c>
      <c r="E166" s="13" t="n">
        <f aca="false">IF(AND(ISNUMBER(A166),ISNUMBER(C166)),A166,0)</f>
        <v>21</v>
      </c>
      <c r="F166" s="13" t="n">
        <f aca="false">IF(AND(ISNUMBER(A166),ISNUMBER(C166)),C166,0)</f>
        <v>117</v>
      </c>
      <c r="G166" s="13" t="n">
        <f aca="false">IF(AND(ISNUMBER(A166),ISNUMBER(C166)),IF(A166&lt;35,1,IF(A166&lt;50,2,IF(A166&lt;65,3,4))),0)</f>
        <v>1</v>
      </c>
      <c r="H166" s="13" t="n">
        <f aca="false">IF(AND(ISNUMBER(A166),ISNUMBER(C166)),1,0)</f>
        <v>1</v>
      </c>
    </row>
    <row r="167" customFormat="false" ht="15" hidden="false" customHeight="false" outlineLevel="0" collapsed="false">
      <c r="A167" s="12" t="n">
        <v>67</v>
      </c>
      <c r="B167" s="12" t="s">
        <v>28</v>
      </c>
      <c r="C167" s="12" t="n">
        <v>142</v>
      </c>
      <c r="D167" s="13" t="n">
        <f aca="false">IF(AND(ISNUMBER(A167),ISNUMBER(C167)),IF(B167="M",1,0),0)</f>
        <v>1</v>
      </c>
      <c r="E167" s="13" t="n">
        <f aca="false">IF(AND(ISNUMBER(A167),ISNUMBER(C167)),A167,0)</f>
        <v>67</v>
      </c>
      <c r="F167" s="13" t="n">
        <f aca="false">IF(AND(ISNUMBER(A167),ISNUMBER(C167)),C167,0)</f>
        <v>142</v>
      </c>
      <c r="G167" s="13" t="n">
        <f aca="false">IF(AND(ISNUMBER(A167),ISNUMBER(C167)),IF(A167&lt;35,1,IF(A167&lt;50,2,IF(A167&lt;65,3,4))),0)</f>
        <v>4</v>
      </c>
      <c r="H167" s="13" t="n">
        <f aca="false">IF(AND(ISNUMBER(A167),ISNUMBER(C167)),1,0)</f>
        <v>1</v>
      </c>
    </row>
    <row r="168" customFormat="false" ht="15" hidden="false" customHeight="false" outlineLevel="0" collapsed="false">
      <c r="A168" s="12" t="n">
        <v>40</v>
      </c>
      <c r="B168" s="12" t="s">
        <v>28</v>
      </c>
      <c r="C168" s="12" t="n">
        <v>119</v>
      </c>
      <c r="D168" s="13" t="n">
        <f aca="false">IF(AND(ISNUMBER(A168),ISNUMBER(C168)),IF(B168="M",1,0),0)</f>
        <v>1</v>
      </c>
      <c r="E168" s="13" t="n">
        <f aca="false">IF(AND(ISNUMBER(A168),ISNUMBER(C168)),A168,0)</f>
        <v>40</v>
      </c>
      <c r="F168" s="13" t="n">
        <f aca="false">IF(AND(ISNUMBER(A168),ISNUMBER(C168)),C168,0)</f>
        <v>119</v>
      </c>
      <c r="G168" s="13" t="n">
        <f aca="false">IF(AND(ISNUMBER(A168),ISNUMBER(C168)),IF(A168&lt;35,1,IF(A168&lt;50,2,IF(A168&lt;65,3,4))),0)</f>
        <v>2</v>
      </c>
      <c r="H168" s="13" t="n">
        <f aca="false">IF(AND(ISNUMBER(A168),ISNUMBER(C168)),1,0)</f>
        <v>1</v>
      </c>
    </row>
    <row r="169" customFormat="false" ht="15" hidden="false" customHeight="false" outlineLevel="0" collapsed="false">
      <c r="A169" s="12" t="n">
        <v>80</v>
      </c>
      <c r="B169" s="12" t="s">
        <v>28</v>
      </c>
      <c r="C169" s="12" t="n">
        <v>163</v>
      </c>
      <c r="D169" s="13" t="n">
        <f aca="false">IF(AND(ISNUMBER(A169),ISNUMBER(C169)),IF(B169="M",1,0),0)</f>
        <v>1</v>
      </c>
      <c r="E169" s="13" t="n">
        <f aca="false">IF(AND(ISNUMBER(A169),ISNUMBER(C169)),A169,0)</f>
        <v>80</v>
      </c>
      <c r="F169" s="13" t="n">
        <f aca="false">IF(AND(ISNUMBER(A169),ISNUMBER(C169)),C169,0)</f>
        <v>163</v>
      </c>
      <c r="G169" s="13" t="n">
        <f aca="false">IF(AND(ISNUMBER(A169),ISNUMBER(C169)),IF(A169&lt;35,1,IF(A169&lt;50,2,IF(A169&lt;65,3,4))),0)</f>
        <v>4</v>
      </c>
      <c r="H169" s="13" t="n">
        <f aca="false">IF(AND(ISNUMBER(A169),ISNUMBER(C169)),1,0)</f>
        <v>1</v>
      </c>
    </row>
    <row r="170" customFormat="false" ht="15" hidden="false" customHeight="false" outlineLevel="0" collapsed="false">
      <c r="A170" s="12" t="n">
        <v>24</v>
      </c>
      <c r="B170" s="12" t="s">
        <v>28</v>
      </c>
      <c r="C170" s="12" t="n">
        <v>130</v>
      </c>
      <c r="D170" s="13" t="n">
        <f aca="false">IF(AND(ISNUMBER(A170),ISNUMBER(C170)),IF(B170="M",1,0),0)</f>
        <v>1</v>
      </c>
      <c r="E170" s="13" t="n">
        <f aca="false">IF(AND(ISNUMBER(A170),ISNUMBER(C170)),A170,0)</f>
        <v>24</v>
      </c>
      <c r="F170" s="13" t="n">
        <f aca="false">IF(AND(ISNUMBER(A170),ISNUMBER(C170)),C170,0)</f>
        <v>130</v>
      </c>
      <c r="G170" s="13" t="n">
        <f aca="false">IF(AND(ISNUMBER(A170),ISNUMBER(C170)),IF(A170&lt;35,1,IF(A170&lt;50,2,IF(A170&lt;65,3,4))),0)</f>
        <v>1</v>
      </c>
      <c r="H170" s="13" t="n">
        <f aca="false">IF(AND(ISNUMBER(A170),ISNUMBER(C170)),1,0)</f>
        <v>1</v>
      </c>
    </row>
    <row r="171" customFormat="false" ht="15" hidden="false" customHeight="false" outlineLevel="0" collapsed="false">
      <c r="A171" s="12" t="n">
        <v>71</v>
      </c>
      <c r="B171" s="12" t="s">
        <v>27</v>
      </c>
      <c r="C171" s="12" t="n">
        <v>122</v>
      </c>
      <c r="D171" s="13" t="n">
        <f aca="false">IF(AND(ISNUMBER(A171),ISNUMBER(C171)),IF(B171="M",1,0),0)</f>
        <v>0</v>
      </c>
      <c r="E171" s="13" t="n">
        <f aca="false">IF(AND(ISNUMBER(A171),ISNUMBER(C171)),A171,0)</f>
        <v>71</v>
      </c>
      <c r="F171" s="13" t="n">
        <f aca="false">IF(AND(ISNUMBER(A171),ISNUMBER(C171)),C171,0)</f>
        <v>122</v>
      </c>
      <c r="G171" s="13" t="n">
        <f aca="false">IF(AND(ISNUMBER(A171),ISNUMBER(C171)),IF(A171&lt;35,1,IF(A171&lt;50,2,IF(A171&lt;65,3,4))),0)</f>
        <v>4</v>
      </c>
      <c r="H171" s="13" t="n">
        <f aca="false">IF(AND(ISNUMBER(A171),ISNUMBER(C171)),1,0)</f>
        <v>1</v>
      </c>
    </row>
    <row r="172" customFormat="false" ht="15" hidden="false" customHeight="false" outlineLevel="0" collapsed="false">
      <c r="A172" s="12" t="n">
        <v>54</v>
      </c>
      <c r="B172" s="12" t="s">
        <v>27</v>
      </c>
      <c r="C172" s="12" t="n">
        <v>129</v>
      </c>
      <c r="D172" s="13" t="n">
        <f aca="false">IF(AND(ISNUMBER(A172),ISNUMBER(C172)),IF(B172="M",1,0),0)</f>
        <v>0</v>
      </c>
      <c r="E172" s="13" t="n">
        <f aca="false">IF(AND(ISNUMBER(A172),ISNUMBER(C172)),A172,0)</f>
        <v>54</v>
      </c>
      <c r="F172" s="13" t="n">
        <f aca="false">IF(AND(ISNUMBER(A172),ISNUMBER(C172)),C172,0)</f>
        <v>129</v>
      </c>
      <c r="G172" s="13" t="n">
        <f aca="false">IF(AND(ISNUMBER(A172),ISNUMBER(C172)),IF(A172&lt;35,1,IF(A172&lt;50,2,IF(A172&lt;65,3,4))),0)</f>
        <v>3</v>
      </c>
      <c r="H172" s="13" t="n">
        <f aca="false">IF(AND(ISNUMBER(A172),ISNUMBER(C172)),1,0)</f>
        <v>1</v>
      </c>
    </row>
    <row r="173" customFormat="false" ht="15" hidden="false" customHeight="false" outlineLevel="0" collapsed="false">
      <c r="A173" s="12" t="n">
        <v>67</v>
      </c>
      <c r="B173" s="12" t="s">
        <v>28</v>
      </c>
      <c r="C173" s="12" t="n">
        <v>134</v>
      </c>
      <c r="D173" s="13" t="n">
        <f aca="false">IF(AND(ISNUMBER(A173),ISNUMBER(C173)),IF(B173="M",1,0),0)</f>
        <v>1</v>
      </c>
      <c r="E173" s="13" t="n">
        <f aca="false">IF(AND(ISNUMBER(A173),ISNUMBER(C173)),A173,0)</f>
        <v>67</v>
      </c>
      <c r="F173" s="13" t="n">
        <f aca="false">IF(AND(ISNUMBER(A173),ISNUMBER(C173)),C173,0)</f>
        <v>134</v>
      </c>
      <c r="G173" s="13" t="n">
        <f aca="false">IF(AND(ISNUMBER(A173),ISNUMBER(C173)),IF(A173&lt;35,1,IF(A173&lt;50,2,IF(A173&lt;65,3,4))),0)</f>
        <v>4</v>
      </c>
      <c r="H173" s="13" t="n">
        <f aca="false">IF(AND(ISNUMBER(A173),ISNUMBER(C173)),1,0)</f>
        <v>1</v>
      </c>
    </row>
    <row r="174" customFormat="false" ht="15" hidden="false" customHeight="false" outlineLevel="0" collapsed="false">
      <c r="A174" s="12" t="n">
        <v>53</v>
      </c>
      <c r="B174" s="12" t="s">
        <v>27</v>
      </c>
      <c r="C174" s="12" t="n">
        <v>110</v>
      </c>
      <c r="D174" s="13" t="n">
        <f aca="false">IF(AND(ISNUMBER(A174),ISNUMBER(C174)),IF(B174="M",1,0),0)</f>
        <v>0</v>
      </c>
      <c r="E174" s="13" t="n">
        <f aca="false">IF(AND(ISNUMBER(A174),ISNUMBER(C174)),A174,0)</f>
        <v>53</v>
      </c>
      <c r="F174" s="13" t="n">
        <f aca="false">IF(AND(ISNUMBER(A174),ISNUMBER(C174)),C174,0)</f>
        <v>110</v>
      </c>
      <c r="G174" s="13" t="n">
        <f aca="false">IF(AND(ISNUMBER(A174),ISNUMBER(C174)),IF(A174&lt;35,1,IF(A174&lt;50,2,IF(A174&lt;65,3,4))),0)</f>
        <v>3</v>
      </c>
      <c r="H174" s="13" t="n">
        <f aca="false">IF(AND(ISNUMBER(A174),ISNUMBER(C174)),1,0)</f>
        <v>1</v>
      </c>
    </row>
    <row r="175" customFormat="false" ht="15" hidden="false" customHeight="false" outlineLevel="0" collapsed="false">
      <c r="A175" s="12" t="n">
        <v>67</v>
      </c>
      <c r="B175" s="12" t="s">
        <v>28</v>
      </c>
      <c r="C175" s="12" t="n">
        <v>138</v>
      </c>
      <c r="D175" s="13" t="n">
        <f aca="false">IF(AND(ISNUMBER(A175),ISNUMBER(C175)),IF(B175="M",1,0),0)</f>
        <v>1</v>
      </c>
      <c r="E175" s="13" t="n">
        <f aca="false">IF(AND(ISNUMBER(A175),ISNUMBER(C175)),A175,0)</f>
        <v>67</v>
      </c>
      <c r="F175" s="13" t="n">
        <f aca="false">IF(AND(ISNUMBER(A175),ISNUMBER(C175)),C175,0)</f>
        <v>138</v>
      </c>
      <c r="G175" s="13" t="n">
        <f aca="false">IF(AND(ISNUMBER(A175),ISNUMBER(C175)),IF(A175&lt;35,1,IF(A175&lt;50,2,IF(A175&lt;65,3,4))),0)</f>
        <v>4</v>
      </c>
      <c r="H175" s="13" t="n">
        <f aca="false">IF(AND(ISNUMBER(A175),ISNUMBER(C175)),1,0)</f>
        <v>1</v>
      </c>
    </row>
    <row r="176" customFormat="false" ht="15" hidden="false" customHeight="false" outlineLevel="0" collapsed="false">
      <c r="A176" s="12" t="n">
        <v>18</v>
      </c>
      <c r="B176" s="12" t="s">
        <v>28</v>
      </c>
      <c r="C176" s="12" t="n">
        <v>106</v>
      </c>
      <c r="D176" s="13" t="n">
        <f aca="false">IF(AND(ISNUMBER(A176),ISNUMBER(C176)),IF(B176="M",1,0),0)</f>
        <v>1</v>
      </c>
      <c r="E176" s="13" t="n">
        <f aca="false">IF(AND(ISNUMBER(A176),ISNUMBER(C176)),A176,0)</f>
        <v>18</v>
      </c>
      <c r="F176" s="13" t="n">
        <f aca="false">IF(AND(ISNUMBER(A176),ISNUMBER(C176)),C176,0)</f>
        <v>106</v>
      </c>
      <c r="G176" s="13" t="n">
        <f aca="false">IF(AND(ISNUMBER(A176),ISNUMBER(C176)),IF(A176&lt;35,1,IF(A176&lt;50,2,IF(A176&lt;65,3,4))),0)</f>
        <v>1</v>
      </c>
      <c r="H176" s="13" t="n">
        <f aca="false">IF(AND(ISNUMBER(A176),ISNUMBER(C176)),1,0)</f>
        <v>1</v>
      </c>
    </row>
    <row r="177" customFormat="false" ht="15" hidden="false" customHeight="false" outlineLevel="0" collapsed="false">
      <c r="A177" s="12" t="n">
        <v>42</v>
      </c>
      <c r="B177" s="12" t="s">
        <v>28</v>
      </c>
      <c r="C177" s="12" t="n">
        <v>141</v>
      </c>
      <c r="D177" s="13" t="n">
        <f aca="false">IF(AND(ISNUMBER(A177),ISNUMBER(C177)),IF(B177="M",1,0),0)</f>
        <v>1</v>
      </c>
      <c r="E177" s="13" t="n">
        <f aca="false">IF(AND(ISNUMBER(A177),ISNUMBER(C177)),A177,0)</f>
        <v>42</v>
      </c>
      <c r="F177" s="13" t="n">
        <f aca="false">IF(AND(ISNUMBER(A177),ISNUMBER(C177)),C177,0)</f>
        <v>141</v>
      </c>
      <c r="G177" s="13" t="n">
        <f aca="false">IF(AND(ISNUMBER(A177),ISNUMBER(C177)),IF(A177&lt;35,1,IF(A177&lt;50,2,IF(A177&lt;65,3,4))),0)</f>
        <v>2</v>
      </c>
      <c r="H177" s="13" t="n">
        <f aca="false">IF(AND(ISNUMBER(A177),ISNUMBER(C177)),1,0)</f>
        <v>1</v>
      </c>
    </row>
    <row r="178" customFormat="false" ht="15" hidden="false" customHeight="false" outlineLevel="0" collapsed="false">
      <c r="A178" s="12" t="n">
        <v>56</v>
      </c>
      <c r="B178" s="12" t="s">
        <v>28</v>
      </c>
      <c r="C178" s="12" t="n">
        <v>132</v>
      </c>
      <c r="D178" s="13" t="n">
        <f aca="false">IF(AND(ISNUMBER(A178),ISNUMBER(C178)),IF(B178="M",1,0),0)</f>
        <v>1</v>
      </c>
      <c r="E178" s="13" t="n">
        <f aca="false">IF(AND(ISNUMBER(A178),ISNUMBER(C178)),A178,0)</f>
        <v>56</v>
      </c>
      <c r="F178" s="13" t="n">
        <f aca="false">IF(AND(ISNUMBER(A178),ISNUMBER(C178)),C178,0)</f>
        <v>132</v>
      </c>
      <c r="G178" s="13" t="n">
        <f aca="false">IF(AND(ISNUMBER(A178),ISNUMBER(C178)),IF(A178&lt;35,1,IF(A178&lt;50,2,IF(A178&lt;65,3,4))),0)</f>
        <v>3</v>
      </c>
      <c r="H178" s="13" t="n">
        <f aca="false">IF(AND(ISNUMBER(A178),ISNUMBER(C178)),1,0)</f>
        <v>1</v>
      </c>
    </row>
    <row r="179" customFormat="false" ht="15" hidden="false" customHeight="false" outlineLevel="0" collapsed="false">
      <c r="A179" s="12" t="n">
        <v>48</v>
      </c>
      <c r="B179" s="12" t="s">
        <v>27</v>
      </c>
      <c r="C179" s="12" t="n">
        <v>118</v>
      </c>
      <c r="D179" s="13" t="n">
        <f aca="false">IF(AND(ISNUMBER(A179),ISNUMBER(C179)),IF(B179="M",1,0),0)</f>
        <v>0</v>
      </c>
      <c r="E179" s="13" t="n">
        <f aca="false">IF(AND(ISNUMBER(A179),ISNUMBER(C179)),A179,0)</f>
        <v>48</v>
      </c>
      <c r="F179" s="13" t="n">
        <f aca="false">IF(AND(ISNUMBER(A179),ISNUMBER(C179)),C179,0)</f>
        <v>118</v>
      </c>
      <c r="G179" s="13" t="n">
        <f aca="false">IF(AND(ISNUMBER(A179),ISNUMBER(C179)),IF(A179&lt;35,1,IF(A179&lt;50,2,IF(A179&lt;65,3,4))),0)</f>
        <v>2</v>
      </c>
      <c r="H179" s="13" t="n">
        <f aca="false">IF(AND(ISNUMBER(A179),ISNUMBER(C179)),1,0)</f>
        <v>1</v>
      </c>
    </row>
    <row r="180" customFormat="false" ht="15" hidden="false" customHeight="false" outlineLevel="0" collapsed="false">
      <c r="A180" s="12" t="n">
        <v>71</v>
      </c>
      <c r="B180" s="12" t="s">
        <v>28</v>
      </c>
      <c r="C180" s="12" t="n">
        <v>116</v>
      </c>
      <c r="D180" s="13" t="n">
        <f aca="false">IF(AND(ISNUMBER(A180),ISNUMBER(C180)),IF(B180="M",1,0),0)</f>
        <v>1</v>
      </c>
      <c r="E180" s="13" t="n">
        <f aca="false">IF(AND(ISNUMBER(A180),ISNUMBER(C180)),A180,0)</f>
        <v>71</v>
      </c>
      <c r="F180" s="13" t="n">
        <f aca="false">IF(AND(ISNUMBER(A180),ISNUMBER(C180)),C180,0)</f>
        <v>116</v>
      </c>
      <c r="G180" s="13" t="n">
        <f aca="false">IF(AND(ISNUMBER(A180),ISNUMBER(C180)),IF(A180&lt;35,1,IF(A180&lt;50,2,IF(A180&lt;65,3,4))),0)</f>
        <v>4</v>
      </c>
      <c r="H180" s="13" t="n">
        <f aca="false">IF(AND(ISNUMBER(A180),ISNUMBER(C180)),1,0)</f>
        <v>1</v>
      </c>
    </row>
    <row r="181" customFormat="false" ht="15" hidden="false" customHeight="false" outlineLevel="0" collapsed="false">
      <c r="A181" s="12" t="n">
        <v>27</v>
      </c>
      <c r="B181" s="12" t="s">
        <v>28</v>
      </c>
      <c r="C181" s="12" t="n">
        <v>124</v>
      </c>
      <c r="D181" s="13" t="n">
        <f aca="false">IF(AND(ISNUMBER(A181),ISNUMBER(C181)),IF(B181="M",1,0),0)</f>
        <v>1</v>
      </c>
      <c r="E181" s="13" t="n">
        <f aca="false">IF(AND(ISNUMBER(A181),ISNUMBER(C181)),A181,0)</f>
        <v>27</v>
      </c>
      <c r="F181" s="13" t="n">
        <f aca="false">IF(AND(ISNUMBER(A181),ISNUMBER(C181)),C181,0)</f>
        <v>124</v>
      </c>
      <c r="G181" s="13" t="n">
        <f aca="false">IF(AND(ISNUMBER(A181),ISNUMBER(C181)),IF(A181&lt;35,1,IF(A181&lt;50,2,IF(A181&lt;65,3,4))),0)</f>
        <v>1</v>
      </c>
      <c r="H181" s="13" t="n">
        <f aca="false">IF(AND(ISNUMBER(A181),ISNUMBER(C181)),1,0)</f>
        <v>1</v>
      </c>
    </row>
    <row r="182" customFormat="false" ht="15" hidden="false" customHeight="false" outlineLevel="0" collapsed="false">
      <c r="A182" s="12" t="n">
        <v>37</v>
      </c>
      <c r="B182" s="12" t="s">
        <v>28</v>
      </c>
      <c r="C182" s="12" t="n">
        <v>114</v>
      </c>
      <c r="D182" s="13" t="n">
        <f aca="false">IF(AND(ISNUMBER(A182),ISNUMBER(C182)),IF(B182="M",1,0),0)</f>
        <v>1</v>
      </c>
      <c r="E182" s="13" t="n">
        <f aca="false">IF(AND(ISNUMBER(A182),ISNUMBER(C182)),A182,0)</f>
        <v>37</v>
      </c>
      <c r="F182" s="13" t="n">
        <f aca="false">IF(AND(ISNUMBER(A182),ISNUMBER(C182)),C182,0)</f>
        <v>114</v>
      </c>
      <c r="G182" s="13" t="n">
        <f aca="false">IF(AND(ISNUMBER(A182),ISNUMBER(C182)),IF(A182&lt;35,1,IF(A182&lt;50,2,IF(A182&lt;65,3,4))),0)</f>
        <v>2</v>
      </c>
      <c r="H182" s="13" t="n">
        <f aca="false">IF(AND(ISNUMBER(A182),ISNUMBER(C182)),1,0)</f>
        <v>1</v>
      </c>
    </row>
    <row r="183" customFormat="false" ht="15" hidden="false" customHeight="false" outlineLevel="0" collapsed="false">
      <c r="A183" s="12" t="n">
        <v>49</v>
      </c>
      <c r="B183" s="12" t="s">
        <v>27</v>
      </c>
      <c r="C183" s="12" t="n">
        <v>132</v>
      </c>
      <c r="D183" s="13" t="n">
        <f aca="false">IF(AND(ISNUMBER(A183),ISNUMBER(C183)),IF(B183="M",1,0),0)</f>
        <v>0</v>
      </c>
      <c r="E183" s="13" t="n">
        <f aca="false">IF(AND(ISNUMBER(A183),ISNUMBER(C183)),A183,0)</f>
        <v>49</v>
      </c>
      <c r="F183" s="13" t="n">
        <f aca="false">IF(AND(ISNUMBER(A183),ISNUMBER(C183)),C183,0)</f>
        <v>132</v>
      </c>
      <c r="G183" s="13" t="n">
        <f aca="false">IF(AND(ISNUMBER(A183),ISNUMBER(C183)),IF(A183&lt;35,1,IF(A183&lt;50,2,IF(A183&lt;65,3,4))),0)</f>
        <v>2</v>
      </c>
      <c r="H183" s="13" t="n">
        <f aca="false">IF(AND(ISNUMBER(A183),ISNUMBER(C183)),1,0)</f>
        <v>1</v>
      </c>
    </row>
    <row r="184" customFormat="false" ht="15" hidden="false" customHeight="false" outlineLevel="0" collapsed="false">
      <c r="A184" s="12" t="n">
        <v>43</v>
      </c>
      <c r="B184" s="12" t="s">
        <v>28</v>
      </c>
      <c r="C184" s="12" t="n">
        <v>118</v>
      </c>
      <c r="D184" s="13" t="n">
        <f aca="false">IF(AND(ISNUMBER(A184),ISNUMBER(C184)),IF(B184="M",1,0),0)</f>
        <v>1</v>
      </c>
      <c r="E184" s="13" t="n">
        <f aca="false">IF(AND(ISNUMBER(A184),ISNUMBER(C184)),A184,0)</f>
        <v>43</v>
      </c>
      <c r="F184" s="13" t="n">
        <f aca="false">IF(AND(ISNUMBER(A184),ISNUMBER(C184)),C184,0)</f>
        <v>118</v>
      </c>
      <c r="G184" s="13" t="n">
        <f aca="false">IF(AND(ISNUMBER(A184),ISNUMBER(C184)),IF(A184&lt;35,1,IF(A184&lt;50,2,IF(A184&lt;65,3,4))),0)</f>
        <v>2</v>
      </c>
      <c r="H184" s="13" t="n">
        <f aca="false">IF(AND(ISNUMBER(A184),ISNUMBER(C184)),1,0)</f>
        <v>1</v>
      </c>
    </row>
    <row r="185" customFormat="false" ht="15" hidden="false" customHeight="false" outlineLevel="0" collapsed="false">
      <c r="A185" s="12" t="n">
        <v>76</v>
      </c>
      <c r="B185" s="12" t="s">
        <v>28</v>
      </c>
      <c r="C185" s="12" t="n">
        <v>150</v>
      </c>
      <c r="D185" s="13" t="n">
        <f aca="false">IF(AND(ISNUMBER(A185),ISNUMBER(C185)),IF(B185="M",1,0),0)</f>
        <v>1</v>
      </c>
      <c r="E185" s="13" t="n">
        <f aca="false">IF(AND(ISNUMBER(A185),ISNUMBER(C185)),A185,0)</f>
        <v>76</v>
      </c>
      <c r="F185" s="13" t="n">
        <f aca="false">IF(AND(ISNUMBER(A185),ISNUMBER(C185)),C185,0)</f>
        <v>150</v>
      </c>
      <c r="G185" s="13" t="n">
        <f aca="false">IF(AND(ISNUMBER(A185),ISNUMBER(C185)),IF(A185&lt;35,1,IF(A185&lt;50,2,IF(A185&lt;65,3,4))),0)</f>
        <v>4</v>
      </c>
      <c r="H185" s="13" t="n">
        <f aca="false">IF(AND(ISNUMBER(A185),ISNUMBER(C185)),1,0)</f>
        <v>1</v>
      </c>
    </row>
    <row r="186" customFormat="false" ht="15" hidden="false" customHeight="false" outlineLevel="0" collapsed="false">
      <c r="A186" s="12" t="n">
        <v>53</v>
      </c>
      <c r="B186" s="12" t="s">
        <v>28</v>
      </c>
      <c r="C186" s="12" t="n">
        <v>145</v>
      </c>
      <c r="D186" s="13" t="n">
        <f aca="false">IF(AND(ISNUMBER(A186),ISNUMBER(C186)),IF(B186="M",1,0),0)</f>
        <v>1</v>
      </c>
      <c r="E186" s="13" t="n">
        <f aca="false">IF(AND(ISNUMBER(A186),ISNUMBER(C186)),A186,0)</f>
        <v>53</v>
      </c>
      <c r="F186" s="13" t="n">
        <f aca="false">IF(AND(ISNUMBER(A186),ISNUMBER(C186)),C186,0)</f>
        <v>145</v>
      </c>
      <c r="G186" s="13" t="n">
        <f aca="false">IF(AND(ISNUMBER(A186),ISNUMBER(C186)),IF(A186&lt;35,1,IF(A186&lt;50,2,IF(A186&lt;65,3,4))),0)</f>
        <v>3</v>
      </c>
      <c r="H186" s="13" t="n">
        <f aca="false">IF(AND(ISNUMBER(A186),ISNUMBER(C186)),1,0)</f>
        <v>1</v>
      </c>
    </row>
    <row r="187" customFormat="false" ht="15" hidden="false" customHeight="false" outlineLevel="0" collapsed="false">
      <c r="A187" s="12" t="n">
        <v>54</v>
      </c>
      <c r="B187" s="12" t="s">
        <v>27</v>
      </c>
      <c r="C187" s="12" t="n">
        <v>121</v>
      </c>
      <c r="D187" s="13" t="n">
        <f aca="false">IF(AND(ISNUMBER(A187),ISNUMBER(C187)),IF(B187="M",1,0),0)</f>
        <v>0</v>
      </c>
      <c r="E187" s="13" t="n">
        <f aca="false">IF(AND(ISNUMBER(A187),ISNUMBER(C187)),A187,0)</f>
        <v>54</v>
      </c>
      <c r="F187" s="13" t="n">
        <f aca="false">IF(AND(ISNUMBER(A187),ISNUMBER(C187)),C187,0)</f>
        <v>121</v>
      </c>
      <c r="G187" s="13" t="n">
        <f aca="false">IF(AND(ISNUMBER(A187),ISNUMBER(C187)),IF(A187&lt;35,1,IF(A187&lt;50,2,IF(A187&lt;65,3,4))),0)</f>
        <v>3</v>
      </c>
      <c r="H187" s="13" t="n">
        <f aca="false">IF(AND(ISNUMBER(A187),ISNUMBER(C187)),1,0)</f>
        <v>1</v>
      </c>
    </row>
    <row r="188" customFormat="false" ht="15" hidden="false" customHeight="false" outlineLevel="0" collapsed="false">
      <c r="A188" s="12" t="n">
        <v>67</v>
      </c>
      <c r="B188" s="12" t="s">
        <v>27</v>
      </c>
      <c r="C188" s="12" t="n">
        <v>122</v>
      </c>
      <c r="D188" s="13" t="n">
        <f aca="false">IF(AND(ISNUMBER(A188),ISNUMBER(C188)),IF(B188="M",1,0),0)</f>
        <v>0</v>
      </c>
      <c r="E188" s="13" t="n">
        <f aca="false">IF(AND(ISNUMBER(A188),ISNUMBER(C188)),A188,0)</f>
        <v>67</v>
      </c>
      <c r="F188" s="13" t="n">
        <f aca="false">IF(AND(ISNUMBER(A188),ISNUMBER(C188)),C188,0)</f>
        <v>122</v>
      </c>
      <c r="G188" s="13" t="n">
        <f aca="false">IF(AND(ISNUMBER(A188),ISNUMBER(C188)),IF(A188&lt;35,1,IF(A188&lt;50,2,IF(A188&lt;65,3,4))),0)</f>
        <v>4</v>
      </c>
      <c r="H188" s="13" t="n">
        <f aca="false">IF(AND(ISNUMBER(A188),ISNUMBER(C188)),1,0)</f>
        <v>1</v>
      </c>
    </row>
    <row r="189" customFormat="false" ht="15" hidden="false" customHeight="false" outlineLevel="0" collapsed="false">
      <c r="A189" s="12" t="n">
        <v>31</v>
      </c>
      <c r="B189" s="12" t="s">
        <v>28</v>
      </c>
      <c r="C189" s="12" t="n">
        <v>122</v>
      </c>
      <c r="D189" s="13" t="n">
        <f aca="false">IF(AND(ISNUMBER(A189),ISNUMBER(C189)),IF(B189="M",1,0),0)</f>
        <v>1</v>
      </c>
      <c r="E189" s="13" t="n">
        <f aca="false">IF(AND(ISNUMBER(A189),ISNUMBER(C189)),A189,0)</f>
        <v>31</v>
      </c>
      <c r="F189" s="13" t="n">
        <f aca="false">IF(AND(ISNUMBER(A189),ISNUMBER(C189)),C189,0)</f>
        <v>122</v>
      </c>
      <c r="G189" s="13" t="n">
        <f aca="false">IF(AND(ISNUMBER(A189),ISNUMBER(C189)),IF(A189&lt;35,1,IF(A189&lt;50,2,IF(A189&lt;65,3,4))),0)</f>
        <v>1</v>
      </c>
      <c r="H189" s="13" t="n">
        <f aca="false">IF(AND(ISNUMBER(A189),ISNUMBER(C189)),1,0)</f>
        <v>1</v>
      </c>
    </row>
    <row r="190" customFormat="false" ht="15" hidden="false" customHeight="false" outlineLevel="0" collapsed="false">
      <c r="A190" s="12" t="n">
        <v>67</v>
      </c>
      <c r="B190" s="12" t="s">
        <v>27</v>
      </c>
      <c r="C190" s="12" t="n">
        <v>161</v>
      </c>
      <c r="D190" s="13" t="n">
        <f aca="false">IF(AND(ISNUMBER(A190),ISNUMBER(C190)),IF(B190="M",1,0),0)</f>
        <v>0</v>
      </c>
      <c r="E190" s="13" t="n">
        <f aca="false">IF(AND(ISNUMBER(A190),ISNUMBER(C190)),A190,0)</f>
        <v>67</v>
      </c>
      <c r="F190" s="13" t="n">
        <f aca="false">IF(AND(ISNUMBER(A190),ISNUMBER(C190)),C190,0)</f>
        <v>161</v>
      </c>
      <c r="G190" s="13" t="n">
        <f aca="false">IF(AND(ISNUMBER(A190),ISNUMBER(C190)),IF(A190&lt;35,1,IF(A190&lt;50,2,IF(A190&lt;65,3,4))),0)</f>
        <v>4</v>
      </c>
      <c r="H190" s="13" t="n">
        <f aca="false">IF(AND(ISNUMBER(A190),ISNUMBER(C190)),1,0)</f>
        <v>1</v>
      </c>
    </row>
    <row r="191" customFormat="false" ht="15" hidden="false" customHeight="false" outlineLevel="0" collapsed="false">
      <c r="A191" s="12" t="n">
        <v>19</v>
      </c>
      <c r="B191" s="12" t="s">
        <v>27</v>
      </c>
      <c r="C191" s="12" t="n">
        <v>95</v>
      </c>
      <c r="D191" s="13" t="n">
        <f aca="false">IF(AND(ISNUMBER(A191),ISNUMBER(C191)),IF(B191="M",1,0),0)</f>
        <v>0</v>
      </c>
      <c r="E191" s="13" t="n">
        <f aca="false">IF(AND(ISNUMBER(A191),ISNUMBER(C191)),A191,0)</f>
        <v>19</v>
      </c>
      <c r="F191" s="13" t="n">
        <f aca="false">IF(AND(ISNUMBER(A191),ISNUMBER(C191)),C191,0)</f>
        <v>95</v>
      </c>
      <c r="G191" s="13" t="n">
        <f aca="false">IF(AND(ISNUMBER(A191),ISNUMBER(C191)),IF(A191&lt;35,1,IF(A191&lt;50,2,IF(A191&lt;65,3,4))),0)</f>
        <v>1</v>
      </c>
      <c r="H191" s="13" t="n">
        <f aca="false">IF(AND(ISNUMBER(A191),ISNUMBER(C191)),1,0)</f>
        <v>1</v>
      </c>
    </row>
    <row r="192" customFormat="false" ht="15" hidden="false" customHeight="false" outlineLevel="0" collapsed="false">
      <c r="A192" s="12" t="n">
        <v>58</v>
      </c>
      <c r="B192" s="12" t="s">
        <v>28</v>
      </c>
      <c r="C192" s="12" t="n">
        <v>139</v>
      </c>
      <c r="D192" s="13" t="n">
        <f aca="false">IF(AND(ISNUMBER(A192),ISNUMBER(C192)),IF(B192="M",1,0),0)</f>
        <v>1</v>
      </c>
      <c r="E192" s="13" t="n">
        <f aca="false">IF(AND(ISNUMBER(A192),ISNUMBER(C192)),A192,0)</f>
        <v>58</v>
      </c>
      <c r="F192" s="13" t="n">
        <f aca="false">IF(AND(ISNUMBER(A192),ISNUMBER(C192)),C192,0)</f>
        <v>139</v>
      </c>
      <c r="G192" s="13" t="n">
        <f aca="false">IF(AND(ISNUMBER(A192),ISNUMBER(C192)),IF(A192&lt;35,1,IF(A192&lt;50,2,IF(A192&lt;65,3,4))),0)</f>
        <v>3</v>
      </c>
      <c r="H192" s="13" t="n">
        <f aca="false">IF(AND(ISNUMBER(A192),ISNUMBER(C192)),1,0)</f>
        <v>1</v>
      </c>
    </row>
    <row r="193" customFormat="false" ht="15" hidden="false" customHeight="false" outlineLevel="0" collapsed="false">
      <c r="A193" s="12" t="n">
        <v>36</v>
      </c>
      <c r="B193" s="12" t="s">
        <v>27</v>
      </c>
      <c r="C193" s="12" t="n">
        <v>116</v>
      </c>
      <c r="D193" s="13" t="n">
        <f aca="false">IF(AND(ISNUMBER(A193),ISNUMBER(C193)),IF(B193="M",1,0),0)</f>
        <v>0</v>
      </c>
      <c r="E193" s="13" t="n">
        <f aca="false">IF(AND(ISNUMBER(A193),ISNUMBER(C193)),A193,0)</f>
        <v>36</v>
      </c>
      <c r="F193" s="13" t="n">
        <f aca="false">IF(AND(ISNUMBER(A193),ISNUMBER(C193)),C193,0)</f>
        <v>116</v>
      </c>
      <c r="G193" s="13" t="n">
        <f aca="false">IF(AND(ISNUMBER(A193),ISNUMBER(C193)),IF(A193&lt;35,1,IF(A193&lt;50,2,IF(A193&lt;65,3,4))),0)</f>
        <v>2</v>
      </c>
      <c r="H193" s="13" t="n">
        <f aca="false">IF(AND(ISNUMBER(A193),ISNUMBER(C193)),1,0)</f>
        <v>1</v>
      </c>
    </row>
    <row r="194" customFormat="false" ht="15" hidden="false" customHeight="false" outlineLevel="0" collapsed="false">
      <c r="A194" s="12" t="n">
        <v>27</v>
      </c>
      <c r="B194" s="12" t="s">
        <v>27</v>
      </c>
      <c r="C194" s="12" t="n">
        <v>111</v>
      </c>
      <c r="D194" s="13" t="n">
        <f aca="false">IF(AND(ISNUMBER(A194),ISNUMBER(C194)),IF(B194="M",1,0),0)</f>
        <v>0</v>
      </c>
      <c r="E194" s="13" t="n">
        <f aca="false">IF(AND(ISNUMBER(A194),ISNUMBER(C194)),A194,0)</f>
        <v>27</v>
      </c>
      <c r="F194" s="13" t="n">
        <f aca="false">IF(AND(ISNUMBER(A194),ISNUMBER(C194)),C194,0)</f>
        <v>111</v>
      </c>
      <c r="G194" s="13" t="n">
        <f aca="false">IF(AND(ISNUMBER(A194),ISNUMBER(C194)),IF(A194&lt;35,1,IF(A194&lt;50,2,IF(A194&lt;65,3,4))),0)</f>
        <v>1</v>
      </c>
      <c r="H194" s="13" t="n">
        <f aca="false">IF(AND(ISNUMBER(A194),ISNUMBER(C194)),1,0)</f>
        <v>1</v>
      </c>
    </row>
    <row r="195" customFormat="false" ht="15" hidden="false" customHeight="false" outlineLevel="0" collapsed="false">
      <c r="A195" s="12" t="n">
        <v>55</v>
      </c>
      <c r="B195" s="12" t="s">
        <v>27</v>
      </c>
      <c r="C195" s="12" t="n">
        <v>131</v>
      </c>
      <c r="D195" s="13" t="n">
        <f aca="false">IF(AND(ISNUMBER(A195),ISNUMBER(C195)),IF(B195="M",1,0),0)</f>
        <v>0</v>
      </c>
      <c r="E195" s="13" t="n">
        <f aca="false">IF(AND(ISNUMBER(A195),ISNUMBER(C195)),A195,0)</f>
        <v>55</v>
      </c>
      <c r="F195" s="13" t="n">
        <f aca="false">IF(AND(ISNUMBER(A195),ISNUMBER(C195)),C195,0)</f>
        <v>131</v>
      </c>
      <c r="G195" s="13" t="n">
        <f aca="false">IF(AND(ISNUMBER(A195),ISNUMBER(C195)),IF(A195&lt;35,1,IF(A195&lt;50,2,IF(A195&lt;65,3,4))),0)</f>
        <v>3</v>
      </c>
      <c r="H195" s="13" t="n">
        <f aca="false">IF(AND(ISNUMBER(A195),ISNUMBER(C195)),1,0)</f>
        <v>1</v>
      </c>
    </row>
    <row r="196" customFormat="false" ht="15" hidden="false" customHeight="false" outlineLevel="0" collapsed="false">
      <c r="A196" s="12" t="n">
        <v>57</v>
      </c>
      <c r="B196" s="12" t="s">
        <v>28</v>
      </c>
      <c r="C196" s="12" t="n">
        <v>113</v>
      </c>
      <c r="D196" s="13" t="n">
        <f aca="false">IF(AND(ISNUMBER(A196),ISNUMBER(C196)),IF(B196="M",1,0),0)</f>
        <v>1</v>
      </c>
      <c r="E196" s="13" t="n">
        <f aca="false">IF(AND(ISNUMBER(A196),ISNUMBER(C196)),A196,0)</f>
        <v>57</v>
      </c>
      <c r="F196" s="13" t="n">
        <f aca="false">IF(AND(ISNUMBER(A196),ISNUMBER(C196)),C196,0)</f>
        <v>113</v>
      </c>
      <c r="G196" s="13" t="n">
        <f aca="false">IF(AND(ISNUMBER(A196),ISNUMBER(C196)),IF(A196&lt;35,1,IF(A196&lt;50,2,IF(A196&lt;65,3,4))),0)</f>
        <v>3</v>
      </c>
      <c r="H196" s="13" t="n">
        <f aca="false">IF(AND(ISNUMBER(A196),ISNUMBER(C196)),1,0)</f>
        <v>1</v>
      </c>
    </row>
    <row r="197" customFormat="false" ht="15" hidden="false" customHeight="false" outlineLevel="0" collapsed="false">
      <c r="A197" s="12" t="n">
        <v>73</v>
      </c>
      <c r="B197" s="12" t="s">
        <v>27</v>
      </c>
      <c r="C197" s="12" t="n">
        <v>134</v>
      </c>
      <c r="D197" s="13" t="n">
        <f aca="false">IF(AND(ISNUMBER(A197),ISNUMBER(C197)),IF(B197="M",1,0),0)</f>
        <v>0</v>
      </c>
      <c r="E197" s="13" t="n">
        <f aca="false">IF(AND(ISNUMBER(A197),ISNUMBER(C197)),A197,0)</f>
        <v>73</v>
      </c>
      <c r="F197" s="13" t="n">
        <f aca="false">IF(AND(ISNUMBER(A197),ISNUMBER(C197)),C197,0)</f>
        <v>134</v>
      </c>
      <c r="G197" s="13" t="n">
        <f aca="false">IF(AND(ISNUMBER(A197),ISNUMBER(C197)),IF(A197&lt;35,1,IF(A197&lt;50,2,IF(A197&lt;65,3,4))),0)</f>
        <v>4</v>
      </c>
      <c r="H197" s="13" t="n">
        <f aca="false">IF(AND(ISNUMBER(A197),ISNUMBER(C197)),1,0)</f>
        <v>1</v>
      </c>
    </row>
    <row r="198" customFormat="false" ht="15" hidden="false" customHeight="false" outlineLevel="0" collapsed="false">
      <c r="A198" s="12" t="n">
        <v>61</v>
      </c>
      <c r="B198" s="12" t="s">
        <v>27</v>
      </c>
      <c r="C198" s="12" t="n">
        <v>114</v>
      </c>
      <c r="D198" s="13" t="n">
        <f aca="false">IF(AND(ISNUMBER(A198),ISNUMBER(C198)),IF(B198="M",1,0),0)</f>
        <v>0</v>
      </c>
      <c r="E198" s="13" t="n">
        <f aca="false">IF(AND(ISNUMBER(A198),ISNUMBER(C198)),A198,0)</f>
        <v>61</v>
      </c>
      <c r="F198" s="13" t="n">
        <f aca="false">IF(AND(ISNUMBER(A198),ISNUMBER(C198)),C198,0)</f>
        <v>114</v>
      </c>
      <c r="G198" s="13" t="n">
        <f aca="false">IF(AND(ISNUMBER(A198),ISNUMBER(C198)),IF(A198&lt;35,1,IF(A198&lt;50,2,IF(A198&lt;65,3,4))),0)</f>
        <v>3</v>
      </c>
      <c r="H198" s="13" t="n">
        <f aca="false">IF(AND(ISNUMBER(A198),ISNUMBER(C198)),1,0)</f>
        <v>1</v>
      </c>
    </row>
    <row r="199" customFormat="false" ht="15" hidden="false" customHeight="false" outlineLevel="0" collapsed="false">
      <c r="A199" s="12" t="n">
        <v>23</v>
      </c>
      <c r="B199" s="12" t="s">
        <v>27</v>
      </c>
      <c r="C199" s="12" t="n">
        <v>112</v>
      </c>
      <c r="D199" s="13" t="n">
        <f aca="false">IF(AND(ISNUMBER(A199),ISNUMBER(C199)),IF(B199="M",1,0),0)</f>
        <v>0</v>
      </c>
      <c r="E199" s="13" t="n">
        <f aca="false">IF(AND(ISNUMBER(A199),ISNUMBER(C199)),A199,0)</f>
        <v>23</v>
      </c>
      <c r="F199" s="13" t="n">
        <f aca="false">IF(AND(ISNUMBER(A199),ISNUMBER(C199)),C199,0)</f>
        <v>112</v>
      </c>
      <c r="G199" s="13" t="n">
        <f aca="false">IF(AND(ISNUMBER(A199),ISNUMBER(C199)),IF(A199&lt;35,1,IF(A199&lt;50,2,IF(A199&lt;65,3,4))),0)</f>
        <v>1</v>
      </c>
      <c r="H199" s="13" t="n">
        <f aca="false">IF(AND(ISNUMBER(A199),ISNUMBER(C199)),1,0)</f>
        <v>1</v>
      </c>
    </row>
    <row r="200" customFormat="false" ht="15" hidden="false" customHeight="false" outlineLevel="0" collapsed="false">
      <c r="A200" s="12" t="n">
        <v>55</v>
      </c>
      <c r="B200" s="12" t="s">
        <v>28</v>
      </c>
      <c r="C200" s="12" t="n">
        <v>140</v>
      </c>
      <c r="D200" s="13" t="n">
        <f aca="false">IF(AND(ISNUMBER(A200),ISNUMBER(C200)),IF(B200="M",1,0),0)</f>
        <v>1</v>
      </c>
      <c r="E200" s="13" t="n">
        <f aca="false">IF(AND(ISNUMBER(A200),ISNUMBER(C200)),A200,0)</f>
        <v>55</v>
      </c>
      <c r="F200" s="13" t="n">
        <f aca="false">IF(AND(ISNUMBER(A200),ISNUMBER(C200)),C200,0)</f>
        <v>140</v>
      </c>
      <c r="G200" s="13" t="n">
        <f aca="false">IF(AND(ISNUMBER(A200),ISNUMBER(C200)),IF(A200&lt;35,1,IF(A200&lt;50,2,IF(A200&lt;65,3,4))),0)</f>
        <v>3</v>
      </c>
      <c r="H200" s="13" t="n">
        <f aca="false">IF(AND(ISNUMBER(A200),ISNUMBER(C200)),1,0)</f>
        <v>1</v>
      </c>
    </row>
    <row r="201" customFormat="false" ht="15" hidden="false" customHeight="false" outlineLevel="0" collapsed="false">
      <c r="A201" s="12" t="n">
        <v>49</v>
      </c>
      <c r="B201" s="12" t="s">
        <v>27</v>
      </c>
      <c r="C201" s="12" t="n">
        <v>125</v>
      </c>
      <c r="D201" s="13" t="n">
        <f aca="false">IF(AND(ISNUMBER(A201),ISNUMBER(C201)),IF(B201="M",1,0),0)</f>
        <v>0</v>
      </c>
      <c r="E201" s="13" t="n">
        <f aca="false">IF(AND(ISNUMBER(A201),ISNUMBER(C201)),A201,0)</f>
        <v>49</v>
      </c>
      <c r="F201" s="13" t="n">
        <f aca="false">IF(AND(ISNUMBER(A201),ISNUMBER(C201)),C201,0)</f>
        <v>125</v>
      </c>
      <c r="G201" s="13" t="n">
        <f aca="false">IF(AND(ISNUMBER(A201),ISNUMBER(C201)),IF(A201&lt;35,1,IF(A201&lt;50,2,IF(A201&lt;65,3,4))),0)</f>
        <v>2</v>
      </c>
      <c r="H201" s="13" t="n">
        <f aca="false">IF(AND(ISNUMBER(A201),ISNUMBER(C201)),1,0)</f>
        <v>1</v>
      </c>
    </row>
    <row r="202" customFormat="false" ht="15" hidden="false" customHeight="false" outlineLevel="0" collapsed="false">
      <c r="A202" s="12" t="n">
        <v>51</v>
      </c>
      <c r="B202" s="12" t="s">
        <v>28</v>
      </c>
      <c r="C202" s="12" t="n">
        <v>129</v>
      </c>
      <c r="D202" s="13" t="n">
        <f aca="false">IF(AND(ISNUMBER(A202),ISNUMBER(C202)),IF(B202="M",1,0),0)</f>
        <v>1</v>
      </c>
      <c r="E202" s="13" t="n">
        <f aca="false">IF(AND(ISNUMBER(A202),ISNUMBER(C202)),A202,0)</f>
        <v>51</v>
      </c>
      <c r="F202" s="13" t="n">
        <f aca="false">IF(AND(ISNUMBER(A202),ISNUMBER(C202)),C202,0)</f>
        <v>129</v>
      </c>
      <c r="G202" s="13" t="n">
        <f aca="false">IF(AND(ISNUMBER(A202),ISNUMBER(C202)),IF(A202&lt;35,1,IF(A202&lt;50,2,IF(A202&lt;65,3,4))),0)</f>
        <v>3</v>
      </c>
      <c r="H202" s="13" t="n">
        <f aca="false">IF(AND(ISNUMBER(A202),ISNUMBER(C202)),1,0)</f>
        <v>1</v>
      </c>
    </row>
    <row r="203" customFormat="false" ht="15" hidden="false" customHeight="false" outlineLevel="0" collapsed="false">
      <c r="A203" s="12" t="n">
        <v>38</v>
      </c>
      <c r="B203" s="12" t="s">
        <v>27</v>
      </c>
      <c r="C203" s="12" t="n">
        <v>115</v>
      </c>
      <c r="D203" s="13" t="n">
        <f aca="false">IF(AND(ISNUMBER(A203),ISNUMBER(C203)),IF(B203="M",1,0),0)</f>
        <v>0</v>
      </c>
      <c r="E203" s="13" t="n">
        <f aca="false">IF(AND(ISNUMBER(A203),ISNUMBER(C203)),A203,0)</f>
        <v>38</v>
      </c>
      <c r="F203" s="13" t="n">
        <f aca="false">IF(AND(ISNUMBER(A203),ISNUMBER(C203)),C203,0)</f>
        <v>115</v>
      </c>
      <c r="G203" s="13" t="n">
        <f aca="false">IF(AND(ISNUMBER(A203),ISNUMBER(C203)),IF(A203&lt;35,1,IF(A203&lt;50,2,IF(A203&lt;65,3,4))),0)</f>
        <v>2</v>
      </c>
      <c r="H203" s="13" t="n">
        <f aca="false">IF(AND(ISNUMBER(A203),ISNUMBER(C203)),1,0)</f>
        <v>1</v>
      </c>
    </row>
    <row r="204" customFormat="false" ht="15" hidden="false" customHeight="false" outlineLevel="0" collapsed="false">
      <c r="A204" s="12" t="n">
        <v>45</v>
      </c>
      <c r="B204" s="12" t="s">
        <v>27</v>
      </c>
      <c r="C204" s="12" t="n">
        <v>113</v>
      </c>
      <c r="D204" s="13" t="n">
        <f aca="false">IF(AND(ISNUMBER(A204),ISNUMBER(C204)),IF(B204="M",1,0),0)</f>
        <v>0</v>
      </c>
      <c r="E204" s="13" t="n">
        <f aca="false">IF(AND(ISNUMBER(A204),ISNUMBER(C204)),A204,0)</f>
        <v>45</v>
      </c>
      <c r="F204" s="13" t="n">
        <f aca="false">IF(AND(ISNUMBER(A204),ISNUMBER(C204)),C204,0)</f>
        <v>113</v>
      </c>
      <c r="G204" s="13" t="n">
        <f aca="false">IF(AND(ISNUMBER(A204),ISNUMBER(C204)),IF(A204&lt;35,1,IF(A204&lt;50,2,IF(A204&lt;65,3,4))),0)</f>
        <v>2</v>
      </c>
      <c r="H204" s="13" t="n">
        <f aca="false">IF(AND(ISNUMBER(A204),ISNUMBER(C204)),1,0)</f>
        <v>1</v>
      </c>
    </row>
    <row r="205" customFormat="false" ht="15" hidden="false" customHeight="false" outlineLevel="0" collapsed="false">
      <c r="A205" s="12" t="n">
        <v>18</v>
      </c>
      <c r="B205" s="12" t="s">
        <v>28</v>
      </c>
      <c r="C205" s="12" t="n">
        <v>126</v>
      </c>
      <c r="D205" s="13" t="n">
        <f aca="false">IF(AND(ISNUMBER(A205),ISNUMBER(C205)),IF(B205="M",1,0),0)</f>
        <v>1</v>
      </c>
      <c r="E205" s="13" t="n">
        <f aca="false">IF(AND(ISNUMBER(A205),ISNUMBER(C205)),A205,0)</f>
        <v>18</v>
      </c>
      <c r="F205" s="13" t="n">
        <f aca="false">IF(AND(ISNUMBER(A205),ISNUMBER(C205)),C205,0)</f>
        <v>126</v>
      </c>
      <c r="G205" s="13" t="n">
        <f aca="false">IF(AND(ISNUMBER(A205),ISNUMBER(C205)),IF(A205&lt;35,1,IF(A205&lt;50,2,IF(A205&lt;65,3,4))),0)</f>
        <v>1</v>
      </c>
      <c r="H205" s="13" t="n">
        <f aca="false">IF(AND(ISNUMBER(A205),ISNUMBER(C205)),1,0)</f>
        <v>1</v>
      </c>
    </row>
    <row r="206" customFormat="false" ht="15" hidden="false" customHeight="false" outlineLevel="0" collapsed="false">
      <c r="A206" s="12" t="n">
        <v>58</v>
      </c>
      <c r="B206" s="12" t="s">
        <v>27</v>
      </c>
      <c r="C206" s="12" t="n">
        <v>139</v>
      </c>
      <c r="D206" s="13" t="n">
        <f aca="false">IF(AND(ISNUMBER(A206),ISNUMBER(C206)),IF(B206="M",1,0),0)</f>
        <v>0</v>
      </c>
      <c r="E206" s="13" t="n">
        <f aca="false">IF(AND(ISNUMBER(A206),ISNUMBER(C206)),A206,0)</f>
        <v>58</v>
      </c>
      <c r="F206" s="13" t="n">
        <f aca="false">IF(AND(ISNUMBER(A206),ISNUMBER(C206)),C206,0)</f>
        <v>139</v>
      </c>
      <c r="G206" s="13" t="n">
        <f aca="false">IF(AND(ISNUMBER(A206),ISNUMBER(C206)),IF(A206&lt;35,1,IF(A206&lt;50,2,IF(A206&lt;65,3,4))),0)</f>
        <v>3</v>
      </c>
      <c r="H206" s="13" t="n">
        <f aca="false">IF(AND(ISNUMBER(A206),ISNUMBER(C206)),1,0)</f>
        <v>1</v>
      </c>
    </row>
    <row r="207" customFormat="false" ht="15" hidden="false" customHeight="false" outlineLevel="0" collapsed="false">
      <c r="A207" s="12" t="n">
        <v>33</v>
      </c>
      <c r="B207" s="12" t="s">
        <v>27</v>
      </c>
      <c r="C207" s="12" t="n">
        <v>110</v>
      </c>
      <c r="D207" s="13" t="n">
        <f aca="false">IF(AND(ISNUMBER(A207),ISNUMBER(C207)),IF(B207="M",1,0),0)</f>
        <v>0</v>
      </c>
      <c r="E207" s="13" t="n">
        <f aca="false">IF(AND(ISNUMBER(A207),ISNUMBER(C207)),A207,0)</f>
        <v>33</v>
      </c>
      <c r="F207" s="13" t="n">
        <f aca="false">IF(AND(ISNUMBER(A207),ISNUMBER(C207)),C207,0)</f>
        <v>110</v>
      </c>
      <c r="G207" s="13" t="n">
        <f aca="false">IF(AND(ISNUMBER(A207),ISNUMBER(C207)),IF(A207&lt;35,1,IF(A207&lt;50,2,IF(A207&lt;65,3,4))),0)</f>
        <v>1</v>
      </c>
      <c r="H207" s="13" t="n">
        <f aca="false">IF(AND(ISNUMBER(A207),ISNUMBER(C207)),1,0)</f>
        <v>1</v>
      </c>
    </row>
    <row r="208" customFormat="false" ht="15" hidden="false" customHeight="false" outlineLevel="0" collapsed="false">
      <c r="A208" s="12" t="n">
        <v>64</v>
      </c>
      <c r="B208" s="12" t="s">
        <v>27</v>
      </c>
      <c r="C208" s="12" t="n">
        <v>136</v>
      </c>
      <c r="D208" s="13" t="n">
        <f aca="false">IF(AND(ISNUMBER(A208),ISNUMBER(C208)),IF(B208="M",1,0),0)</f>
        <v>0</v>
      </c>
      <c r="E208" s="13" t="n">
        <f aca="false">IF(AND(ISNUMBER(A208),ISNUMBER(C208)),A208,0)</f>
        <v>64</v>
      </c>
      <c r="F208" s="13" t="n">
        <f aca="false">IF(AND(ISNUMBER(A208),ISNUMBER(C208)),C208,0)</f>
        <v>136</v>
      </c>
      <c r="G208" s="13" t="n">
        <f aca="false">IF(AND(ISNUMBER(A208),ISNUMBER(C208)),IF(A208&lt;35,1,IF(A208&lt;50,2,IF(A208&lt;65,3,4))),0)</f>
        <v>3</v>
      </c>
      <c r="H208" s="13" t="n">
        <f aca="false">IF(AND(ISNUMBER(A208),ISNUMBER(C208)),1,0)</f>
        <v>1</v>
      </c>
    </row>
    <row r="209" customFormat="false" ht="15" hidden="false" customHeight="false" outlineLevel="0" collapsed="false">
      <c r="A209" s="12" t="n">
        <v>19</v>
      </c>
      <c r="B209" s="12" t="s">
        <v>27</v>
      </c>
      <c r="C209" s="12" t="n">
        <v>126</v>
      </c>
      <c r="D209" s="13" t="n">
        <f aca="false">IF(AND(ISNUMBER(A209),ISNUMBER(C209)),IF(B209="M",1,0),0)</f>
        <v>0</v>
      </c>
      <c r="E209" s="13" t="n">
        <f aca="false">IF(AND(ISNUMBER(A209),ISNUMBER(C209)),A209,0)</f>
        <v>19</v>
      </c>
      <c r="F209" s="13" t="n">
        <f aca="false">IF(AND(ISNUMBER(A209),ISNUMBER(C209)),C209,0)</f>
        <v>126</v>
      </c>
      <c r="G209" s="13" t="n">
        <f aca="false">IF(AND(ISNUMBER(A209),ISNUMBER(C209)),IF(A209&lt;35,1,IF(A209&lt;50,2,IF(A209&lt;65,3,4))),0)</f>
        <v>1</v>
      </c>
      <c r="H209" s="13" t="n">
        <f aca="false">IF(AND(ISNUMBER(A209),ISNUMBER(C209)),1,0)</f>
        <v>1</v>
      </c>
    </row>
    <row r="210" customFormat="false" ht="15" hidden="false" customHeight="false" outlineLevel="0" collapsed="false">
      <c r="A210" s="12" t="n">
        <v>40</v>
      </c>
      <c r="B210" s="12" t="s">
        <v>28</v>
      </c>
      <c r="C210" s="12" t="n">
        <v>117</v>
      </c>
      <c r="D210" s="13" t="n">
        <f aca="false">IF(AND(ISNUMBER(A210),ISNUMBER(C210)),IF(B210="M",1,0),0)</f>
        <v>1</v>
      </c>
      <c r="E210" s="13" t="n">
        <f aca="false">IF(AND(ISNUMBER(A210),ISNUMBER(C210)),A210,0)</f>
        <v>40</v>
      </c>
      <c r="F210" s="13" t="n">
        <f aca="false">IF(AND(ISNUMBER(A210),ISNUMBER(C210)),C210,0)</f>
        <v>117</v>
      </c>
      <c r="G210" s="13" t="n">
        <f aca="false">IF(AND(ISNUMBER(A210),ISNUMBER(C210)),IF(A210&lt;35,1,IF(A210&lt;50,2,IF(A210&lt;65,3,4))),0)</f>
        <v>2</v>
      </c>
      <c r="H210" s="13" t="n">
        <f aca="false">IF(AND(ISNUMBER(A210),ISNUMBER(C210)),1,0)</f>
        <v>1</v>
      </c>
    </row>
    <row r="211" customFormat="false" ht="15" hidden="false" customHeight="false" outlineLevel="0" collapsed="false">
      <c r="A211" s="12" t="n">
        <v>28</v>
      </c>
      <c r="B211" s="12" t="s">
        <v>28</v>
      </c>
      <c r="C211" s="12" t="n">
        <v>111</v>
      </c>
      <c r="D211" s="13" t="n">
        <f aca="false">IF(AND(ISNUMBER(A211),ISNUMBER(C211)),IF(B211="M",1,0),0)</f>
        <v>1</v>
      </c>
      <c r="E211" s="13" t="n">
        <f aca="false">IF(AND(ISNUMBER(A211),ISNUMBER(C211)),A211,0)</f>
        <v>28</v>
      </c>
      <c r="F211" s="13" t="n">
        <f aca="false">IF(AND(ISNUMBER(A211),ISNUMBER(C211)),C211,0)</f>
        <v>111</v>
      </c>
      <c r="G211" s="13" t="n">
        <f aca="false">IF(AND(ISNUMBER(A211),ISNUMBER(C211)),IF(A211&lt;35,1,IF(A211&lt;50,2,IF(A211&lt;65,3,4))),0)</f>
        <v>1</v>
      </c>
      <c r="H211" s="13" t="n">
        <f aca="false">IF(AND(ISNUMBER(A211),ISNUMBER(C211)),1,0)</f>
        <v>1</v>
      </c>
    </row>
    <row r="212" customFormat="false" ht="15" hidden="false" customHeight="false" outlineLevel="0" collapsed="false">
      <c r="A212" s="12" t="n">
        <v>62</v>
      </c>
      <c r="B212" s="12" t="s">
        <v>27</v>
      </c>
      <c r="C212" s="12" t="n">
        <v>144</v>
      </c>
      <c r="D212" s="13" t="n">
        <f aca="false">IF(AND(ISNUMBER(A212),ISNUMBER(C212)),IF(B212="M",1,0),0)</f>
        <v>0</v>
      </c>
      <c r="E212" s="13" t="n">
        <f aca="false">IF(AND(ISNUMBER(A212),ISNUMBER(C212)),A212,0)</f>
        <v>62</v>
      </c>
      <c r="F212" s="13" t="n">
        <f aca="false">IF(AND(ISNUMBER(A212),ISNUMBER(C212)),C212,0)</f>
        <v>144</v>
      </c>
      <c r="G212" s="13" t="n">
        <f aca="false">IF(AND(ISNUMBER(A212),ISNUMBER(C212)),IF(A212&lt;35,1,IF(A212&lt;50,2,IF(A212&lt;65,3,4))),0)</f>
        <v>3</v>
      </c>
      <c r="H212" s="13" t="n">
        <f aca="false">IF(AND(ISNUMBER(A212),ISNUMBER(C212)),1,0)</f>
        <v>1</v>
      </c>
    </row>
    <row r="213" customFormat="false" ht="15" hidden="false" customHeight="false" outlineLevel="0" collapsed="false">
      <c r="A213" s="12" t="n">
        <v>36</v>
      </c>
      <c r="B213" s="12" t="s">
        <v>27</v>
      </c>
      <c r="C213" s="12" t="n">
        <v>106</v>
      </c>
      <c r="D213" s="13" t="n">
        <f aca="false">IF(AND(ISNUMBER(A213),ISNUMBER(C213)),IF(B213="M",1,0),0)</f>
        <v>0</v>
      </c>
      <c r="E213" s="13" t="n">
        <f aca="false">IF(AND(ISNUMBER(A213),ISNUMBER(C213)),A213,0)</f>
        <v>36</v>
      </c>
      <c r="F213" s="13" t="n">
        <f aca="false">IF(AND(ISNUMBER(A213),ISNUMBER(C213)),C213,0)</f>
        <v>106</v>
      </c>
      <c r="G213" s="13" t="n">
        <f aca="false">IF(AND(ISNUMBER(A213),ISNUMBER(C213)),IF(A213&lt;35,1,IF(A213&lt;50,2,IF(A213&lt;65,3,4))),0)</f>
        <v>2</v>
      </c>
      <c r="H213" s="13" t="n">
        <f aca="false">IF(AND(ISNUMBER(A213),ISNUMBER(C213)),1,0)</f>
        <v>1</v>
      </c>
    </row>
    <row r="214" customFormat="false" ht="15" hidden="false" customHeight="false" outlineLevel="0" collapsed="false">
      <c r="A214" s="12" t="n">
        <v>64</v>
      </c>
      <c r="B214" s="12" t="s">
        <v>27</v>
      </c>
      <c r="C214" s="12" t="n">
        <v>124</v>
      </c>
      <c r="D214" s="13" t="n">
        <f aca="false">IF(AND(ISNUMBER(A214),ISNUMBER(C214)),IF(B214="M",1,0),0)</f>
        <v>0</v>
      </c>
      <c r="E214" s="13" t="n">
        <f aca="false">IF(AND(ISNUMBER(A214),ISNUMBER(C214)),A214,0)</f>
        <v>64</v>
      </c>
      <c r="F214" s="13" t="n">
        <f aca="false">IF(AND(ISNUMBER(A214),ISNUMBER(C214)),C214,0)</f>
        <v>124</v>
      </c>
      <c r="G214" s="13" t="n">
        <f aca="false">IF(AND(ISNUMBER(A214),ISNUMBER(C214)),IF(A214&lt;35,1,IF(A214&lt;50,2,IF(A214&lt;65,3,4))),0)</f>
        <v>3</v>
      </c>
      <c r="H214" s="13" t="n">
        <f aca="false">IF(AND(ISNUMBER(A214),ISNUMBER(C214)),1,0)</f>
        <v>1</v>
      </c>
    </row>
    <row r="215" customFormat="false" ht="15" hidden="false" customHeight="false" outlineLevel="0" collapsed="false">
      <c r="A215" s="12" t="n">
        <v>36</v>
      </c>
      <c r="B215" s="12" t="s">
        <v>27</v>
      </c>
      <c r="C215" s="12" t="n">
        <v>120</v>
      </c>
      <c r="D215" s="13" t="n">
        <f aca="false">IF(AND(ISNUMBER(A215),ISNUMBER(C215)),IF(B215="M",1,0),0)</f>
        <v>0</v>
      </c>
      <c r="E215" s="13" t="n">
        <f aca="false">IF(AND(ISNUMBER(A215),ISNUMBER(C215)),A215,0)</f>
        <v>36</v>
      </c>
      <c r="F215" s="13" t="n">
        <f aca="false">IF(AND(ISNUMBER(A215),ISNUMBER(C215)),C215,0)</f>
        <v>120</v>
      </c>
      <c r="G215" s="13" t="n">
        <f aca="false">IF(AND(ISNUMBER(A215),ISNUMBER(C215)),IF(A215&lt;35,1,IF(A215&lt;50,2,IF(A215&lt;65,3,4))),0)</f>
        <v>2</v>
      </c>
      <c r="H215" s="13" t="n">
        <f aca="false">IF(AND(ISNUMBER(A215),ISNUMBER(C215)),1,0)</f>
        <v>1</v>
      </c>
    </row>
    <row r="216" customFormat="false" ht="15" hidden="false" customHeight="false" outlineLevel="0" collapsed="false">
      <c r="A216" s="12" t="n">
        <v>23</v>
      </c>
      <c r="B216" s="12" t="s">
        <v>27</v>
      </c>
      <c r="C216" s="12" t="n">
        <v>102</v>
      </c>
      <c r="D216" s="13" t="n">
        <f aca="false">IF(AND(ISNUMBER(A216),ISNUMBER(C216)),IF(B216="M",1,0),0)</f>
        <v>0</v>
      </c>
      <c r="E216" s="13" t="n">
        <f aca="false">IF(AND(ISNUMBER(A216),ISNUMBER(C216)),A216,0)</f>
        <v>23</v>
      </c>
      <c r="F216" s="13" t="n">
        <f aca="false">IF(AND(ISNUMBER(A216),ISNUMBER(C216)),C216,0)</f>
        <v>102</v>
      </c>
      <c r="G216" s="13" t="n">
        <f aca="false">IF(AND(ISNUMBER(A216),ISNUMBER(C216)),IF(A216&lt;35,1,IF(A216&lt;50,2,IF(A216&lt;65,3,4))),0)</f>
        <v>1</v>
      </c>
      <c r="H216" s="13" t="n">
        <f aca="false">IF(AND(ISNUMBER(A216),ISNUMBER(C216)),1,0)</f>
        <v>1</v>
      </c>
    </row>
    <row r="217" customFormat="false" ht="15" hidden="false" customHeight="false" outlineLevel="0" collapsed="false">
      <c r="A217" s="12" t="n">
        <v>68</v>
      </c>
      <c r="B217" s="12" t="s">
        <v>28</v>
      </c>
      <c r="C217" s="12" t="n">
        <v>127</v>
      </c>
      <c r="D217" s="13" t="n">
        <f aca="false">IF(AND(ISNUMBER(A217),ISNUMBER(C217)),IF(B217="M",1,0),0)</f>
        <v>1</v>
      </c>
      <c r="E217" s="13" t="n">
        <f aca="false">IF(AND(ISNUMBER(A217),ISNUMBER(C217)),A217,0)</f>
        <v>68</v>
      </c>
      <c r="F217" s="13" t="n">
        <f aca="false">IF(AND(ISNUMBER(A217),ISNUMBER(C217)),C217,0)</f>
        <v>127</v>
      </c>
      <c r="G217" s="13" t="n">
        <f aca="false">IF(AND(ISNUMBER(A217),ISNUMBER(C217)),IF(A217&lt;35,1,IF(A217&lt;50,2,IF(A217&lt;65,3,4))),0)</f>
        <v>4</v>
      </c>
      <c r="H217" s="13" t="n">
        <f aca="false">IF(AND(ISNUMBER(A217),ISNUMBER(C217)),1,0)</f>
        <v>1</v>
      </c>
    </row>
    <row r="218" customFormat="false" ht="15" hidden="false" customHeight="false" outlineLevel="0" collapsed="false">
      <c r="A218" s="12" t="n">
        <v>74</v>
      </c>
      <c r="B218" s="12" t="s">
        <v>27</v>
      </c>
      <c r="C218" s="12" t="n">
        <v>127</v>
      </c>
      <c r="D218" s="13" t="n">
        <f aca="false">IF(AND(ISNUMBER(A218),ISNUMBER(C218)),IF(B218="M",1,0),0)</f>
        <v>0</v>
      </c>
      <c r="E218" s="13" t="n">
        <f aca="false">IF(AND(ISNUMBER(A218),ISNUMBER(C218)),A218,0)</f>
        <v>74</v>
      </c>
      <c r="F218" s="13" t="n">
        <f aca="false">IF(AND(ISNUMBER(A218),ISNUMBER(C218)),C218,0)</f>
        <v>127</v>
      </c>
      <c r="G218" s="13" t="n">
        <f aca="false">IF(AND(ISNUMBER(A218),ISNUMBER(C218)),IF(A218&lt;35,1,IF(A218&lt;50,2,IF(A218&lt;65,3,4))),0)</f>
        <v>4</v>
      </c>
      <c r="H218" s="13" t="n">
        <f aca="false">IF(AND(ISNUMBER(A218),ISNUMBER(C218)),1,0)</f>
        <v>1</v>
      </c>
    </row>
    <row r="219" customFormat="false" ht="15" hidden="false" customHeight="false" outlineLevel="0" collapsed="false">
      <c r="A219" s="12" t="n">
        <v>53</v>
      </c>
      <c r="B219" s="12" t="s">
        <v>27</v>
      </c>
      <c r="C219" s="12" t="n">
        <v>122</v>
      </c>
      <c r="D219" s="13" t="n">
        <f aca="false">IF(AND(ISNUMBER(A219),ISNUMBER(C219)),IF(B219="M",1,0),0)</f>
        <v>0</v>
      </c>
      <c r="E219" s="13" t="n">
        <f aca="false">IF(AND(ISNUMBER(A219),ISNUMBER(C219)),A219,0)</f>
        <v>53</v>
      </c>
      <c r="F219" s="13" t="n">
        <f aca="false">IF(AND(ISNUMBER(A219),ISNUMBER(C219)),C219,0)</f>
        <v>122</v>
      </c>
      <c r="G219" s="13" t="n">
        <f aca="false">IF(AND(ISNUMBER(A219),ISNUMBER(C219)),IF(A219&lt;35,1,IF(A219&lt;50,2,IF(A219&lt;65,3,4))),0)</f>
        <v>3</v>
      </c>
      <c r="H219" s="13" t="n">
        <f aca="false">IF(AND(ISNUMBER(A219),ISNUMBER(C219)),1,0)</f>
        <v>1</v>
      </c>
    </row>
    <row r="220" customFormat="false" ht="15" hidden="false" customHeight="false" outlineLevel="0" collapsed="false">
      <c r="A220" s="12" t="n">
        <v>74</v>
      </c>
      <c r="B220" s="12" t="s">
        <v>28</v>
      </c>
      <c r="C220" s="12" t="n">
        <v>134</v>
      </c>
      <c r="D220" s="13" t="n">
        <f aca="false">IF(AND(ISNUMBER(A220),ISNUMBER(C220)),IF(B220="M",1,0),0)</f>
        <v>1</v>
      </c>
      <c r="E220" s="13" t="n">
        <f aca="false">IF(AND(ISNUMBER(A220),ISNUMBER(C220)),A220,0)</f>
        <v>74</v>
      </c>
      <c r="F220" s="13" t="n">
        <f aca="false">IF(AND(ISNUMBER(A220),ISNUMBER(C220)),C220,0)</f>
        <v>134</v>
      </c>
      <c r="G220" s="13" t="n">
        <f aca="false">IF(AND(ISNUMBER(A220),ISNUMBER(C220)),IF(A220&lt;35,1,IF(A220&lt;50,2,IF(A220&lt;65,3,4))),0)</f>
        <v>4</v>
      </c>
      <c r="H220" s="13" t="n">
        <f aca="false">IF(AND(ISNUMBER(A220),ISNUMBER(C220)),1,0)</f>
        <v>1</v>
      </c>
    </row>
    <row r="221" customFormat="false" ht="15" hidden="false" customHeight="false" outlineLevel="0" collapsed="false">
      <c r="A221" s="12" t="n">
        <v>32</v>
      </c>
      <c r="B221" s="12" t="s">
        <v>28</v>
      </c>
      <c r="C221" s="12" t="n">
        <v>113</v>
      </c>
      <c r="D221" s="13" t="n">
        <f aca="false">IF(AND(ISNUMBER(A221),ISNUMBER(C221)),IF(B221="M",1,0),0)</f>
        <v>1</v>
      </c>
      <c r="E221" s="13" t="n">
        <f aca="false">IF(AND(ISNUMBER(A221),ISNUMBER(C221)),A221,0)</f>
        <v>32</v>
      </c>
      <c r="F221" s="13" t="n">
        <f aca="false">IF(AND(ISNUMBER(A221),ISNUMBER(C221)),C221,0)</f>
        <v>113</v>
      </c>
      <c r="G221" s="13" t="n">
        <f aca="false">IF(AND(ISNUMBER(A221),ISNUMBER(C221)),IF(A221&lt;35,1,IF(A221&lt;50,2,IF(A221&lt;65,3,4))),0)</f>
        <v>1</v>
      </c>
      <c r="H221" s="13" t="n">
        <f aca="false">IF(AND(ISNUMBER(A221),ISNUMBER(C221)),1,0)</f>
        <v>1</v>
      </c>
    </row>
    <row r="222" customFormat="false" ht="15" hidden="false" customHeight="false" outlineLevel="0" collapsed="false">
      <c r="A222" s="12" t="n">
        <v>38</v>
      </c>
      <c r="B222" s="12" t="s">
        <v>27</v>
      </c>
      <c r="C222" s="12" t="n">
        <v>133</v>
      </c>
      <c r="D222" s="13" t="n">
        <f aca="false">IF(AND(ISNUMBER(A222),ISNUMBER(C222)),IF(B222="M",1,0),0)</f>
        <v>0</v>
      </c>
      <c r="E222" s="13" t="n">
        <f aca="false">IF(AND(ISNUMBER(A222),ISNUMBER(C222)),A222,0)</f>
        <v>38</v>
      </c>
      <c r="F222" s="13" t="n">
        <f aca="false">IF(AND(ISNUMBER(A222),ISNUMBER(C222)),C222,0)</f>
        <v>133</v>
      </c>
      <c r="G222" s="13" t="n">
        <f aca="false">IF(AND(ISNUMBER(A222),ISNUMBER(C222)),IF(A222&lt;35,1,IF(A222&lt;50,2,IF(A222&lt;65,3,4))),0)</f>
        <v>2</v>
      </c>
      <c r="H222" s="13" t="n">
        <f aca="false">IF(AND(ISNUMBER(A222),ISNUMBER(C222)),1,0)</f>
        <v>1</v>
      </c>
    </row>
    <row r="223" customFormat="false" ht="15" hidden="false" customHeight="false" outlineLevel="0" collapsed="false">
      <c r="A223" s="12" t="n">
        <v>32</v>
      </c>
      <c r="B223" s="12" t="s">
        <v>27</v>
      </c>
      <c r="C223" s="12" t="n">
        <v>118</v>
      </c>
      <c r="D223" s="13" t="n">
        <f aca="false">IF(AND(ISNUMBER(A223),ISNUMBER(C223)),IF(B223="M",1,0),0)</f>
        <v>0</v>
      </c>
      <c r="E223" s="13" t="n">
        <f aca="false">IF(AND(ISNUMBER(A223),ISNUMBER(C223)),A223,0)</f>
        <v>32</v>
      </c>
      <c r="F223" s="13" t="n">
        <f aca="false">IF(AND(ISNUMBER(A223),ISNUMBER(C223)),C223,0)</f>
        <v>118</v>
      </c>
      <c r="G223" s="13" t="n">
        <f aca="false">IF(AND(ISNUMBER(A223),ISNUMBER(C223)),IF(A223&lt;35,1,IF(A223&lt;50,2,IF(A223&lt;65,3,4))),0)</f>
        <v>1</v>
      </c>
      <c r="H223" s="13" t="n">
        <f aca="false">IF(AND(ISNUMBER(A223),ISNUMBER(C223)),1,0)</f>
        <v>1</v>
      </c>
    </row>
    <row r="224" customFormat="false" ht="15" hidden="false" customHeight="false" outlineLevel="0" collapsed="false">
      <c r="A224" s="12" t="n">
        <v>68</v>
      </c>
      <c r="B224" s="12" t="s">
        <v>27</v>
      </c>
      <c r="C224" s="12" t="n">
        <v>135</v>
      </c>
      <c r="D224" s="13" t="n">
        <f aca="false">IF(AND(ISNUMBER(A224),ISNUMBER(C224)),IF(B224="M",1,0),0)</f>
        <v>0</v>
      </c>
      <c r="E224" s="13" t="n">
        <f aca="false">IF(AND(ISNUMBER(A224),ISNUMBER(C224)),A224,0)</f>
        <v>68</v>
      </c>
      <c r="F224" s="13" t="n">
        <f aca="false">IF(AND(ISNUMBER(A224),ISNUMBER(C224)),C224,0)</f>
        <v>135</v>
      </c>
      <c r="G224" s="13" t="n">
        <f aca="false">IF(AND(ISNUMBER(A224),ISNUMBER(C224)),IF(A224&lt;35,1,IF(A224&lt;50,2,IF(A224&lt;65,3,4))),0)</f>
        <v>4</v>
      </c>
      <c r="H224" s="13" t="n">
        <f aca="false">IF(AND(ISNUMBER(A224),ISNUMBER(C224)),1,0)</f>
        <v>1</v>
      </c>
    </row>
    <row r="225" customFormat="false" ht="15" hidden="false" customHeight="false" outlineLevel="0" collapsed="false">
      <c r="A225" s="12" t="n">
        <v>42</v>
      </c>
      <c r="B225" s="12" t="s">
        <v>27</v>
      </c>
      <c r="C225" s="12" t="n">
        <v>119</v>
      </c>
      <c r="D225" s="13" t="n">
        <f aca="false">IF(AND(ISNUMBER(A225),ISNUMBER(C225)),IF(B225="M",1,0),0)</f>
        <v>0</v>
      </c>
      <c r="E225" s="13" t="n">
        <f aca="false">IF(AND(ISNUMBER(A225),ISNUMBER(C225)),A225,0)</f>
        <v>42</v>
      </c>
      <c r="F225" s="13" t="n">
        <f aca="false">IF(AND(ISNUMBER(A225),ISNUMBER(C225)),C225,0)</f>
        <v>119</v>
      </c>
      <c r="G225" s="13" t="n">
        <f aca="false">IF(AND(ISNUMBER(A225),ISNUMBER(C225)),IF(A225&lt;35,1,IF(A225&lt;50,2,IF(A225&lt;65,3,4))),0)</f>
        <v>2</v>
      </c>
      <c r="H225" s="13" t="n">
        <f aca="false">IF(AND(ISNUMBER(A225),ISNUMBER(C225)),1,0)</f>
        <v>1</v>
      </c>
    </row>
    <row r="226" customFormat="false" ht="15" hidden="false" customHeight="false" outlineLevel="0" collapsed="false">
      <c r="A226" s="12" t="n">
        <v>38</v>
      </c>
      <c r="B226" s="12" t="s">
        <v>28</v>
      </c>
      <c r="C226" s="12" t="n">
        <v>108</v>
      </c>
      <c r="D226" s="13" t="n">
        <f aca="false">IF(AND(ISNUMBER(A226),ISNUMBER(C226)),IF(B226="M",1,0),0)</f>
        <v>1</v>
      </c>
      <c r="E226" s="13" t="n">
        <f aca="false">IF(AND(ISNUMBER(A226),ISNUMBER(C226)),A226,0)</f>
        <v>38</v>
      </c>
      <c r="F226" s="13" t="n">
        <f aca="false">IF(AND(ISNUMBER(A226),ISNUMBER(C226)),C226,0)</f>
        <v>108</v>
      </c>
      <c r="G226" s="13" t="n">
        <f aca="false">IF(AND(ISNUMBER(A226),ISNUMBER(C226)),IF(A226&lt;35,1,IF(A226&lt;50,2,IF(A226&lt;65,3,4))),0)</f>
        <v>2</v>
      </c>
      <c r="H226" s="13" t="n">
        <f aca="false">IF(AND(ISNUMBER(A226),ISNUMBER(C226)),1,0)</f>
        <v>1</v>
      </c>
    </row>
    <row r="227" customFormat="false" ht="15" hidden="false" customHeight="false" outlineLevel="0" collapsed="false">
      <c r="A227" s="12" t="n">
        <v>28</v>
      </c>
      <c r="B227" s="12" t="s">
        <v>28</v>
      </c>
      <c r="C227" s="12" t="n">
        <v>123</v>
      </c>
      <c r="D227" s="13" t="n">
        <f aca="false">IF(AND(ISNUMBER(A227),ISNUMBER(C227)),IF(B227="M",1,0),0)</f>
        <v>1</v>
      </c>
      <c r="E227" s="13" t="n">
        <f aca="false">IF(AND(ISNUMBER(A227),ISNUMBER(C227)),A227,0)</f>
        <v>28</v>
      </c>
      <c r="F227" s="13" t="n">
        <f aca="false">IF(AND(ISNUMBER(A227),ISNUMBER(C227)),C227,0)</f>
        <v>123</v>
      </c>
      <c r="G227" s="13" t="n">
        <f aca="false">IF(AND(ISNUMBER(A227),ISNUMBER(C227)),IF(A227&lt;35,1,IF(A227&lt;50,2,IF(A227&lt;65,3,4))),0)</f>
        <v>1</v>
      </c>
      <c r="H227" s="13" t="n">
        <f aca="false">IF(AND(ISNUMBER(A227),ISNUMBER(C227)),1,0)</f>
        <v>1</v>
      </c>
    </row>
    <row r="228" customFormat="false" ht="15" hidden="false" customHeight="false" outlineLevel="0" collapsed="false">
      <c r="A228" s="12" t="n">
        <v>61</v>
      </c>
      <c r="B228" s="12" t="s">
        <v>28</v>
      </c>
      <c r="C228" s="12" t="n">
        <v>122</v>
      </c>
      <c r="D228" s="13" t="n">
        <f aca="false">IF(AND(ISNUMBER(A228),ISNUMBER(C228)),IF(B228="M",1,0),0)</f>
        <v>1</v>
      </c>
      <c r="E228" s="13" t="n">
        <f aca="false">IF(AND(ISNUMBER(A228),ISNUMBER(C228)),A228,0)</f>
        <v>61</v>
      </c>
      <c r="F228" s="13" t="n">
        <f aca="false">IF(AND(ISNUMBER(A228),ISNUMBER(C228)),C228,0)</f>
        <v>122</v>
      </c>
      <c r="G228" s="13" t="n">
        <f aca="false">IF(AND(ISNUMBER(A228),ISNUMBER(C228)),IF(A228&lt;35,1,IF(A228&lt;50,2,IF(A228&lt;65,3,4))),0)</f>
        <v>3</v>
      </c>
      <c r="H228" s="13" t="n">
        <f aca="false">IF(AND(ISNUMBER(A228),ISNUMBER(C228)),1,0)</f>
        <v>1</v>
      </c>
    </row>
    <row r="229" customFormat="false" ht="15" hidden="false" customHeight="false" outlineLevel="0" collapsed="false">
      <c r="A229" s="12" t="n">
        <v>20</v>
      </c>
      <c r="B229" s="12" t="s">
        <v>28</v>
      </c>
      <c r="C229" s="12" t="n">
        <v>111</v>
      </c>
      <c r="D229" s="13" t="n">
        <f aca="false">IF(AND(ISNUMBER(A229),ISNUMBER(C229)),IF(B229="M",1,0),0)</f>
        <v>1</v>
      </c>
      <c r="E229" s="13" t="n">
        <f aca="false">IF(AND(ISNUMBER(A229),ISNUMBER(C229)),A229,0)</f>
        <v>20</v>
      </c>
      <c r="F229" s="13" t="n">
        <f aca="false">IF(AND(ISNUMBER(A229),ISNUMBER(C229)),C229,0)</f>
        <v>111</v>
      </c>
      <c r="G229" s="13" t="n">
        <f aca="false">IF(AND(ISNUMBER(A229),ISNUMBER(C229)),IF(A229&lt;35,1,IF(A229&lt;50,2,IF(A229&lt;65,3,4))),0)</f>
        <v>1</v>
      </c>
      <c r="H229" s="13" t="n">
        <f aca="false">IF(AND(ISNUMBER(A229),ISNUMBER(C229)),1,0)</f>
        <v>1</v>
      </c>
    </row>
    <row r="230" customFormat="false" ht="15" hidden="false" customHeight="false" outlineLevel="0" collapsed="false">
      <c r="A230" s="12" t="n">
        <v>25</v>
      </c>
      <c r="B230" s="12" t="s">
        <v>28</v>
      </c>
      <c r="C230" s="12" t="n">
        <v>115</v>
      </c>
      <c r="D230" s="13" t="n">
        <f aca="false">IF(AND(ISNUMBER(A230),ISNUMBER(C230)),IF(B230="M",1,0),0)</f>
        <v>1</v>
      </c>
      <c r="E230" s="13" t="n">
        <f aca="false">IF(AND(ISNUMBER(A230),ISNUMBER(C230)),A230,0)</f>
        <v>25</v>
      </c>
      <c r="F230" s="13" t="n">
        <f aca="false">IF(AND(ISNUMBER(A230),ISNUMBER(C230)),C230,0)</f>
        <v>115</v>
      </c>
      <c r="G230" s="13" t="n">
        <f aca="false">IF(AND(ISNUMBER(A230),ISNUMBER(C230)),IF(A230&lt;35,1,IF(A230&lt;50,2,IF(A230&lt;65,3,4))),0)</f>
        <v>1</v>
      </c>
      <c r="H230" s="13" t="n">
        <f aca="false">IF(AND(ISNUMBER(A230),ISNUMBER(C230)),1,0)</f>
        <v>1</v>
      </c>
    </row>
    <row r="231" customFormat="false" ht="15" hidden="false" customHeight="false" outlineLevel="0" collapsed="false">
      <c r="A231" s="12" t="n">
        <v>74</v>
      </c>
      <c r="B231" s="12" t="s">
        <v>27</v>
      </c>
      <c r="C231" s="12" t="n">
        <v>152</v>
      </c>
      <c r="D231" s="13" t="n">
        <f aca="false">IF(AND(ISNUMBER(A231),ISNUMBER(C231)),IF(B231="M",1,0),0)</f>
        <v>0</v>
      </c>
      <c r="E231" s="13" t="n">
        <f aca="false">IF(AND(ISNUMBER(A231),ISNUMBER(C231)),A231,0)</f>
        <v>74</v>
      </c>
      <c r="F231" s="13" t="n">
        <f aca="false">IF(AND(ISNUMBER(A231),ISNUMBER(C231)),C231,0)</f>
        <v>152</v>
      </c>
      <c r="G231" s="13" t="n">
        <f aca="false">IF(AND(ISNUMBER(A231),ISNUMBER(C231)),IF(A231&lt;35,1,IF(A231&lt;50,2,IF(A231&lt;65,3,4))),0)</f>
        <v>4</v>
      </c>
      <c r="H231" s="13" t="n">
        <f aca="false">IF(AND(ISNUMBER(A231),ISNUMBER(C231)),1,0)</f>
        <v>1</v>
      </c>
    </row>
    <row r="232" customFormat="false" ht="15" hidden="false" customHeight="false" outlineLevel="0" collapsed="false">
      <c r="A232" s="12" t="n">
        <v>58</v>
      </c>
      <c r="B232" s="12" t="s">
        <v>27</v>
      </c>
      <c r="C232" s="12" t="n">
        <v>142</v>
      </c>
      <c r="D232" s="13" t="n">
        <f aca="false">IF(AND(ISNUMBER(A232),ISNUMBER(C232)),IF(B232="M",1,0),0)</f>
        <v>0</v>
      </c>
      <c r="E232" s="13" t="n">
        <f aca="false">IF(AND(ISNUMBER(A232),ISNUMBER(C232)),A232,0)</f>
        <v>58</v>
      </c>
      <c r="F232" s="13" t="n">
        <f aca="false">IF(AND(ISNUMBER(A232),ISNUMBER(C232)),C232,0)</f>
        <v>142</v>
      </c>
      <c r="G232" s="13" t="n">
        <f aca="false">IF(AND(ISNUMBER(A232),ISNUMBER(C232)),IF(A232&lt;35,1,IF(A232&lt;50,2,IF(A232&lt;65,3,4))),0)</f>
        <v>3</v>
      </c>
      <c r="H232" s="13" t="n">
        <f aca="false">IF(AND(ISNUMBER(A232),ISNUMBER(C232)),1,0)</f>
        <v>1</v>
      </c>
    </row>
    <row r="233" customFormat="false" ht="15" hidden="false" customHeight="false" outlineLevel="0" collapsed="false">
      <c r="A233" s="12" t="n">
        <v>27</v>
      </c>
      <c r="B233" s="12" t="s">
        <v>27</v>
      </c>
      <c r="C233" s="12" t="n">
        <v>125</v>
      </c>
      <c r="D233" s="13" t="n">
        <f aca="false">IF(AND(ISNUMBER(A233),ISNUMBER(C233)),IF(B233="M",1,0),0)</f>
        <v>0</v>
      </c>
      <c r="E233" s="13" t="n">
        <f aca="false">IF(AND(ISNUMBER(A233),ISNUMBER(C233)),A233,0)</f>
        <v>27</v>
      </c>
      <c r="F233" s="13" t="n">
        <f aca="false">IF(AND(ISNUMBER(A233),ISNUMBER(C233)),C233,0)</f>
        <v>125</v>
      </c>
      <c r="G233" s="13" t="n">
        <f aca="false">IF(AND(ISNUMBER(A233),ISNUMBER(C233)),IF(A233&lt;35,1,IF(A233&lt;50,2,IF(A233&lt;65,3,4))),0)</f>
        <v>1</v>
      </c>
      <c r="H233" s="13" t="n">
        <f aca="false">IF(AND(ISNUMBER(A233),ISNUMBER(C233)),1,0)</f>
        <v>1</v>
      </c>
    </row>
    <row r="234" customFormat="false" ht="15" hidden="false" customHeight="false" outlineLevel="0" collapsed="false">
      <c r="A234" s="12" t="n">
        <v>22</v>
      </c>
      <c r="B234" s="12" t="s">
        <v>27</v>
      </c>
      <c r="C234" s="12" t="n">
        <v>114</v>
      </c>
      <c r="D234" s="13" t="n">
        <f aca="false">IF(AND(ISNUMBER(A234),ISNUMBER(C234)),IF(B234="M",1,0),0)</f>
        <v>0</v>
      </c>
      <c r="E234" s="13" t="n">
        <f aca="false">IF(AND(ISNUMBER(A234),ISNUMBER(C234)),A234,0)</f>
        <v>22</v>
      </c>
      <c r="F234" s="13" t="n">
        <f aca="false">IF(AND(ISNUMBER(A234),ISNUMBER(C234)),C234,0)</f>
        <v>114</v>
      </c>
      <c r="G234" s="13" t="n">
        <f aca="false">IF(AND(ISNUMBER(A234),ISNUMBER(C234)),IF(A234&lt;35,1,IF(A234&lt;50,2,IF(A234&lt;65,3,4))),0)</f>
        <v>1</v>
      </c>
      <c r="H234" s="13" t="n">
        <f aca="false">IF(AND(ISNUMBER(A234),ISNUMBER(C234)),1,0)</f>
        <v>1</v>
      </c>
    </row>
    <row r="235" customFormat="false" ht="15" hidden="false" customHeight="false" outlineLevel="0" collapsed="false">
      <c r="A235" s="12" t="n">
        <v>79</v>
      </c>
      <c r="B235" s="12" t="s">
        <v>28</v>
      </c>
      <c r="C235" s="12" t="n">
        <v>171</v>
      </c>
      <c r="D235" s="13" t="n">
        <f aca="false">IF(AND(ISNUMBER(A235),ISNUMBER(C235)),IF(B235="M",1,0),0)</f>
        <v>1</v>
      </c>
      <c r="E235" s="13" t="n">
        <f aca="false">IF(AND(ISNUMBER(A235),ISNUMBER(C235)),A235,0)</f>
        <v>79</v>
      </c>
      <c r="F235" s="13" t="n">
        <f aca="false">IF(AND(ISNUMBER(A235),ISNUMBER(C235)),C235,0)</f>
        <v>171</v>
      </c>
      <c r="G235" s="13" t="n">
        <f aca="false">IF(AND(ISNUMBER(A235),ISNUMBER(C235)),IF(A235&lt;35,1,IF(A235&lt;50,2,IF(A235&lt;65,3,4))),0)</f>
        <v>4</v>
      </c>
      <c r="H235" s="13" t="n">
        <f aca="false">IF(AND(ISNUMBER(A235),ISNUMBER(C235)),1,0)</f>
        <v>1</v>
      </c>
    </row>
    <row r="236" customFormat="false" ht="15" hidden="false" customHeight="false" outlineLevel="0" collapsed="false">
      <c r="A236" s="12" t="n">
        <v>20</v>
      </c>
      <c r="B236" s="12" t="s">
        <v>28</v>
      </c>
      <c r="C236" s="12" t="n">
        <v>138</v>
      </c>
      <c r="D236" s="13" t="n">
        <f aca="false">IF(AND(ISNUMBER(A236),ISNUMBER(C236)),IF(B236="M",1,0),0)</f>
        <v>1</v>
      </c>
      <c r="E236" s="13" t="n">
        <f aca="false">IF(AND(ISNUMBER(A236),ISNUMBER(C236)),A236,0)</f>
        <v>20</v>
      </c>
      <c r="F236" s="13" t="n">
        <f aca="false">IF(AND(ISNUMBER(A236),ISNUMBER(C236)),C236,0)</f>
        <v>138</v>
      </c>
      <c r="G236" s="13" t="n">
        <f aca="false">IF(AND(ISNUMBER(A236),ISNUMBER(C236)),IF(A236&lt;35,1,IF(A236&lt;50,2,IF(A236&lt;65,3,4))),0)</f>
        <v>1</v>
      </c>
      <c r="H236" s="13" t="n">
        <f aca="false">IF(AND(ISNUMBER(A236),ISNUMBER(C236)),1,0)</f>
        <v>1</v>
      </c>
    </row>
    <row r="237" customFormat="false" ht="15" hidden="false" customHeight="false" outlineLevel="0" collapsed="false">
      <c r="A237" s="12" t="n">
        <v>69</v>
      </c>
      <c r="B237" s="12" t="s">
        <v>28</v>
      </c>
      <c r="C237" s="12" t="n">
        <v>136</v>
      </c>
      <c r="D237" s="13" t="n">
        <f aca="false">IF(AND(ISNUMBER(A237),ISNUMBER(C237)),IF(B237="M",1,0),0)</f>
        <v>1</v>
      </c>
      <c r="E237" s="13" t="n">
        <f aca="false">IF(AND(ISNUMBER(A237),ISNUMBER(C237)),A237,0)</f>
        <v>69</v>
      </c>
      <c r="F237" s="13" t="n">
        <f aca="false">IF(AND(ISNUMBER(A237),ISNUMBER(C237)),C237,0)</f>
        <v>136</v>
      </c>
      <c r="G237" s="13" t="n">
        <f aca="false">IF(AND(ISNUMBER(A237),ISNUMBER(C237)),IF(A237&lt;35,1,IF(A237&lt;50,2,IF(A237&lt;65,3,4))),0)</f>
        <v>4</v>
      </c>
      <c r="H237" s="13" t="n">
        <f aca="false">IF(AND(ISNUMBER(A237),ISNUMBER(C237)),1,0)</f>
        <v>1</v>
      </c>
    </row>
    <row r="238" customFormat="false" ht="15" hidden="false" customHeight="false" outlineLevel="0" collapsed="false">
      <c r="A238" s="12" t="n">
        <v>79</v>
      </c>
      <c r="B238" s="12" t="s">
        <v>28</v>
      </c>
      <c r="C238" s="12" t="n">
        <v>149</v>
      </c>
      <c r="D238" s="13" t="n">
        <f aca="false">IF(AND(ISNUMBER(A238),ISNUMBER(C238)),IF(B238="M",1,0),0)</f>
        <v>1</v>
      </c>
      <c r="E238" s="13" t="n">
        <f aca="false">IF(AND(ISNUMBER(A238),ISNUMBER(C238)),A238,0)</f>
        <v>79</v>
      </c>
      <c r="F238" s="13" t="n">
        <f aca="false">IF(AND(ISNUMBER(A238),ISNUMBER(C238)),C238,0)</f>
        <v>149</v>
      </c>
      <c r="G238" s="13" t="n">
        <f aca="false">IF(AND(ISNUMBER(A238),ISNUMBER(C238)),IF(A238&lt;35,1,IF(A238&lt;50,2,IF(A238&lt;65,3,4))),0)</f>
        <v>4</v>
      </c>
      <c r="H238" s="13" t="n">
        <f aca="false">IF(AND(ISNUMBER(A238),ISNUMBER(C238)),1,0)</f>
        <v>1</v>
      </c>
    </row>
    <row r="239" customFormat="false" ht="15" hidden="false" customHeight="false" outlineLevel="0" collapsed="false">
      <c r="A239" s="12" t="n">
        <v>64</v>
      </c>
      <c r="B239" s="12" t="s">
        <v>27</v>
      </c>
      <c r="C239" s="12" t="n">
        <v>140</v>
      </c>
      <c r="D239" s="13" t="n">
        <f aca="false">IF(AND(ISNUMBER(A239),ISNUMBER(C239)),IF(B239="M",1,0),0)</f>
        <v>0</v>
      </c>
      <c r="E239" s="13" t="n">
        <f aca="false">IF(AND(ISNUMBER(A239),ISNUMBER(C239)),A239,0)</f>
        <v>64</v>
      </c>
      <c r="F239" s="13" t="n">
        <f aca="false">IF(AND(ISNUMBER(A239),ISNUMBER(C239)),C239,0)</f>
        <v>140</v>
      </c>
      <c r="G239" s="13" t="n">
        <f aca="false">IF(AND(ISNUMBER(A239),ISNUMBER(C239)),IF(A239&lt;35,1,IF(A239&lt;50,2,IF(A239&lt;65,3,4))),0)</f>
        <v>3</v>
      </c>
      <c r="H239" s="13" t="n">
        <f aca="false">IF(AND(ISNUMBER(A239),ISNUMBER(C239)),1,0)</f>
        <v>1</v>
      </c>
    </row>
    <row r="240" customFormat="false" ht="15" hidden="false" customHeight="false" outlineLevel="0" collapsed="false">
      <c r="A240" s="12" t="n">
        <v>34</v>
      </c>
      <c r="B240" s="12" t="s">
        <v>27</v>
      </c>
      <c r="C240" s="12" t="n">
        <v>122</v>
      </c>
      <c r="D240" s="13" t="n">
        <f aca="false">IF(AND(ISNUMBER(A240),ISNUMBER(C240)),IF(B240="M",1,0),0)</f>
        <v>0</v>
      </c>
      <c r="E240" s="13" t="n">
        <f aca="false">IF(AND(ISNUMBER(A240),ISNUMBER(C240)),A240,0)</f>
        <v>34</v>
      </c>
      <c r="F240" s="13" t="n">
        <f aca="false">IF(AND(ISNUMBER(A240),ISNUMBER(C240)),C240,0)</f>
        <v>122</v>
      </c>
      <c r="G240" s="13" t="n">
        <f aca="false">IF(AND(ISNUMBER(A240),ISNUMBER(C240)),IF(A240&lt;35,1,IF(A240&lt;50,2,IF(A240&lt;65,3,4))),0)</f>
        <v>1</v>
      </c>
      <c r="H240" s="13" t="n">
        <f aca="false">IF(AND(ISNUMBER(A240),ISNUMBER(C240)),1,0)</f>
        <v>1</v>
      </c>
    </row>
    <row r="241" customFormat="false" ht="15" hidden="false" customHeight="false" outlineLevel="0" collapsed="false">
      <c r="A241" s="12" t="n">
        <v>26</v>
      </c>
      <c r="B241" s="12" t="s">
        <v>28</v>
      </c>
      <c r="C241" s="12" t="n">
        <v>126</v>
      </c>
      <c r="D241" s="13" t="n">
        <f aca="false">IF(AND(ISNUMBER(A241),ISNUMBER(C241)),IF(B241="M",1,0),0)</f>
        <v>1</v>
      </c>
      <c r="E241" s="13" t="n">
        <f aca="false">IF(AND(ISNUMBER(A241),ISNUMBER(C241)),A241,0)</f>
        <v>26</v>
      </c>
      <c r="F241" s="13" t="n">
        <f aca="false">IF(AND(ISNUMBER(A241),ISNUMBER(C241)),C241,0)</f>
        <v>126</v>
      </c>
      <c r="G241" s="13" t="n">
        <f aca="false">IF(AND(ISNUMBER(A241),ISNUMBER(C241)),IF(A241&lt;35,1,IF(A241&lt;50,2,IF(A241&lt;65,3,4))),0)</f>
        <v>1</v>
      </c>
      <c r="H241" s="13" t="n">
        <f aca="false">IF(AND(ISNUMBER(A241),ISNUMBER(C241)),1,0)</f>
        <v>1</v>
      </c>
    </row>
    <row r="242" customFormat="false" ht="15" hidden="false" customHeight="false" outlineLevel="0" collapsed="false">
      <c r="A242" s="12" t="n">
        <v>45</v>
      </c>
      <c r="B242" s="12" t="s">
        <v>28</v>
      </c>
      <c r="C242" s="12" t="n">
        <v>120</v>
      </c>
      <c r="D242" s="13" t="n">
        <f aca="false">IF(AND(ISNUMBER(A242),ISNUMBER(C242)),IF(B242="M",1,0),0)</f>
        <v>1</v>
      </c>
      <c r="E242" s="13" t="n">
        <f aca="false">IF(AND(ISNUMBER(A242),ISNUMBER(C242)),A242,0)</f>
        <v>45</v>
      </c>
      <c r="F242" s="13" t="n">
        <f aca="false">IF(AND(ISNUMBER(A242),ISNUMBER(C242)),C242,0)</f>
        <v>120</v>
      </c>
      <c r="G242" s="13" t="n">
        <f aca="false">IF(AND(ISNUMBER(A242),ISNUMBER(C242)),IF(A242&lt;35,1,IF(A242&lt;50,2,IF(A242&lt;65,3,4))),0)</f>
        <v>2</v>
      </c>
      <c r="H242" s="13" t="n">
        <f aca="false">IF(AND(ISNUMBER(A242),ISNUMBER(C242)),1,0)</f>
        <v>1</v>
      </c>
    </row>
    <row r="243" customFormat="false" ht="15" hidden="false" customHeight="false" outlineLevel="0" collapsed="false">
      <c r="A243" s="12" t="n">
        <v>40</v>
      </c>
      <c r="B243" s="12" t="s">
        <v>27</v>
      </c>
      <c r="C243" s="12" t="n">
        <v>119</v>
      </c>
      <c r="D243" s="13" t="n">
        <f aca="false">IF(AND(ISNUMBER(A243),ISNUMBER(C243)),IF(B243="M",1,0),0)</f>
        <v>0</v>
      </c>
      <c r="E243" s="13" t="n">
        <f aca="false">IF(AND(ISNUMBER(A243),ISNUMBER(C243)),A243,0)</f>
        <v>40</v>
      </c>
      <c r="F243" s="13" t="n">
        <f aca="false">IF(AND(ISNUMBER(A243),ISNUMBER(C243)),C243,0)</f>
        <v>119</v>
      </c>
      <c r="G243" s="13" t="n">
        <f aca="false">IF(AND(ISNUMBER(A243),ISNUMBER(C243)),IF(A243&lt;35,1,IF(A243&lt;50,2,IF(A243&lt;65,3,4))),0)</f>
        <v>2</v>
      </c>
      <c r="H243" s="13" t="n">
        <f aca="false">IF(AND(ISNUMBER(A243),ISNUMBER(C243)),1,0)</f>
        <v>1</v>
      </c>
    </row>
    <row r="244" customFormat="false" ht="15" hidden="false" customHeight="false" outlineLevel="0" collapsed="false">
      <c r="A244" s="12" t="n">
        <v>53</v>
      </c>
      <c r="B244" s="12" t="s">
        <v>28</v>
      </c>
      <c r="C244" s="12" t="n">
        <v>126</v>
      </c>
      <c r="D244" s="13" t="n">
        <f aca="false">IF(AND(ISNUMBER(A244),ISNUMBER(C244)),IF(B244="M",1,0),0)</f>
        <v>1</v>
      </c>
      <c r="E244" s="13" t="n">
        <f aca="false">IF(AND(ISNUMBER(A244),ISNUMBER(C244)),A244,0)</f>
        <v>53</v>
      </c>
      <c r="F244" s="13" t="n">
        <f aca="false">IF(AND(ISNUMBER(A244),ISNUMBER(C244)),C244,0)</f>
        <v>126</v>
      </c>
      <c r="G244" s="13" t="n">
        <f aca="false">IF(AND(ISNUMBER(A244),ISNUMBER(C244)),IF(A244&lt;35,1,IF(A244&lt;50,2,IF(A244&lt;65,3,4))),0)</f>
        <v>3</v>
      </c>
      <c r="H244" s="13" t="n">
        <f aca="false">IF(AND(ISNUMBER(A244),ISNUMBER(C244)),1,0)</f>
        <v>1</v>
      </c>
    </row>
    <row r="245" customFormat="false" ht="15" hidden="false" customHeight="false" outlineLevel="0" collapsed="false">
      <c r="A245" s="12" t="n">
        <v>22</v>
      </c>
      <c r="B245" s="12" t="s">
        <v>28</v>
      </c>
      <c r="C245" s="12" t="n">
        <v>128</v>
      </c>
      <c r="D245" s="13" t="n">
        <f aca="false">IF(AND(ISNUMBER(A245),ISNUMBER(C245)),IF(B245="M",1,0),0)</f>
        <v>1</v>
      </c>
      <c r="E245" s="13" t="n">
        <f aca="false">IF(AND(ISNUMBER(A245),ISNUMBER(C245)),A245,0)</f>
        <v>22</v>
      </c>
      <c r="F245" s="13" t="n">
        <f aca="false">IF(AND(ISNUMBER(A245),ISNUMBER(C245)),C245,0)</f>
        <v>128</v>
      </c>
      <c r="G245" s="13" t="n">
        <f aca="false">IF(AND(ISNUMBER(A245),ISNUMBER(C245)),IF(A245&lt;35,1,IF(A245&lt;50,2,IF(A245&lt;65,3,4))),0)</f>
        <v>1</v>
      </c>
      <c r="H245" s="13" t="n">
        <f aca="false">IF(AND(ISNUMBER(A245),ISNUMBER(C245)),1,0)</f>
        <v>1</v>
      </c>
    </row>
    <row r="246" customFormat="false" ht="15" hidden="false" customHeight="false" outlineLevel="0" collapsed="false">
      <c r="A246" s="12" t="n">
        <v>64</v>
      </c>
      <c r="B246" s="12" t="s">
        <v>28</v>
      </c>
      <c r="C246" s="12" t="n">
        <v>129</v>
      </c>
      <c r="D246" s="13" t="n">
        <f aca="false">IF(AND(ISNUMBER(A246),ISNUMBER(C246)),IF(B246="M",1,0),0)</f>
        <v>1</v>
      </c>
      <c r="E246" s="13" t="n">
        <f aca="false">IF(AND(ISNUMBER(A246),ISNUMBER(C246)),A246,0)</f>
        <v>64</v>
      </c>
      <c r="F246" s="13" t="n">
        <f aca="false">IF(AND(ISNUMBER(A246),ISNUMBER(C246)),C246,0)</f>
        <v>129</v>
      </c>
      <c r="G246" s="13" t="n">
        <f aca="false">IF(AND(ISNUMBER(A246),ISNUMBER(C246)),IF(A246&lt;35,1,IF(A246&lt;50,2,IF(A246&lt;65,3,4))),0)</f>
        <v>3</v>
      </c>
      <c r="H246" s="13" t="n">
        <f aca="false">IF(AND(ISNUMBER(A246),ISNUMBER(C246)),1,0)</f>
        <v>1</v>
      </c>
    </row>
    <row r="247" customFormat="false" ht="15" hidden="false" customHeight="false" outlineLevel="0" collapsed="false">
      <c r="A247" s="12" t="n">
        <v>76</v>
      </c>
      <c r="B247" s="12" t="s">
        <v>28</v>
      </c>
      <c r="C247" s="12" t="n">
        <v>149</v>
      </c>
      <c r="D247" s="13" t="n">
        <f aca="false">IF(AND(ISNUMBER(A247),ISNUMBER(C247)),IF(B247="M",1,0),0)</f>
        <v>1</v>
      </c>
      <c r="E247" s="13" t="n">
        <f aca="false">IF(AND(ISNUMBER(A247),ISNUMBER(C247)),A247,0)</f>
        <v>76</v>
      </c>
      <c r="F247" s="13" t="n">
        <f aca="false">IF(AND(ISNUMBER(A247),ISNUMBER(C247)),C247,0)</f>
        <v>149</v>
      </c>
      <c r="G247" s="13" t="n">
        <f aca="false">IF(AND(ISNUMBER(A247),ISNUMBER(C247)),IF(A247&lt;35,1,IF(A247&lt;50,2,IF(A247&lt;65,3,4))),0)</f>
        <v>4</v>
      </c>
      <c r="H247" s="13" t="n">
        <f aca="false">IF(AND(ISNUMBER(A247),ISNUMBER(C247)),1,0)</f>
        <v>1</v>
      </c>
    </row>
    <row r="248" customFormat="false" ht="15" hidden="false" customHeight="false" outlineLevel="0" collapsed="false">
      <c r="A248" s="12" t="n">
        <v>70</v>
      </c>
      <c r="B248" s="12" t="s">
        <v>28</v>
      </c>
      <c r="C248" s="12" t="n">
        <v>141</v>
      </c>
      <c r="D248" s="13" t="n">
        <f aca="false">IF(AND(ISNUMBER(A248),ISNUMBER(C248)),IF(B248="M",1,0),0)</f>
        <v>1</v>
      </c>
      <c r="E248" s="13" t="n">
        <f aca="false">IF(AND(ISNUMBER(A248),ISNUMBER(C248)),A248,0)</f>
        <v>70</v>
      </c>
      <c r="F248" s="13" t="n">
        <f aca="false">IF(AND(ISNUMBER(A248),ISNUMBER(C248)),C248,0)</f>
        <v>141</v>
      </c>
      <c r="G248" s="13" t="n">
        <f aca="false">IF(AND(ISNUMBER(A248),ISNUMBER(C248)),IF(A248&lt;35,1,IF(A248&lt;50,2,IF(A248&lt;65,3,4))),0)</f>
        <v>4</v>
      </c>
      <c r="H248" s="13" t="n">
        <f aca="false">IF(AND(ISNUMBER(A248),ISNUMBER(C248)),1,0)</f>
        <v>1</v>
      </c>
    </row>
    <row r="249" customFormat="false" ht="15" hidden="false" customHeight="false" outlineLevel="0" collapsed="false">
      <c r="A249" s="12" t="n">
        <v>73</v>
      </c>
      <c r="B249" s="12" t="s">
        <v>28</v>
      </c>
      <c r="C249" s="12" t="n">
        <v>160</v>
      </c>
      <c r="D249" s="13" t="n">
        <f aca="false">IF(AND(ISNUMBER(A249),ISNUMBER(C249)),IF(B249="M",1,0),0)</f>
        <v>1</v>
      </c>
      <c r="E249" s="13" t="n">
        <f aca="false">IF(AND(ISNUMBER(A249),ISNUMBER(C249)),A249,0)</f>
        <v>73</v>
      </c>
      <c r="F249" s="13" t="n">
        <f aca="false">IF(AND(ISNUMBER(A249),ISNUMBER(C249)),C249,0)</f>
        <v>160</v>
      </c>
      <c r="G249" s="13" t="n">
        <f aca="false">IF(AND(ISNUMBER(A249),ISNUMBER(C249)),IF(A249&lt;35,1,IF(A249&lt;50,2,IF(A249&lt;65,3,4))),0)</f>
        <v>4</v>
      </c>
      <c r="H249" s="13" t="n">
        <f aca="false">IF(AND(ISNUMBER(A249),ISNUMBER(C249)),1,0)</f>
        <v>1</v>
      </c>
    </row>
    <row r="250" customFormat="false" ht="15" hidden="false" customHeight="false" outlineLevel="0" collapsed="false">
      <c r="A250" s="12" t="n">
        <v>40</v>
      </c>
      <c r="B250" s="12" t="s">
        <v>27</v>
      </c>
      <c r="C250" s="12" t="n">
        <v>126</v>
      </c>
      <c r="D250" s="13" t="n">
        <f aca="false">IF(AND(ISNUMBER(A250),ISNUMBER(C250)),IF(B250="M",1,0),0)</f>
        <v>0</v>
      </c>
      <c r="E250" s="13" t="n">
        <f aca="false">IF(AND(ISNUMBER(A250),ISNUMBER(C250)),A250,0)</f>
        <v>40</v>
      </c>
      <c r="F250" s="13" t="n">
        <f aca="false">IF(AND(ISNUMBER(A250),ISNUMBER(C250)),C250,0)</f>
        <v>126</v>
      </c>
      <c r="G250" s="13" t="n">
        <f aca="false">IF(AND(ISNUMBER(A250),ISNUMBER(C250)),IF(A250&lt;35,1,IF(A250&lt;50,2,IF(A250&lt;65,3,4))),0)</f>
        <v>2</v>
      </c>
      <c r="H250" s="13" t="n">
        <f aca="false">IF(AND(ISNUMBER(A250),ISNUMBER(C250)),1,0)</f>
        <v>1</v>
      </c>
    </row>
    <row r="251" customFormat="false" ht="15" hidden="false" customHeight="false" outlineLevel="0" collapsed="false">
      <c r="A251" s="12" t="n">
        <v>30</v>
      </c>
      <c r="B251" s="12" t="s">
        <v>28</v>
      </c>
      <c r="C251" s="12" t="n">
        <v>130</v>
      </c>
      <c r="D251" s="13" t="n">
        <f aca="false">IF(AND(ISNUMBER(A251),ISNUMBER(C251)),IF(B251="M",1,0),0)</f>
        <v>1</v>
      </c>
      <c r="E251" s="13" t="n">
        <f aca="false">IF(AND(ISNUMBER(A251),ISNUMBER(C251)),A251,0)</f>
        <v>30</v>
      </c>
      <c r="F251" s="13" t="n">
        <f aca="false">IF(AND(ISNUMBER(A251),ISNUMBER(C251)),C251,0)</f>
        <v>130</v>
      </c>
      <c r="G251" s="13" t="n">
        <f aca="false">IF(AND(ISNUMBER(A251),ISNUMBER(C251)),IF(A251&lt;35,1,IF(A251&lt;50,2,IF(A251&lt;65,3,4))),0)</f>
        <v>1</v>
      </c>
      <c r="H251" s="13" t="n">
        <f aca="false">IF(AND(ISNUMBER(A251),ISNUMBER(C251)),1,0)</f>
        <v>1</v>
      </c>
    </row>
    <row r="252" customFormat="false" ht="15" hidden="false" customHeight="false" outlineLevel="0" collapsed="false">
      <c r="A252" s="12" t="n">
        <v>40</v>
      </c>
      <c r="B252" s="12" t="s">
        <v>28</v>
      </c>
      <c r="C252" s="12" t="n">
        <v>125</v>
      </c>
      <c r="D252" s="13" t="n">
        <f aca="false">IF(AND(ISNUMBER(A252),ISNUMBER(C252)),IF(B252="M",1,0),0)</f>
        <v>1</v>
      </c>
      <c r="E252" s="13" t="n">
        <f aca="false">IF(AND(ISNUMBER(A252),ISNUMBER(C252)),A252,0)</f>
        <v>40</v>
      </c>
      <c r="F252" s="13" t="n">
        <f aca="false">IF(AND(ISNUMBER(A252),ISNUMBER(C252)),C252,0)</f>
        <v>125</v>
      </c>
      <c r="G252" s="13" t="n">
        <f aca="false">IF(AND(ISNUMBER(A252),ISNUMBER(C252)),IF(A252&lt;35,1,IF(A252&lt;50,2,IF(A252&lt;65,3,4))),0)</f>
        <v>2</v>
      </c>
      <c r="H252" s="13" t="n">
        <f aca="false">IF(AND(ISNUMBER(A252),ISNUMBER(C252)),1,0)</f>
        <v>1</v>
      </c>
    </row>
    <row r="253" customFormat="false" ht="15" hidden="false" customHeight="false" outlineLevel="0" collapsed="false">
      <c r="A253" s="12" t="n">
        <v>73</v>
      </c>
      <c r="B253" s="12" t="s">
        <v>27</v>
      </c>
      <c r="C253" s="12" t="n">
        <v>114</v>
      </c>
      <c r="D253" s="13" t="n">
        <f aca="false">IF(AND(ISNUMBER(A253),ISNUMBER(C253)),IF(B253="M",1,0),0)</f>
        <v>0</v>
      </c>
      <c r="E253" s="13" t="n">
        <f aca="false">IF(AND(ISNUMBER(A253),ISNUMBER(C253)),A253,0)</f>
        <v>73</v>
      </c>
      <c r="F253" s="13" t="n">
        <f aca="false">IF(AND(ISNUMBER(A253),ISNUMBER(C253)),C253,0)</f>
        <v>114</v>
      </c>
      <c r="G253" s="13" t="n">
        <f aca="false">IF(AND(ISNUMBER(A253),ISNUMBER(C253)),IF(A253&lt;35,1,IF(A253&lt;50,2,IF(A253&lt;65,3,4))),0)</f>
        <v>4</v>
      </c>
      <c r="H253" s="13" t="n">
        <f aca="false">IF(AND(ISNUMBER(A253),ISNUMBER(C253)),1,0)</f>
        <v>1</v>
      </c>
    </row>
    <row r="254" customFormat="false" ht="15" hidden="false" customHeight="false" outlineLevel="0" collapsed="false">
      <c r="A254" s="12" t="n">
        <v>41</v>
      </c>
      <c r="B254" s="12" t="s">
        <v>27</v>
      </c>
      <c r="C254" s="12" t="n">
        <v>129</v>
      </c>
      <c r="D254" s="13" t="n">
        <f aca="false">IF(AND(ISNUMBER(A254),ISNUMBER(C254)),IF(B254="M",1,0),0)</f>
        <v>0</v>
      </c>
      <c r="E254" s="13" t="n">
        <f aca="false">IF(AND(ISNUMBER(A254),ISNUMBER(C254)),A254,0)</f>
        <v>41</v>
      </c>
      <c r="F254" s="13" t="n">
        <f aca="false">IF(AND(ISNUMBER(A254),ISNUMBER(C254)),C254,0)</f>
        <v>129</v>
      </c>
      <c r="G254" s="13" t="n">
        <f aca="false">IF(AND(ISNUMBER(A254),ISNUMBER(C254)),IF(A254&lt;35,1,IF(A254&lt;50,2,IF(A254&lt;65,3,4))),0)</f>
        <v>2</v>
      </c>
      <c r="H254" s="13" t="n">
        <f aca="false">IF(AND(ISNUMBER(A254),ISNUMBER(C254)),1,0)</f>
        <v>1</v>
      </c>
    </row>
    <row r="255" customFormat="false" ht="15" hidden="false" customHeight="false" outlineLevel="0" collapsed="false">
      <c r="A255" s="12" t="n">
        <v>78</v>
      </c>
      <c r="B255" s="12" t="s">
        <v>28</v>
      </c>
      <c r="C255" s="12" t="n">
        <v>139</v>
      </c>
      <c r="D255" s="13" t="n">
        <f aca="false">IF(AND(ISNUMBER(A255),ISNUMBER(C255)),IF(B255="M",1,0),0)</f>
        <v>1</v>
      </c>
      <c r="E255" s="13" t="n">
        <f aca="false">IF(AND(ISNUMBER(A255),ISNUMBER(C255)),A255,0)</f>
        <v>78</v>
      </c>
      <c r="F255" s="13" t="n">
        <f aca="false">IF(AND(ISNUMBER(A255),ISNUMBER(C255)),C255,0)</f>
        <v>139</v>
      </c>
      <c r="G255" s="13" t="n">
        <f aca="false">IF(AND(ISNUMBER(A255),ISNUMBER(C255)),IF(A255&lt;35,1,IF(A255&lt;50,2,IF(A255&lt;65,3,4))),0)</f>
        <v>4</v>
      </c>
      <c r="H255" s="13" t="n">
        <f aca="false">IF(AND(ISNUMBER(A255),ISNUMBER(C255)),1,0)</f>
        <v>1</v>
      </c>
    </row>
    <row r="256" customFormat="false" ht="15" hidden="false" customHeight="false" outlineLevel="0" collapsed="false">
      <c r="A256" s="12" t="n">
        <v>41</v>
      </c>
      <c r="B256" s="12" t="s">
        <v>28</v>
      </c>
      <c r="C256" s="12" t="n">
        <v>131</v>
      </c>
      <c r="D256" s="13" t="n">
        <f aca="false">IF(AND(ISNUMBER(A256),ISNUMBER(C256)),IF(B256="M",1,0),0)</f>
        <v>1</v>
      </c>
      <c r="E256" s="13" t="n">
        <f aca="false">IF(AND(ISNUMBER(A256),ISNUMBER(C256)),A256,0)</f>
        <v>41</v>
      </c>
      <c r="F256" s="13" t="n">
        <f aca="false">IF(AND(ISNUMBER(A256),ISNUMBER(C256)),C256,0)</f>
        <v>131</v>
      </c>
      <c r="G256" s="13" t="n">
        <f aca="false">IF(AND(ISNUMBER(A256),ISNUMBER(C256)),IF(A256&lt;35,1,IF(A256&lt;50,2,IF(A256&lt;65,3,4))),0)</f>
        <v>2</v>
      </c>
      <c r="H256" s="13" t="n">
        <f aca="false">IF(AND(ISNUMBER(A256),ISNUMBER(C256)),1,0)</f>
        <v>1</v>
      </c>
    </row>
    <row r="257" customFormat="false" ht="15" hidden="false" customHeight="false" outlineLevel="0" collapsed="false">
      <c r="A257" s="12" t="n">
        <v>29</v>
      </c>
      <c r="B257" s="12" t="s">
        <v>27</v>
      </c>
      <c r="C257" s="12" t="n">
        <v>133</v>
      </c>
      <c r="D257" s="13" t="n">
        <f aca="false">IF(AND(ISNUMBER(A257),ISNUMBER(C257)),IF(B257="M",1,0),0)</f>
        <v>0</v>
      </c>
      <c r="E257" s="13" t="n">
        <f aca="false">IF(AND(ISNUMBER(A257),ISNUMBER(C257)),A257,0)</f>
        <v>29</v>
      </c>
      <c r="F257" s="13" t="n">
        <f aca="false">IF(AND(ISNUMBER(A257),ISNUMBER(C257)),C257,0)</f>
        <v>133</v>
      </c>
      <c r="G257" s="13" t="n">
        <f aca="false">IF(AND(ISNUMBER(A257),ISNUMBER(C257)),IF(A257&lt;35,1,IF(A257&lt;50,2,IF(A257&lt;65,3,4))),0)</f>
        <v>1</v>
      </c>
      <c r="H257" s="13" t="n">
        <f aca="false">IF(AND(ISNUMBER(A257),ISNUMBER(C257)),1,0)</f>
        <v>1</v>
      </c>
    </row>
    <row r="258" customFormat="false" ht="15" hidden="false" customHeight="false" outlineLevel="0" collapsed="false">
      <c r="A258" s="12" t="n">
        <v>23</v>
      </c>
      <c r="B258" s="12" t="s">
        <v>27</v>
      </c>
      <c r="C258" s="12" t="n">
        <v>104</v>
      </c>
      <c r="D258" s="13" t="n">
        <f aca="false">IF(AND(ISNUMBER(A258),ISNUMBER(C258)),IF(B258="M",1,0),0)</f>
        <v>0</v>
      </c>
      <c r="E258" s="13" t="n">
        <f aca="false">IF(AND(ISNUMBER(A258),ISNUMBER(C258)),A258,0)</f>
        <v>23</v>
      </c>
      <c r="F258" s="13" t="n">
        <f aca="false">IF(AND(ISNUMBER(A258),ISNUMBER(C258)),C258,0)</f>
        <v>104</v>
      </c>
      <c r="G258" s="13" t="n">
        <f aca="false">IF(AND(ISNUMBER(A258),ISNUMBER(C258)),IF(A258&lt;35,1,IF(A258&lt;50,2,IF(A258&lt;65,3,4))),0)</f>
        <v>1</v>
      </c>
      <c r="H258" s="13" t="n">
        <f aca="false">IF(AND(ISNUMBER(A258),ISNUMBER(C258)),1,0)</f>
        <v>1</v>
      </c>
    </row>
    <row r="259" customFormat="false" ht="15" hidden="false" customHeight="false" outlineLevel="0" collapsed="false">
      <c r="A259" s="12" t="n">
        <v>21</v>
      </c>
      <c r="B259" s="12" t="s">
        <v>28</v>
      </c>
      <c r="C259" s="12" t="n">
        <v>107</v>
      </c>
      <c r="D259" s="13" t="n">
        <f aca="false">IF(AND(ISNUMBER(A259),ISNUMBER(C259)),IF(B259="M",1,0),0)</f>
        <v>1</v>
      </c>
      <c r="E259" s="13" t="n">
        <f aca="false">IF(AND(ISNUMBER(A259),ISNUMBER(C259)),A259,0)</f>
        <v>21</v>
      </c>
      <c r="F259" s="13" t="n">
        <f aca="false">IF(AND(ISNUMBER(A259),ISNUMBER(C259)),C259,0)</f>
        <v>107</v>
      </c>
      <c r="G259" s="13" t="n">
        <f aca="false">IF(AND(ISNUMBER(A259),ISNUMBER(C259)),IF(A259&lt;35,1,IF(A259&lt;50,2,IF(A259&lt;65,3,4))),0)</f>
        <v>1</v>
      </c>
      <c r="H259" s="13" t="n">
        <f aca="false">IF(AND(ISNUMBER(A259),ISNUMBER(C259)),1,0)</f>
        <v>1</v>
      </c>
    </row>
    <row r="260" customFormat="false" ht="15" hidden="false" customHeight="false" outlineLevel="0" collapsed="false">
      <c r="A260" s="12" t="n">
        <v>21</v>
      </c>
      <c r="B260" s="12" t="s">
        <v>27</v>
      </c>
      <c r="C260" s="12" t="n">
        <v>112</v>
      </c>
      <c r="D260" s="13" t="n">
        <f aca="false">IF(AND(ISNUMBER(A260),ISNUMBER(C260)),IF(B260="M",1,0),0)</f>
        <v>0</v>
      </c>
      <c r="E260" s="13" t="n">
        <f aca="false">IF(AND(ISNUMBER(A260),ISNUMBER(C260)),A260,0)</f>
        <v>21</v>
      </c>
      <c r="F260" s="13" t="n">
        <f aca="false">IF(AND(ISNUMBER(A260),ISNUMBER(C260)),C260,0)</f>
        <v>112</v>
      </c>
      <c r="G260" s="13" t="n">
        <f aca="false">IF(AND(ISNUMBER(A260),ISNUMBER(C260)),IF(A260&lt;35,1,IF(A260&lt;50,2,IF(A260&lt;65,3,4))),0)</f>
        <v>1</v>
      </c>
      <c r="H260" s="13" t="n">
        <f aca="false">IF(AND(ISNUMBER(A260),ISNUMBER(C260)),1,0)</f>
        <v>1</v>
      </c>
    </row>
    <row r="261" customFormat="false" ht="15" hidden="false" customHeight="false" outlineLevel="0" collapsed="false">
      <c r="A261" s="12" t="n">
        <v>42</v>
      </c>
      <c r="B261" s="12" t="s">
        <v>27</v>
      </c>
      <c r="C261" s="12" t="n">
        <v>115</v>
      </c>
      <c r="D261" s="13" t="n">
        <f aca="false">IF(AND(ISNUMBER(A261),ISNUMBER(C261)),IF(B261="M",1,0),0)</f>
        <v>0</v>
      </c>
      <c r="E261" s="13" t="n">
        <f aca="false">IF(AND(ISNUMBER(A261),ISNUMBER(C261)),A261,0)</f>
        <v>42</v>
      </c>
      <c r="F261" s="13" t="n">
        <f aca="false">IF(AND(ISNUMBER(A261),ISNUMBER(C261)),C261,0)</f>
        <v>115</v>
      </c>
      <c r="G261" s="13" t="n">
        <f aca="false">IF(AND(ISNUMBER(A261),ISNUMBER(C261)),IF(A261&lt;35,1,IF(A261&lt;50,2,IF(A261&lt;65,3,4))),0)</f>
        <v>2</v>
      </c>
      <c r="H261" s="13" t="n">
        <f aca="false">IF(AND(ISNUMBER(A261),ISNUMBER(C261)),1,0)</f>
        <v>1</v>
      </c>
    </row>
    <row r="262" customFormat="false" ht="15" hidden="false" customHeight="false" outlineLevel="0" collapsed="false">
      <c r="A262" s="12" t="n">
        <v>19</v>
      </c>
      <c r="B262" s="12" t="s">
        <v>27</v>
      </c>
      <c r="C262" s="12" t="n">
        <v>127</v>
      </c>
      <c r="D262" s="13" t="n">
        <f aca="false">IF(AND(ISNUMBER(A262),ISNUMBER(C262)),IF(B262="M",1,0),0)</f>
        <v>0</v>
      </c>
      <c r="E262" s="13" t="n">
        <f aca="false">IF(AND(ISNUMBER(A262),ISNUMBER(C262)),A262,0)</f>
        <v>19</v>
      </c>
      <c r="F262" s="13" t="n">
        <f aca="false">IF(AND(ISNUMBER(A262),ISNUMBER(C262)),C262,0)</f>
        <v>127</v>
      </c>
      <c r="G262" s="13" t="n">
        <f aca="false">IF(AND(ISNUMBER(A262),ISNUMBER(C262)),IF(A262&lt;35,1,IF(A262&lt;50,2,IF(A262&lt;65,3,4))),0)</f>
        <v>1</v>
      </c>
      <c r="H262" s="13" t="n">
        <f aca="false">IF(AND(ISNUMBER(A262),ISNUMBER(C262)),1,0)</f>
        <v>1</v>
      </c>
    </row>
    <row r="263" customFormat="false" ht="15" hidden="false" customHeight="false" outlineLevel="0" collapsed="false">
      <c r="A263" s="12" t="n">
        <v>66</v>
      </c>
      <c r="B263" s="12" t="s">
        <v>28</v>
      </c>
      <c r="C263" s="12" t="n">
        <v>138</v>
      </c>
      <c r="D263" s="13" t="n">
        <f aca="false">IF(AND(ISNUMBER(A263),ISNUMBER(C263)),IF(B263="M",1,0),0)</f>
        <v>1</v>
      </c>
      <c r="E263" s="13" t="n">
        <f aca="false">IF(AND(ISNUMBER(A263),ISNUMBER(C263)),A263,0)</f>
        <v>66</v>
      </c>
      <c r="F263" s="13" t="n">
        <f aca="false">IF(AND(ISNUMBER(A263),ISNUMBER(C263)),C263,0)</f>
        <v>138</v>
      </c>
      <c r="G263" s="13" t="n">
        <f aca="false">IF(AND(ISNUMBER(A263),ISNUMBER(C263)),IF(A263&lt;35,1,IF(A263&lt;50,2,IF(A263&lt;65,3,4))),0)</f>
        <v>4</v>
      </c>
      <c r="H263" s="13" t="n">
        <f aca="false">IF(AND(ISNUMBER(A263),ISNUMBER(C263)),1,0)</f>
        <v>1</v>
      </c>
    </row>
    <row r="264" customFormat="false" ht="15" hidden="false" customHeight="false" outlineLevel="0" collapsed="false">
      <c r="A264" s="12" t="n">
        <v>77</v>
      </c>
      <c r="B264" s="12" t="s">
        <v>28</v>
      </c>
      <c r="C264" s="12" t="n">
        <v>155</v>
      </c>
      <c r="D264" s="13" t="n">
        <f aca="false">IF(AND(ISNUMBER(A264),ISNUMBER(C264)),IF(B264="M",1,0),0)</f>
        <v>1</v>
      </c>
      <c r="E264" s="13" t="n">
        <f aca="false">IF(AND(ISNUMBER(A264),ISNUMBER(C264)),A264,0)</f>
        <v>77</v>
      </c>
      <c r="F264" s="13" t="n">
        <f aca="false">IF(AND(ISNUMBER(A264),ISNUMBER(C264)),C264,0)</f>
        <v>155</v>
      </c>
      <c r="G264" s="13" t="n">
        <f aca="false">IF(AND(ISNUMBER(A264),ISNUMBER(C264)),IF(A264&lt;35,1,IF(A264&lt;50,2,IF(A264&lt;65,3,4))),0)</f>
        <v>4</v>
      </c>
      <c r="H264" s="13" t="n">
        <f aca="false">IF(AND(ISNUMBER(A264),ISNUMBER(C264)),1,0)</f>
        <v>1</v>
      </c>
    </row>
    <row r="265" customFormat="false" ht="15" hidden="false" customHeight="false" outlineLevel="0" collapsed="false">
      <c r="A265" s="12" t="n">
        <v>26</v>
      </c>
      <c r="B265" s="12" t="s">
        <v>28</v>
      </c>
      <c r="C265" s="12" t="n">
        <v>123</v>
      </c>
      <c r="D265" s="13" t="n">
        <f aca="false">IF(AND(ISNUMBER(A265),ISNUMBER(C265)),IF(B265="M",1,0),0)</f>
        <v>1</v>
      </c>
      <c r="E265" s="13" t="n">
        <f aca="false">IF(AND(ISNUMBER(A265),ISNUMBER(C265)),A265,0)</f>
        <v>26</v>
      </c>
      <c r="F265" s="13" t="n">
        <f aca="false">IF(AND(ISNUMBER(A265),ISNUMBER(C265)),C265,0)</f>
        <v>123</v>
      </c>
      <c r="G265" s="13" t="n">
        <f aca="false">IF(AND(ISNUMBER(A265),ISNUMBER(C265)),IF(A265&lt;35,1,IF(A265&lt;50,2,IF(A265&lt;65,3,4))),0)</f>
        <v>1</v>
      </c>
      <c r="H265" s="13" t="n">
        <f aca="false">IF(AND(ISNUMBER(A265),ISNUMBER(C265)),1,0)</f>
        <v>1</v>
      </c>
    </row>
    <row r="266" customFormat="false" ht="15" hidden="false" customHeight="false" outlineLevel="0" collapsed="false">
      <c r="A266" s="12" t="n">
        <v>52</v>
      </c>
      <c r="B266" s="12" t="s">
        <v>28</v>
      </c>
      <c r="C266" s="12" t="n">
        <v>164</v>
      </c>
      <c r="D266" s="13" t="n">
        <f aca="false">IF(AND(ISNUMBER(A266),ISNUMBER(C266)),IF(B266="M",1,0),0)</f>
        <v>1</v>
      </c>
      <c r="E266" s="13" t="n">
        <f aca="false">IF(AND(ISNUMBER(A266),ISNUMBER(C266)),A266,0)</f>
        <v>52</v>
      </c>
      <c r="F266" s="13" t="n">
        <f aca="false">IF(AND(ISNUMBER(A266),ISNUMBER(C266)),C266,0)</f>
        <v>164</v>
      </c>
      <c r="G266" s="13" t="n">
        <f aca="false">IF(AND(ISNUMBER(A266),ISNUMBER(C266)),IF(A266&lt;35,1,IF(A266&lt;50,2,IF(A266&lt;65,3,4))),0)</f>
        <v>3</v>
      </c>
      <c r="H266" s="13" t="n">
        <f aca="false">IF(AND(ISNUMBER(A266),ISNUMBER(C266)),1,0)</f>
        <v>1</v>
      </c>
    </row>
    <row r="267" customFormat="false" ht="15" hidden="false" customHeight="false" outlineLevel="0" collapsed="false">
      <c r="A267" s="12" t="n">
        <v>21</v>
      </c>
      <c r="B267" s="12" t="s">
        <v>28</v>
      </c>
      <c r="C267" s="12" t="n">
        <v>121</v>
      </c>
      <c r="D267" s="13" t="n">
        <f aca="false">IF(AND(ISNUMBER(A267),ISNUMBER(C267)),IF(B267="M",1,0),0)</f>
        <v>1</v>
      </c>
      <c r="E267" s="13" t="n">
        <f aca="false">IF(AND(ISNUMBER(A267),ISNUMBER(C267)),A267,0)</f>
        <v>21</v>
      </c>
      <c r="F267" s="13" t="n">
        <f aca="false">IF(AND(ISNUMBER(A267),ISNUMBER(C267)),C267,0)</f>
        <v>121</v>
      </c>
      <c r="G267" s="13" t="n">
        <f aca="false">IF(AND(ISNUMBER(A267),ISNUMBER(C267)),IF(A267&lt;35,1,IF(A267&lt;50,2,IF(A267&lt;65,3,4))),0)</f>
        <v>1</v>
      </c>
      <c r="H267" s="13" t="n">
        <f aca="false">IF(AND(ISNUMBER(A267),ISNUMBER(C267)),1,0)</f>
        <v>1</v>
      </c>
    </row>
    <row r="268" customFormat="false" ht="15" hidden="false" customHeight="false" outlineLevel="0" collapsed="false">
      <c r="A268" s="12" t="n">
        <v>52</v>
      </c>
      <c r="B268" s="12" t="s">
        <v>27</v>
      </c>
      <c r="C268" s="12" t="n">
        <v>135</v>
      </c>
      <c r="D268" s="13" t="n">
        <f aca="false">IF(AND(ISNUMBER(A268),ISNUMBER(C268)),IF(B268="M",1,0),0)</f>
        <v>0</v>
      </c>
      <c r="E268" s="13" t="n">
        <f aca="false">IF(AND(ISNUMBER(A268),ISNUMBER(C268)),A268,0)</f>
        <v>52</v>
      </c>
      <c r="F268" s="13" t="n">
        <f aca="false">IF(AND(ISNUMBER(A268),ISNUMBER(C268)),C268,0)</f>
        <v>135</v>
      </c>
      <c r="G268" s="13" t="n">
        <f aca="false">IF(AND(ISNUMBER(A268),ISNUMBER(C268)),IF(A268&lt;35,1,IF(A268&lt;50,2,IF(A268&lt;65,3,4))),0)</f>
        <v>3</v>
      </c>
      <c r="H268" s="13" t="n">
        <f aca="false">IF(AND(ISNUMBER(A268),ISNUMBER(C268)),1,0)</f>
        <v>1</v>
      </c>
    </row>
    <row r="269" customFormat="false" ht="15" hidden="false" customHeight="false" outlineLevel="0" collapsed="false">
      <c r="A269" s="12" t="n">
        <v>60</v>
      </c>
      <c r="B269" s="12" t="s">
        <v>28</v>
      </c>
      <c r="C269" s="12" t="n">
        <v>120</v>
      </c>
      <c r="D269" s="13" t="n">
        <f aca="false">IF(AND(ISNUMBER(A269),ISNUMBER(C269)),IF(B269="M",1,0),0)</f>
        <v>1</v>
      </c>
      <c r="E269" s="13" t="n">
        <f aca="false">IF(AND(ISNUMBER(A269),ISNUMBER(C269)),A269,0)</f>
        <v>60</v>
      </c>
      <c r="F269" s="13" t="n">
        <f aca="false">IF(AND(ISNUMBER(A269),ISNUMBER(C269)),C269,0)</f>
        <v>120</v>
      </c>
      <c r="G269" s="13" t="n">
        <f aca="false">IF(AND(ISNUMBER(A269),ISNUMBER(C269)),IF(A269&lt;35,1,IF(A269&lt;50,2,IF(A269&lt;65,3,4))),0)</f>
        <v>3</v>
      </c>
      <c r="H269" s="13" t="n">
        <f aca="false">IF(AND(ISNUMBER(A269),ISNUMBER(C269)),1,0)</f>
        <v>1</v>
      </c>
    </row>
    <row r="270" customFormat="false" ht="15" hidden="false" customHeight="false" outlineLevel="0" collapsed="false">
      <c r="A270" s="12" t="n">
        <v>38</v>
      </c>
      <c r="B270" s="12" t="s">
        <v>28</v>
      </c>
      <c r="C270" s="12" t="n">
        <v>109</v>
      </c>
      <c r="D270" s="13" t="n">
        <f aca="false">IF(AND(ISNUMBER(A270),ISNUMBER(C270)),IF(B270="M",1,0),0)</f>
        <v>1</v>
      </c>
      <c r="E270" s="13" t="n">
        <f aca="false">IF(AND(ISNUMBER(A270),ISNUMBER(C270)),A270,0)</f>
        <v>38</v>
      </c>
      <c r="F270" s="13" t="n">
        <f aca="false">IF(AND(ISNUMBER(A270),ISNUMBER(C270)),C270,0)</f>
        <v>109</v>
      </c>
      <c r="G270" s="13" t="n">
        <f aca="false">IF(AND(ISNUMBER(A270),ISNUMBER(C270)),IF(A270&lt;35,1,IF(A270&lt;50,2,IF(A270&lt;65,3,4))),0)</f>
        <v>2</v>
      </c>
      <c r="H270" s="13" t="n">
        <f aca="false">IF(AND(ISNUMBER(A270),ISNUMBER(C270)),1,0)</f>
        <v>1</v>
      </c>
    </row>
    <row r="271" customFormat="false" ht="15" hidden="false" customHeight="false" outlineLevel="0" collapsed="false">
      <c r="A271" s="12" t="n">
        <v>61</v>
      </c>
      <c r="B271" s="12" t="s">
        <v>27</v>
      </c>
      <c r="C271" s="12" t="n">
        <v>129</v>
      </c>
      <c r="D271" s="13" t="n">
        <f aca="false">IF(AND(ISNUMBER(A271),ISNUMBER(C271)),IF(B271="M",1,0),0)</f>
        <v>0</v>
      </c>
      <c r="E271" s="13" t="n">
        <f aca="false">IF(AND(ISNUMBER(A271),ISNUMBER(C271)),A271,0)</f>
        <v>61</v>
      </c>
      <c r="F271" s="13" t="n">
        <f aca="false">IF(AND(ISNUMBER(A271),ISNUMBER(C271)),C271,0)</f>
        <v>129</v>
      </c>
      <c r="G271" s="13" t="n">
        <f aca="false">IF(AND(ISNUMBER(A271),ISNUMBER(C271)),IF(A271&lt;35,1,IF(A271&lt;50,2,IF(A271&lt;65,3,4))),0)</f>
        <v>3</v>
      </c>
      <c r="H271" s="13" t="n">
        <f aca="false">IF(AND(ISNUMBER(A271),ISNUMBER(C271)),1,0)</f>
        <v>1</v>
      </c>
    </row>
    <row r="272" customFormat="false" ht="15" hidden="false" customHeight="false" outlineLevel="0" collapsed="false">
      <c r="A272" s="12" t="n">
        <v>34</v>
      </c>
      <c r="B272" s="12" t="s">
        <v>28</v>
      </c>
      <c r="C272" s="12" t="n">
        <v>122</v>
      </c>
      <c r="D272" s="13" t="n">
        <f aca="false">IF(AND(ISNUMBER(A272),ISNUMBER(C272)),IF(B272="M",1,0),0)</f>
        <v>1</v>
      </c>
      <c r="E272" s="13" t="n">
        <f aca="false">IF(AND(ISNUMBER(A272),ISNUMBER(C272)),A272,0)</f>
        <v>34</v>
      </c>
      <c r="F272" s="13" t="n">
        <f aca="false">IF(AND(ISNUMBER(A272),ISNUMBER(C272)),C272,0)</f>
        <v>122</v>
      </c>
      <c r="G272" s="13" t="n">
        <f aca="false">IF(AND(ISNUMBER(A272),ISNUMBER(C272)),IF(A272&lt;35,1,IF(A272&lt;50,2,IF(A272&lt;65,3,4))),0)</f>
        <v>1</v>
      </c>
      <c r="H272" s="13" t="n">
        <f aca="false">IF(AND(ISNUMBER(A272),ISNUMBER(C272)),1,0)</f>
        <v>1</v>
      </c>
    </row>
    <row r="273" customFormat="false" ht="15" hidden="false" customHeight="false" outlineLevel="0" collapsed="false">
      <c r="A273" s="12" t="n">
        <v>18</v>
      </c>
      <c r="B273" s="12" t="s">
        <v>27</v>
      </c>
      <c r="C273" s="12" t="n">
        <v>109</v>
      </c>
      <c r="D273" s="13" t="n">
        <f aca="false">IF(AND(ISNUMBER(A273),ISNUMBER(C273)),IF(B273="M",1,0),0)</f>
        <v>0</v>
      </c>
      <c r="E273" s="13" t="n">
        <f aca="false">IF(AND(ISNUMBER(A273),ISNUMBER(C273)),A273,0)</f>
        <v>18</v>
      </c>
      <c r="F273" s="13" t="n">
        <f aca="false">IF(AND(ISNUMBER(A273),ISNUMBER(C273)),C273,0)</f>
        <v>109</v>
      </c>
      <c r="G273" s="13" t="n">
        <f aca="false">IF(AND(ISNUMBER(A273),ISNUMBER(C273)),IF(A273&lt;35,1,IF(A273&lt;50,2,IF(A273&lt;65,3,4))),0)</f>
        <v>1</v>
      </c>
      <c r="H273" s="13" t="n">
        <f aca="false">IF(AND(ISNUMBER(A273),ISNUMBER(C273)),1,0)</f>
        <v>1</v>
      </c>
    </row>
    <row r="274" customFormat="false" ht="15" hidden="false" customHeight="false" outlineLevel="0" collapsed="false">
      <c r="A274" s="12" t="n">
        <v>67</v>
      </c>
      <c r="B274" s="12" t="s">
        <v>28</v>
      </c>
      <c r="C274" s="12" t="n">
        <v>128</v>
      </c>
      <c r="D274" s="13" t="n">
        <f aca="false">IF(AND(ISNUMBER(A274),ISNUMBER(C274)),IF(B274="M",1,0),0)</f>
        <v>1</v>
      </c>
      <c r="E274" s="13" t="n">
        <f aca="false">IF(AND(ISNUMBER(A274),ISNUMBER(C274)),A274,0)</f>
        <v>67</v>
      </c>
      <c r="F274" s="13" t="n">
        <f aca="false">IF(AND(ISNUMBER(A274),ISNUMBER(C274)),C274,0)</f>
        <v>128</v>
      </c>
      <c r="G274" s="13" t="n">
        <f aca="false">IF(AND(ISNUMBER(A274),ISNUMBER(C274)),IF(A274&lt;35,1,IF(A274&lt;50,2,IF(A274&lt;65,3,4))),0)</f>
        <v>4</v>
      </c>
      <c r="H274" s="13" t="n">
        <f aca="false">IF(AND(ISNUMBER(A274),ISNUMBER(C274)),1,0)</f>
        <v>1</v>
      </c>
    </row>
    <row r="275" customFormat="false" ht="15" hidden="false" customHeight="false" outlineLevel="0" collapsed="false">
      <c r="A275" s="12" t="n">
        <v>71</v>
      </c>
      <c r="B275" s="12" t="s">
        <v>27</v>
      </c>
      <c r="C275" s="12" t="n">
        <v>131</v>
      </c>
      <c r="D275" s="13" t="n">
        <f aca="false">IF(AND(ISNUMBER(A275),ISNUMBER(C275)),IF(B275="M",1,0),0)</f>
        <v>0</v>
      </c>
      <c r="E275" s="13" t="n">
        <f aca="false">IF(AND(ISNUMBER(A275),ISNUMBER(C275)),A275,0)</f>
        <v>71</v>
      </c>
      <c r="F275" s="13" t="n">
        <f aca="false">IF(AND(ISNUMBER(A275),ISNUMBER(C275)),C275,0)</f>
        <v>131</v>
      </c>
      <c r="G275" s="13" t="n">
        <f aca="false">IF(AND(ISNUMBER(A275),ISNUMBER(C275)),IF(A275&lt;35,1,IF(A275&lt;50,2,IF(A275&lt;65,3,4))),0)</f>
        <v>4</v>
      </c>
      <c r="H275" s="13" t="n">
        <f aca="false">IF(AND(ISNUMBER(A275),ISNUMBER(C275)),1,0)</f>
        <v>1</v>
      </c>
    </row>
    <row r="276" customFormat="false" ht="15" hidden="false" customHeight="false" outlineLevel="0" collapsed="false">
      <c r="A276" s="12" t="n">
        <v>65</v>
      </c>
      <c r="B276" s="12" t="s">
        <v>28</v>
      </c>
      <c r="C276" s="12" t="n">
        <v>136</v>
      </c>
      <c r="D276" s="13" t="n">
        <f aca="false">IF(AND(ISNUMBER(A276),ISNUMBER(C276)),IF(B276="M",1,0),0)</f>
        <v>1</v>
      </c>
      <c r="E276" s="13" t="n">
        <f aca="false">IF(AND(ISNUMBER(A276),ISNUMBER(C276)),A276,0)</f>
        <v>65</v>
      </c>
      <c r="F276" s="13" t="n">
        <f aca="false">IF(AND(ISNUMBER(A276),ISNUMBER(C276)),C276,0)</f>
        <v>136</v>
      </c>
      <c r="G276" s="13" t="n">
        <f aca="false">IF(AND(ISNUMBER(A276),ISNUMBER(C276)),IF(A276&lt;35,1,IF(A276&lt;50,2,IF(A276&lt;65,3,4))),0)</f>
        <v>4</v>
      </c>
      <c r="H276" s="13" t="n">
        <f aca="false">IF(AND(ISNUMBER(A276),ISNUMBER(C276)),1,0)</f>
        <v>1</v>
      </c>
    </row>
    <row r="277" customFormat="false" ht="15" hidden="false" customHeight="false" outlineLevel="0" collapsed="false">
      <c r="A277" s="12" t="n">
        <v>26</v>
      </c>
      <c r="B277" s="12" t="s">
        <v>27</v>
      </c>
      <c r="C277" s="12" t="n">
        <v>108</v>
      </c>
      <c r="D277" s="13" t="n">
        <f aca="false">IF(AND(ISNUMBER(A277),ISNUMBER(C277)),IF(B277="M",1,0),0)</f>
        <v>0</v>
      </c>
      <c r="E277" s="13" t="n">
        <f aca="false">IF(AND(ISNUMBER(A277),ISNUMBER(C277)),A277,0)</f>
        <v>26</v>
      </c>
      <c r="F277" s="13" t="n">
        <f aca="false">IF(AND(ISNUMBER(A277),ISNUMBER(C277)),C277,0)</f>
        <v>108</v>
      </c>
      <c r="G277" s="13" t="n">
        <f aca="false">IF(AND(ISNUMBER(A277),ISNUMBER(C277)),IF(A277&lt;35,1,IF(A277&lt;50,2,IF(A277&lt;65,3,4))),0)</f>
        <v>1</v>
      </c>
      <c r="H277" s="13" t="n">
        <f aca="false">IF(AND(ISNUMBER(A277),ISNUMBER(C277)),1,0)</f>
        <v>1</v>
      </c>
    </row>
    <row r="278" customFormat="false" ht="15" hidden="false" customHeight="false" outlineLevel="0" collapsed="false">
      <c r="A278" s="12" t="n">
        <v>57</v>
      </c>
      <c r="B278" s="12" t="s">
        <v>27</v>
      </c>
      <c r="C278" s="12" t="n">
        <v>139</v>
      </c>
      <c r="D278" s="13" t="n">
        <f aca="false">IF(AND(ISNUMBER(A278),ISNUMBER(C278)),IF(B278="M",1,0),0)</f>
        <v>0</v>
      </c>
      <c r="E278" s="13" t="n">
        <f aca="false">IF(AND(ISNUMBER(A278),ISNUMBER(C278)),A278,0)</f>
        <v>57</v>
      </c>
      <c r="F278" s="13" t="n">
        <f aca="false">IF(AND(ISNUMBER(A278),ISNUMBER(C278)),C278,0)</f>
        <v>139</v>
      </c>
      <c r="G278" s="13" t="n">
        <f aca="false">IF(AND(ISNUMBER(A278),ISNUMBER(C278)),IF(A278&lt;35,1,IF(A278&lt;50,2,IF(A278&lt;65,3,4))),0)</f>
        <v>3</v>
      </c>
      <c r="H278" s="13" t="n">
        <f aca="false">IF(AND(ISNUMBER(A278),ISNUMBER(C278)),1,0)</f>
        <v>1</v>
      </c>
    </row>
    <row r="279" customFormat="false" ht="15" hidden="false" customHeight="false" outlineLevel="0" collapsed="false">
      <c r="A279" s="12" t="n">
        <v>27</v>
      </c>
      <c r="B279" s="12" t="s">
        <v>28</v>
      </c>
      <c r="C279" s="12" t="n">
        <v>142</v>
      </c>
      <c r="D279" s="13" t="n">
        <f aca="false">IF(AND(ISNUMBER(A279),ISNUMBER(C279)),IF(B279="M",1,0),0)</f>
        <v>1</v>
      </c>
      <c r="E279" s="13" t="n">
        <f aca="false">IF(AND(ISNUMBER(A279),ISNUMBER(C279)),A279,0)</f>
        <v>27</v>
      </c>
      <c r="F279" s="13" t="n">
        <f aca="false">IF(AND(ISNUMBER(A279),ISNUMBER(C279)),C279,0)</f>
        <v>142</v>
      </c>
      <c r="G279" s="13" t="n">
        <f aca="false">IF(AND(ISNUMBER(A279),ISNUMBER(C279)),IF(A279&lt;35,1,IF(A279&lt;50,2,IF(A279&lt;65,3,4))),0)</f>
        <v>1</v>
      </c>
      <c r="H279" s="13" t="n">
        <f aca="false">IF(AND(ISNUMBER(A279),ISNUMBER(C279)),1,0)</f>
        <v>1</v>
      </c>
    </row>
    <row r="280" customFormat="false" ht="15" hidden="false" customHeight="false" outlineLevel="0" collapsed="false">
      <c r="A280" s="12" t="n">
        <v>39</v>
      </c>
      <c r="B280" s="12" t="s">
        <v>28</v>
      </c>
      <c r="C280" s="12" t="n">
        <v>125</v>
      </c>
      <c r="D280" s="13" t="n">
        <f aca="false">IF(AND(ISNUMBER(A280),ISNUMBER(C280)),IF(B280="M",1,0),0)</f>
        <v>1</v>
      </c>
      <c r="E280" s="13" t="n">
        <f aca="false">IF(AND(ISNUMBER(A280),ISNUMBER(C280)),A280,0)</f>
        <v>39</v>
      </c>
      <c r="F280" s="13" t="n">
        <f aca="false">IF(AND(ISNUMBER(A280),ISNUMBER(C280)),C280,0)</f>
        <v>125</v>
      </c>
      <c r="G280" s="13" t="n">
        <f aca="false">IF(AND(ISNUMBER(A280),ISNUMBER(C280)),IF(A280&lt;35,1,IF(A280&lt;50,2,IF(A280&lt;65,3,4))),0)</f>
        <v>2</v>
      </c>
      <c r="H280" s="13" t="n">
        <f aca="false">IF(AND(ISNUMBER(A280),ISNUMBER(C280)),1,0)</f>
        <v>1</v>
      </c>
    </row>
    <row r="281" customFormat="false" ht="15" hidden="false" customHeight="false" outlineLevel="0" collapsed="false">
      <c r="A281" s="12" t="n">
        <v>64</v>
      </c>
      <c r="B281" s="12" t="s">
        <v>28</v>
      </c>
      <c r="C281" s="12" t="n">
        <v>131</v>
      </c>
      <c r="D281" s="13" t="n">
        <f aca="false">IF(AND(ISNUMBER(A281),ISNUMBER(C281)),IF(B281="M",1,0),0)</f>
        <v>1</v>
      </c>
      <c r="E281" s="13" t="n">
        <f aca="false">IF(AND(ISNUMBER(A281),ISNUMBER(C281)),A281,0)</f>
        <v>64</v>
      </c>
      <c r="F281" s="13" t="n">
        <f aca="false">IF(AND(ISNUMBER(A281),ISNUMBER(C281)),C281,0)</f>
        <v>131</v>
      </c>
      <c r="G281" s="13" t="n">
        <f aca="false">IF(AND(ISNUMBER(A281),ISNUMBER(C281)),IF(A281&lt;35,1,IF(A281&lt;50,2,IF(A281&lt;65,3,4))),0)</f>
        <v>3</v>
      </c>
      <c r="H281" s="13" t="n">
        <f aca="false">IF(AND(ISNUMBER(A281),ISNUMBER(C281)),1,0)</f>
        <v>1</v>
      </c>
    </row>
    <row r="282" customFormat="false" ht="15" hidden="false" customHeight="false" outlineLevel="0" collapsed="false">
      <c r="A282" s="12" t="n">
        <v>44</v>
      </c>
      <c r="B282" s="12" t="s">
        <v>27</v>
      </c>
      <c r="C282" s="12" t="n">
        <v>121</v>
      </c>
      <c r="D282" s="13" t="n">
        <f aca="false">IF(AND(ISNUMBER(A282),ISNUMBER(C282)),IF(B282="M",1,0),0)</f>
        <v>0</v>
      </c>
      <c r="E282" s="13" t="n">
        <f aca="false">IF(AND(ISNUMBER(A282),ISNUMBER(C282)),A282,0)</f>
        <v>44</v>
      </c>
      <c r="F282" s="13" t="n">
        <f aca="false">IF(AND(ISNUMBER(A282),ISNUMBER(C282)),C282,0)</f>
        <v>121</v>
      </c>
      <c r="G282" s="13" t="n">
        <f aca="false">IF(AND(ISNUMBER(A282),ISNUMBER(C282)),IF(A282&lt;35,1,IF(A282&lt;50,2,IF(A282&lt;65,3,4))),0)</f>
        <v>2</v>
      </c>
      <c r="H282" s="13" t="n">
        <f aca="false">IF(AND(ISNUMBER(A282),ISNUMBER(C282)),1,0)</f>
        <v>1</v>
      </c>
    </row>
    <row r="283" customFormat="false" ht="15" hidden="false" customHeight="false" outlineLevel="0" collapsed="false">
      <c r="A283" s="12" t="n">
        <v>78</v>
      </c>
      <c r="B283" s="12" t="s">
        <v>28</v>
      </c>
      <c r="C283" s="12" t="n">
        <v>154</v>
      </c>
      <c r="D283" s="13" t="n">
        <f aca="false">IF(AND(ISNUMBER(A283),ISNUMBER(C283)),IF(B283="M",1,0),0)</f>
        <v>1</v>
      </c>
      <c r="E283" s="13" t="n">
        <f aca="false">IF(AND(ISNUMBER(A283),ISNUMBER(C283)),A283,0)</f>
        <v>78</v>
      </c>
      <c r="F283" s="13" t="n">
        <f aca="false">IF(AND(ISNUMBER(A283),ISNUMBER(C283)),C283,0)</f>
        <v>154</v>
      </c>
      <c r="G283" s="13" t="n">
        <f aca="false">IF(AND(ISNUMBER(A283),ISNUMBER(C283)),IF(A283&lt;35,1,IF(A283&lt;50,2,IF(A283&lt;65,3,4))),0)</f>
        <v>4</v>
      </c>
      <c r="H283" s="13" t="n">
        <f aca="false">IF(AND(ISNUMBER(A283),ISNUMBER(C283)),1,0)</f>
        <v>1</v>
      </c>
    </row>
    <row r="284" customFormat="false" ht="15" hidden="false" customHeight="false" outlineLevel="0" collapsed="false">
      <c r="A284" s="12" t="n">
        <v>30</v>
      </c>
      <c r="B284" s="12" t="s">
        <v>28</v>
      </c>
      <c r="C284" s="12" t="n">
        <v>125</v>
      </c>
      <c r="D284" s="13" t="n">
        <f aca="false">IF(AND(ISNUMBER(A284),ISNUMBER(C284)),IF(B284="M",1,0),0)</f>
        <v>1</v>
      </c>
      <c r="E284" s="13" t="n">
        <f aca="false">IF(AND(ISNUMBER(A284),ISNUMBER(C284)),A284,0)</f>
        <v>30</v>
      </c>
      <c r="F284" s="13" t="n">
        <f aca="false">IF(AND(ISNUMBER(A284),ISNUMBER(C284)),C284,0)</f>
        <v>125</v>
      </c>
      <c r="G284" s="13" t="n">
        <f aca="false">IF(AND(ISNUMBER(A284),ISNUMBER(C284)),IF(A284&lt;35,1,IF(A284&lt;50,2,IF(A284&lt;65,3,4))),0)</f>
        <v>1</v>
      </c>
      <c r="H284" s="13" t="n">
        <f aca="false">IF(AND(ISNUMBER(A284),ISNUMBER(C284)),1,0)</f>
        <v>1</v>
      </c>
    </row>
    <row r="285" customFormat="false" ht="15" hidden="false" customHeight="false" outlineLevel="0" collapsed="false">
      <c r="A285" s="12" t="n">
        <v>61</v>
      </c>
      <c r="B285" s="12" t="s">
        <v>27</v>
      </c>
      <c r="C285" s="12" t="n">
        <v>134</v>
      </c>
      <c r="D285" s="13" t="n">
        <f aca="false">IF(AND(ISNUMBER(A285),ISNUMBER(C285)),IF(B285="M",1,0),0)</f>
        <v>0</v>
      </c>
      <c r="E285" s="13" t="n">
        <f aca="false">IF(AND(ISNUMBER(A285),ISNUMBER(C285)),A285,0)</f>
        <v>61</v>
      </c>
      <c r="F285" s="13" t="n">
        <f aca="false">IF(AND(ISNUMBER(A285),ISNUMBER(C285)),C285,0)</f>
        <v>134</v>
      </c>
      <c r="G285" s="13" t="n">
        <f aca="false">IF(AND(ISNUMBER(A285),ISNUMBER(C285)),IF(A285&lt;35,1,IF(A285&lt;50,2,IF(A285&lt;65,3,4))),0)</f>
        <v>3</v>
      </c>
      <c r="H285" s="13" t="n">
        <f aca="false">IF(AND(ISNUMBER(A285),ISNUMBER(C285)),1,0)</f>
        <v>1</v>
      </c>
    </row>
    <row r="286" customFormat="false" ht="15" hidden="false" customHeight="false" outlineLevel="0" collapsed="false">
      <c r="A286" s="12" t="n">
        <v>79</v>
      </c>
      <c r="B286" s="12" t="s">
        <v>27</v>
      </c>
      <c r="C286" s="12" t="n">
        <v>156</v>
      </c>
      <c r="D286" s="13" t="n">
        <f aca="false">IF(AND(ISNUMBER(A286),ISNUMBER(C286)),IF(B286="M",1,0),0)</f>
        <v>0</v>
      </c>
      <c r="E286" s="13" t="n">
        <f aca="false">IF(AND(ISNUMBER(A286),ISNUMBER(C286)),A286,0)</f>
        <v>79</v>
      </c>
      <c r="F286" s="13" t="n">
        <f aca="false">IF(AND(ISNUMBER(A286),ISNUMBER(C286)),C286,0)</f>
        <v>156</v>
      </c>
      <c r="G286" s="13" t="n">
        <f aca="false">IF(AND(ISNUMBER(A286),ISNUMBER(C286)),IF(A286&lt;35,1,IF(A286&lt;50,2,IF(A286&lt;65,3,4))),0)</f>
        <v>4</v>
      </c>
      <c r="H286" s="13" t="n">
        <f aca="false">IF(AND(ISNUMBER(A286),ISNUMBER(C286)),1,0)</f>
        <v>1</v>
      </c>
    </row>
    <row r="287" customFormat="false" ht="15" hidden="false" customHeight="false" outlineLevel="0" collapsed="false">
      <c r="A287" s="12" t="n">
        <v>60</v>
      </c>
      <c r="B287" s="12" t="s">
        <v>28</v>
      </c>
      <c r="C287" s="12" t="n">
        <v>136</v>
      </c>
      <c r="D287" s="13" t="n">
        <f aca="false">IF(AND(ISNUMBER(A287),ISNUMBER(C287)),IF(B287="M",1,0),0)</f>
        <v>1</v>
      </c>
      <c r="E287" s="13" t="n">
        <f aca="false">IF(AND(ISNUMBER(A287),ISNUMBER(C287)),A287,0)</f>
        <v>60</v>
      </c>
      <c r="F287" s="13" t="n">
        <f aca="false">IF(AND(ISNUMBER(A287),ISNUMBER(C287)),C287,0)</f>
        <v>136</v>
      </c>
      <c r="G287" s="13" t="n">
        <f aca="false">IF(AND(ISNUMBER(A287),ISNUMBER(C287)),IF(A287&lt;35,1,IF(A287&lt;50,2,IF(A287&lt;65,3,4))),0)</f>
        <v>3</v>
      </c>
      <c r="H287" s="13" t="n">
        <f aca="false">IF(AND(ISNUMBER(A287),ISNUMBER(C287)),1,0)</f>
        <v>1</v>
      </c>
    </row>
    <row r="288" customFormat="false" ht="15" hidden="false" customHeight="false" outlineLevel="0" collapsed="false">
      <c r="A288" s="12" t="n">
        <v>35</v>
      </c>
      <c r="B288" s="12" t="s">
        <v>28</v>
      </c>
      <c r="C288" s="12" t="n">
        <v>110</v>
      </c>
      <c r="D288" s="13" t="n">
        <f aca="false">IF(AND(ISNUMBER(A288),ISNUMBER(C288)),IF(B288="M",1,0),0)</f>
        <v>1</v>
      </c>
      <c r="E288" s="13" t="n">
        <f aca="false">IF(AND(ISNUMBER(A288),ISNUMBER(C288)),A288,0)</f>
        <v>35</v>
      </c>
      <c r="F288" s="13" t="n">
        <f aca="false">IF(AND(ISNUMBER(A288),ISNUMBER(C288)),C288,0)</f>
        <v>110</v>
      </c>
      <c r="G288" s="13" t="n">
        <f aca="false">IF(AND(ISNUMBER(A288),ISNUMBER(C288)),IF(A288&lt;35,1,IF(A288&lt;50,2,IF(A288&lt;65,3,4))),0)</f>
        <v>2</v>
      </c>
      <c r="H288" s="13" t="n">
        <f aca="false">IF(AND(ISNUMBER(A288),ISNUMBER(C288)),1,0)</f>
        <v>1</v>
      </c>
    </row>
    <row r="289" customFormat="false" ht="15" hidden="false" customHeight="false" outlineLevel="0" collapsed="false">
      <c r="A289" s="12" t="n">
        <v>44</v>
      </c>
      <c r="B289" s="12" t="s">
        <v>27</v>
      </c>
      <c r="C289" s="12" t="n">
        <v>118</v>
      </c>
      <c r="D289" s="13" t="n">
        <f aca="false">IF(AND(ISNUMBER(A289),ISNUMBER(C289)),IF(B289="M",1,0),0)</f>
        <v>0</v>
      </c>
      <c r="E289" s="13" t="n">
        <f aca="false">IF(AND(ISNUMBER(A289),ISNUMBER(C289)),A289,0)</f>
        <v>44</v>
      </c>
      <c r="F289" s="13" t="n">
        <f aca="false">IF(AND(ISNUMBER(A289),ISNUMBER(C289)),C289,0)</f>
        <v>118</v>
      </c>
      <c r="G289" s="13" t="n">
        <f aca="false">IF(AND(ISNUMBER(A289),ISNUMBER(C289)),IF(A289&lt;35,1,IF(A289&lt;50,2,IF(A289&lt;65,3,4))),0)</f>
        <v>2</v>
      </c>
      <c r="H289" s="13" t="n">
        <f aca="false">IF(AND(ISNUMBER(A289),ISNUMBER(C289)),1,0)</f>
        <v>1</v>
      </c>
    </row>
    <row r="290" customFormat="false" ht="15" hidden="false" customHeight="false" outlineLevel="0" collapsed="false">
      <c r="A290" s="12" t="n">
        <v>21</v>
      </c>
      <c r="B290" s="12" t="s">
        <v>27</v>
      </c>
      <c r="C290" s="12" t="n">
        <v>121</v>
      </c>
      <c r="D290" s="13" t="n">
        <f aca="false">IF(AND(ISNUMBER(A290),ISNUMBER(C290)),IF(B290="M",1,0),0)</f>
        <v>0</v>
      </c>
      <c r="E290" s="13" t="n">
        <f aca="false">IF(AND(ISNUMBER(A290),ISNUMBER(C290)),A290,0)</f>
        <v>21</v>
      </c>
      <c r="F290" s="13" t="n">
        <f aca="false">IF(AND(ISNUMBER(A290),ISNUMBER(C290)),C290,0)</f>
        <v>121</v>
      </c>
      <c r="G290" s="13" t="n">
        <f aca="false">IF(AND(ISNUMBER(A290),ISNUMBER(C290)),IF(A290&lt;35,1,IF(A290&lt;50,2,IF(A290&lt;65,3,4))),0)</f>
        <v>1</v>
      </c>
      <c r="H290" s="13" t="n">
        <f aca="false">IF(AND(ISNUMBER(A290),ISNUMBER(C290)),1,0)</f>
        <v>1</v>
      </c>
    </row>
    <row r="291" customFormat="false" ht="15" hidden="false" customHeight="false" outlineLevel="0" collapsed="false">
      <c r="A291" s="12" t="n">
        <v>67</v>
      </c>
      <c r="B291" s="12" t="s">
        <v>28</v>
      </c>
      <c r="C291" s="12" t="n">
        <v>154</v>
      </c>
      <c r="D291" s="13" t="n">
        <f aca="false">IF(AND(ISNUMBER(A291),ISNUMBER(C291)),IF(B291="M",1,0),0)</f>
        <v>1</v>
      </c>
      <c r="E291" s="13" t="n">
        <f aca="false">IF(AND(ISNUMBER(A291),ISNUMBER(C291)),A291,0)</f>
        <v>67</v>
      </c>
      <c r="F291" s="13" t="n">
        <f aca="false">IF(AND(ISNUMBER(A291),ISNUMBER(C291)),C291,0)</f>
        <v>154</v>
      </c>
      <c r="G291" s="13" t="n">
        <f aca="false">IF(AND(ISNUMBER(A291),ISNUMBER(C291)),IF(A291&lt;35,1,IF(A291&lt;50,2,IF(A291&lt;65,3,4))),0)</f>
        <v>4</v>
      </c>
      <c r="H291" s="13" t="n">
        <f aca="false">IF(AND(ISNUMBER(A291),ISNUMBER(C291)),1,0)</f>
        <v>1</v>
      </c>
    </row>
    <row r="292" customFormat="false" ht="15" hidden="false" customHeight="false" outlineLevel="0" collapsed="false">
      <c r="A292" s="12" t="n">
        <v>30</v>
      </c>
      <c r="B292" s="12" t="s">
        <v>27</v>
      </c>
      <c r="C292" s="12" t="n">
        <v>103</v>
      </c>
      <c r="D292" s="13" t="n">
        <f aca="false">IF(AND(ISNUMBER(A292),ISNUMBER(C292)),IF(B292="M",1,0),0)</f>
        <v>0</v>
      </c>
      <c r="E292" s="13" t="n">
        <f aca="false">IF(AND(ISNUMBER(A292),ISNUMBER(C292)),A292,0)</f>
        <v>30</v>
      </c>
      <c r="F292" s="13" t="n">
        <f aca="false">IF(AND(ISNUMBER(A292),ISNUMBER(C292)),C292,0)</f>
        <v>103</v>
      </c>
      <c r="G292" s="13" t="n">
        <f aca="false">IF(AND(ISNUMBER(A292),ISNUMBER(C292)),IF(A292&lt;35,1,IF(A292&lt;50,2,IF(A292&lt;65,3,4))),0)</f>
        <v>1</v>
      </c>
      <c r="H292" s="13" t="n">
        <f aca="false">IF(AND(ISNUMBER(A292),ISNUMBER(C292)),1,0)</f>
        <v>1</v>
      </c>
    </row>
    <row r="293" customFormat="false" ht="15" hidden="false" customHeight="false" outlineLevel="0" collapsed="false">
      <c r="A293" s="12" t="n">
        <v>69</v>
      </c>
      <c r="B293" s="12" t="s">
        <v>28</v>
      </c>
      <c r="C293" s="12" t="n">
        <v>130</v>
      </c>
      <c r="D293" s="13" t="n">
        <f aca="false">IF(AND(ISNUMBER(A293),ISNUMBER(C293)),IF(B293="M",1,0),0)</f>
        <v>1</v>
      </c>
      <c r="E293" s="13" t="n">
        <f aca="false">IF(AND(ISNUMBER(A293),ISNUMBER(C293)),A293,0)</f>
        <v>69</v>
      </c>
      <c r="F293" s="13" t="n">
        <f aca="false">IF(AND(ISNUMBER(A293),ISNUMBER(C293)),C293,0)</f>
        <v>130</v>
      </c>
      <c r="G293" s="13" t="n">
        <f aca="false">IF(AND(ISNUMBER(A293),ISNUMBER(C293)),IF(A293&lt;35,1,IF(A293&lt;50,2,IF(A293&lt;65,3,4))),0)</f>
        <v>4</v>
      </c>
      <c r="H293" s="13" t="n">
        <f aca="false">IF(AND(ISNUMBER(A293),ISNUMBER(C293)),1,0)</f>
        <v>1</v>
      </c>
    </row>
    <row r="294" customFormat="false" ht="15" hidden="false" customHeight="false" outlineLevel="0" collapsed="false">
      <c r="A294" s="12" t="n">
        <v>39</v>
      </c>
      <c r="B294" s="12" t="s">
        <v>28</v>
      </c>
      <c r="C294" s="12" t="n">
        <v>131</v>
      </c>
      <c r="D294" s="13" t="n">
        <f aca="false">IF(AND(ISNUMBER(A294),ISNUMBER(C294)),IF(B294="M",1,0),0)</f>
        <v>1</v>
      </c>
      <c r="E294" s="13" t="n">
        <f aca="false">IF(AND(ISNUMBER(A294),ISNUMBER(C294)),A294,0)</f>
        <v>39</v>
      </c>
      <c r="F294" s="13" t="n">
        <f aca="false">IF(AND(ISNUMBER(A294),ISNUMBER(C294)),C294,0)</f>
        <v>131</v>
      </c>
      <c r="G294" s="13" t="n">
        <f aca="false">IF(AND(ISNUMBER(A294),ISNUMBER(C294)),IF(A294&lt;35,1,IF(A294&lt;50,2,IF(A294&lt;65,3,4))),0)</f>
        <v>2</v>
      </c>
      <c r="H294" s="13" t="n">
        <f aca="false">IF(AND(ISNUMBER(A294),ISNUMBER(C294)),1,0)</f>
        <v>1</v>
      </c>
    </row>
    <row r="295" customFormat="false" ht="15" hidden="false" customHeight="false" outlineLevel="0" collapsed="false">
      <c r="A295" s="12" t="n">
        <v>60</v>
      </c>
      <c r="B295" s="12" t="s">
        <v>28</v>
      </c>
      <c r="C295" s="12" t="n">
        <v>129</v>
      </c>
      <c r="D295" s="13" t="n">
        <f aca="false">IF(AND(ISNUMBER(A295),ISNUMBER(C295)),IF(B295="M",1,0),0)</f>
        <v>1</v>
      </c>
      <c r="E295" s="13" t="n">
        <f aca="false">IF(AND(ISNUMBER(A295),ISNUMBER(C295)),A295,0)</f>
        <v>60</v>
      </c>
      <c r="F295" s="13" t="n">
        <f aca="false">IF(AND(ISNUMBER(A295),ISNUMBER(C295)),C295,0)</f>
        <v>129</v>
      </c>
      <c r="G295" s="13" t="n">
        <f aca="false">IF(AND(ISNUMBER(A295),ISNUMBER(C295)),IF(A295&lt;35,1,IF(A295&lt;50,2,IF(A295&lt;65,3,4))),0)</f>
        <v>3</v>
      </c>
      <c r="H295" s="13" t="n">
        <f aca="false">IF(AND(ISNUMBER(A295),ISNUMBER(C295)),1,0)</f>
        <v>1</v>
      </c>
    </row>
    <row r="296" customFormat="false" ht="15" hidden="false" customHeight="false" outlineLevel="0" collapsed="false">
      <c r="A296" s="12" t="n">
        <v>75</v>
      </c>
      <c r="B296" s="12" t="s">
        <v>27</v>
      </c>
      <c r="C296" s="12" t="n">
        <v>134</v>
      </c>
      <c r="D296" s="13" t="n">
        <f aca="false">IF(AND(ISNUMBER(A296),ISNUMBER(C296)),IF(B296="M",1,0),0)</f>
        <v>0</v>
      </c>
      <c r="E296" s="13" t="n">
        <f aca="false">IF(AND(ISNUMBER(A296),ISNUMBER(C296)),A296,0)</f>
        <v>75</v>
      </c>
      <c r="F296" s="13" t="n">
        <f aca="false">IF(AND(ISNUMBER(A296),ISNUMBER(C296)),C296,0)</f>
        <v>134</v>
      </c>
      <c r="G296" s="13" t="n">
        <f aca="false">IF(AND(ISNUMBER(A296),ISNUMBER(C296)),IF(A296&lt;35,1,IF(A296&lt;50,2,IF(A296&lt;65,3,4))),0)</f>
        <v>4</v>
      </c>
      <c r="H296" s="13" t="n">
        <f aca="false">IF(AND(ISNUMBER(A296),ISNUMBER(C296)),1,0)</f>
        <v>1</v>
      </c>
    </row>
    <row r="297" customFormat="false" ht="15" hidden="false" customHeight="false" outlineLevel="0" collapsed="false">
      <c r="A297" s="12" t="n">
        <v>28</v>
      </c>
      <c r="B297" s="12" t="s">
        <v>28</v>
      </c>
      <c r="C297" s="12" t="n">
        <v>119</v>
      </c>
      <c r="D297" s="13" t="n">
        <f aca="false">IF(AND(ISNUMBER(A297),ISNUMBER(C297)),IF(B297="M",1,0),0)</f>
        <v>1</v>
      </c>
      <c r="E297" s="13" t="n">
        <f aca="false">IF(AND(ISNUMBER(A297),ISNUMBER(C297)),A297,0)</f>
        <v>28</v>
      </c>
      <c r="F297" s="13" t="n">
        <f aca="false">IF(AND(ISNUMBER(A297),ISNUMBER(C297)),C297,0)</f>
        <v>119</v>
      </c>
      <c r="G297" s="13" t="n">
        <f aca="false">IF(AND(ISNUMBER(A297),ISNUMBER(C297)),IF(A297&lt;35,1,IF(A297&lt;50,2,IF(A297&lt;65,3,4))),0)</f>
        <v>1</v>
      </c>
      <c r="H297" s="13" t="n">
        <f aca="false">IF(AND(ISNUMBER(A297),ISNUMBER(C297)),1,0)</f>
        <v>1</v>
      </c>
    </row>
    <row r="298" customFormat="false" ht="15" hidden="false" customHeight="false" outlineLevel="0" collapsed="false">
      <c r="A298" s="12" t="n">
        <v>63</v>
      </c>
      <c r="B298" s="12" t="s">
        <v>27</v>
      </c>
      <c r="C298" s="12" t="n">
        <v>144</v>
      </c>
      <c r="D298" s="13" t="n">
        <f aca="false">IF(AND(ISNUMBER(A298),ISNUMBER(C298)),IF(B298="M",1,0),0)</f>
        <v>0</v>
      </c>
      <c r="E298" s="13" t="n">
        <f aca="false">IF(AND(ISNUMBER(A298),ISNUMBER(C298)),A298,0)</f>
        <v>63</v>
      </c>
      <c r="F298" s="13" t="n">
        <f aca="false">IF(AND(ISNUMBER(A298),ISNUMBER(C298)),C298,0)</f>
        <v>144</v>
      </c>
      <c r="G298" s="13" t="n">
        <f aca="false">IF(AND(ISNUMBER(A298),ISNUMBER(C298)),IF(A298&lt;35,1,IF(A298&lt;50,2,IF(A298&lt;65,3,4))),0)</f>
        <v>3</v>
      </c>
      <c r="H298" s="13" t="n">
        <f aca="false">IF(AND(ISNUMBER(A298),ISNUMBER(C298)),1,0)</f>
        <v>1</v>
      </c>
    </row>
    <row r="299" customFormat="false" ht="15" hidden="false" customHeight="false" outlineLevel="0" collapsed="false">
      <c r="A299" s="12" t="n">
        <v>29</v>
      </c>
      <c r="B299" s="12" t="s">
        <v>28</v>
      </c>
      <c r="C299" s="12" t="n">
        <v>106</v>
      </c>
      <c r="D299" s="13" t="n">
        <f aca="false">IF(AND(ISNUMBER(A299),ISNUMBER(C299)),IF(B299="M",1,0),0)</f>
        <v>1</v>
      </c>
      <c r="E299" s="13" t="n">
        <f aca="false">IF(AND(ISNUMBER(A299),ISNUMBER(C299)),A299,0)</f>
        <v>29</v>
      </c>
      <c r="F299" s="13" t="n">
        <f aca="false">IF(AND(ISNUMBER(A299),ISNUMBER(C299)),C299,0)</f>
        <v>106</v>
      </c>
      <c r="G299" s="13" t="n">
        <f aca="false">IF(AND(ISNUMBER(A299),ISNUMBER(C299)),IF(A299&lt;35,1,IF(A299&lt;50,2,IF(A299&lt;65,3,4))),0)</f>
        <v>1</v>
      </c>
      <c r="H299" s="13" t="n">
        <f aca="false">IF(AND(ISNUMBER(A299),ISNUMBER(C299)),1,0)</f>
        <v>1</v>
      </c>
    </row>
    <row r="300" customFormat="false" ht="15" hidden="false" customHeight="false" outlineLevel="0" collapsed="false">
      <c r="A300" s="12" t="n">
        <v>53</v>
      </c>
      <c r="B300" s="12" t="s">
        <v>27</v>
      </c>
      <c r="C300" s="12" t="n">
        <v>117</v>
      </c>
      <c r="D300" s="13" t="n">
        <f aca="false">IF(AND(ISNUMBER(A300),ISNUMBER(C300)),IF(B300="M",1,0),0)</f>
        <v>0</v>
      </c>
      <c r="E300" s="13" t="n">
        <f aca="false">IF(AND(ISNUMBER(A300),ISNUMBER(C300)),A300,0)</f>
        <v>53</v>
      </c>
      <c r="F300" s="13" t="n">
        <f aca="false">IF(AND(ISNUMBER(A300),ISNUMBER(C300)),C300,0)</f>
        <v>117</v>
      </c>
      <c r="G300" s="13" t="n">
        <f aca="false">IF(AND(ISNUMBER(A300),ISNUMBER(C300)),IF(A300&lt;35,1,IF(A300&lt;50,2,IF(A300&lt;65,3,4))),0)</f>
        <v>3</v>
      </c>
      <c r="H300" s="13" t="n">
        <f aca="false">IF(AND(ISNUMBER(A300),ISNUMBER(C300)),1,0)</f>
        <v>1</v>
      </c>
    </row>
    <row r="301" customFormat="false" ht="15" hidden="false" customHeight="false" outlineLevel="0" collapsed="false">
      <c r="A301" s="12" t="n">
        <v>45</v>
      </c>
      <c r="B301" s="12" t="s">
        <v>27</v>
      </c>
      <c r="C301" s="12" t="n">
        <v>113</v>
      </c>
      <c r="D301" s="13" t="n">
        <f aca="false">IF(AND(ISNUMBER(A301),ISNUMBER(C301)),IF(B301="M",1,0),0)</f>
        <v>0</v>
      </c>
      <c r="E301" s="13" t="n">
        <f aca="false">IF(AND(ISNUMBER(A301),ISNUMBER(C301)),A301,0)</f>
        <v>45</v>
      </c>
      <c r="F301" s="13" t="n">
        <f aca="false">IF(AND(ISNUMBER(A301),ISNUMBER(C301)),C301,0)</f>
        <v>113</v>
      </c>
      <c r="G301" s="13" t="n">
        <f aca="false">IF(AND(ISNUMBER(A301),ISNUMBER(C301)),IF(A301&lt;35,1,IF(A301&lt;50,2,IF(A301&lt;65,3,4))),0)</f>
        <v>2</v>
      </c>
      <c r="H301" s="13" t="n">
        <f aca="false">IF(AND(ISNUMBER(A301),ISNUMBER(C301)),1,0)</f>
        <v>1</v>
      </c>
    </row>
    <row r="302" customFormat="false" ht="15" hidden="false" customHeight="false" outlineLevel="0" collapsed="false">
      <c r="A302" s="12" t="n">
        <v>57</v>
      </c>
      <c r="B302" s="12" t="s">
        <v>27</v>
      </c>
      <c r="C302" s="12" t="n">
        <v>129</v>
      </c>
      <c r="D302" s="13" t="n">
        <f aca="false">IF(AND(ISNUMBER(A302),ISNUMBER(C302)),IF(B302="M",1,0),0)</f>
        <v>0</v>
      </c>
      <c r="E302" s="13" t="n">
        <f aca="false">IF(AND(ISNUMBER(A302),ISNUMBER(C302)),A302,0)</f>
        <v>57</v>
      </c>
      <c r="F302" s="13" t="n">
        <f aca="false">IF(AND(ISNUMBER(A302),ISNUMBER(C302)),C302,0)</f>
        <v>129</v>
      </c>
      <c r="G302" s="13" t="n">
        <f aca="false">IF(AND(ISNUMBER(A302),ISNUMBER(C302)),IF(A302&lt;35,1,IF(A302&lt;50,2,IF(A302&lt;65,3,4))),0)</f>
        <v>3</v>
      </c>
      <c r="H302" s="13" t="n">
        <f aca="false">IF(AND(ISNUMBER(A302),ISNUMBER(C302)),1,0)</f>
        <v>1</v>
      </c>
    </row>
    <row r="303" customFormat="false" ht="15" hidden="false" customHeight="false" outlineLevel="0" collapsed="false">
      <c r="A303" s="12" t="n">
        <v>28</v>
      </c>
      <c r="B303" s="12" t="s">
        <v>28</v>
      </c>
      <c r="C303" s="12" t="n">
        <v>113</v>
      </c>
      <c r="D303" s="13" t="n">
        <f aca="false">IF(AND(ISNUMBER(A303),ISNUMBER(C303)),IF(B303="M",1,0),0)</f>
        <v>1</v>
      </c>
      <c r="E303" s="13" t="n">
        <f aca="false">IF(AND(ISNUMBER(A303),ISNUMBER(C303)),A303,0)</f>
        <v>28</v>
      </c>
      <c r="F303" s="13" t="n">
        <f aca="false">IF(AND(ISNUMBER(A303),ISNUMBER(C303)),C303,0)</f>
        <v>113</v>
      </c>
      <c r="G303" s="13" t="n">
        <f aca="false">IF(AND(ISNUMBER(A303),ISNUMBER(C303)),IF(A303&lt;35,1,IF(A303&lt;50,2,IF(A303&lt;65,3,4))),0)</f>
        <v>1</v>
      </c>
      <c r="H303" s="13" t="n">
        <f aca="false">IF(AND(ISNUMBER(A303),ISNUMBER(C303)),1,0)</f>
        <v>1</v>
      </c>
    </row>
    <row r="304" customFormat="false" ht="15" hidden="false" customHeight="false" outlineLevel="0" collapsed="false">
      <c r="A304" s="12" t="n">
        <v>43</v>
      </c>
      <c r="B304" s="12" t="s">
        <v>28</v>
      </c>
      <c r="C304" s="12" t="n">
        <v>130</v>
      </c>
      <c r="D304" s="13" t="n">
        <f aca="false">IF(AND(ISNUMBER(A304),ISNUMBER(C304)),IF(B304="M",1,0),0)</f>
        <v>1</v>
      </c>
      <c r="E304" s="13" t="n">
        <f aca="false">IF(AND(ISNUMBER(A304),ISNUMBER(C304)),A304,0)</f>
        <v>43</v>
      </c>
      <c r="F304" s="13" t="n">
        <f aca="false">IF(AND(ISNUMBER(A304),ISNUMBER(C304)),C304,0)</f>
        <v>130</v>
      </c>
      <c r="G304" s="13" t="n">
        <f aca="false">IF(AND(ISNUMBER(A304),ISNUMBER(C304)),IF(A304&lt;35,1,IF(A304&lt;50,2,IF(A304&lt;65,3,4))),0)</f>
        <v>2</v>
      </c>
      <c r="H304" s="13" t="n">
        <f aca="false">IF(AND(ISNUMBER(A304),ISNUMBER(C304)),1,0)</f>
        <v>1</v>
      </c>
    </row>
    <row r="305" customFormat="false" ht="15" hidden="false" customHeight="false" outlineLevel="0" collapsed="false">
      <c r="A305" s="12" t="n">
        <v>32</v>
      </c>
      <c r="B305" s="12" t="s">
        <v>27</v>
      </c>
      <c r="C305" s="12" t="n">
        <v>112</v>
      </c>
      <c r="D305" s="13" t="n">
        <f aca="false">IF(AND(ISNUMBER(A305),ISNUMBER(C305)),IF(B305="M",1,0),0)</f>
        <v>0</v>
      </c>
      <c r="E305" s="13" t="n">
        <f aca="false">IF(AND(ISNUMBER(A305),ISNUMBER(C305)),A305,0)</f>
        <v>32</v>
      </c>
      <c r="F305" s="13" t="n">
        <f aca="false">IF(AND(ISNUMBER(A305),ISNUMBER(C305)),C305,0)</f>
        <v>112</v>
      </c>
      <c r="G305" s="13" t="n">
        <f aca="false">IF(AND(ISNUMBER(A305),ISNUMBER(C305)),IF(A305&lt;35,1,IF(A305&lt;50,2,IF(A305&lt;65,3,4))),0)</f>
        <v>1</v>
      </c>
      <c r="H305" s="13" t="n">
        <f aca="false">IF(AND(ISNUMBER(A305),ISNUMBER(C305)),1,0)</f>
        <v>1</v>
      </c>
    </row>
    <row r="306" customFormat="false" ht="15" hidden="false" customHeight="false" outlineLevel="0" collapsed="false">
      <c r="A306" s="12" t="n">
        <v>51</v>
      </c>
      <c r="B306" s="12" t="s">
        <v>28</v>
      </c>
      <c r="C306" s="12" t="n">
        <v>144</v>
      </c>
      <c r="D306" s="13" t="n">
        <f aca="false">IF(AND(ISNUMBER(A306),ISNUMBER(C306)),IF(B306="M",1,0),0)</f>
        <v>1</v>
      </c>
      <c r="E306" s="13" t="n">
        <f aca="false">IF(AND(ISNUMBER(A306),ISNUMBER(C306)),A306,0)</f>
        <v>51</v>
      </c>
      <c r="F306" s="13" t="n">
        <f aca="false">IF(AND(ISNUMBER(A306),ISNUMBER(C306)),C306,0)</f>
        <v>144</v>
      </c>
      <c r="G306" s="13" t="n">
        <f aca="false">IF(AND(ISNUMBER(A306),ISNUMBER(C306)),IF(A306&lt;35,1,IF(A306&lt;50,2,IF(A306&lt;65,3,4))),0)</f>
        <v>3</v>
      </c>
      <c r="H306" s="13" t="n">
        <f aca="false">IF(AND(ISNUMBER(A306),ISNUMBER(C306)),1,0)</f>
        <v>1</v>
      </c>
    </row>
  </sheetData>
  <sheetProtection sheet="true" formatColumns="false"/>
  <dataValidations count="1">
    <dataValidation allowBlank="true" error="Enter a number." errorStyle="stop" errorTitle="Number needed" operator="between" showDropDown="false" showErrorMessage="true" showInputMessage="false" sqref="A7:A306 C7:C306" type="decimal">
      <formula1>-1000000000</formula1>
      <formula2>1000000000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F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4"/>
    <col collapsed="false" customWidth="true" hidden="false" outlineLevel="0" max="14" min="3" style="0" width="15"/>
  </cols>
  <sheetData>
    <row r="1" customFormat="false" ht="17.35" hidden="false" customHeight="false" outlineLevel="0" collapsed="false">
      <c r="B1" s="7" t="s">
        <v>29</v>
      </c>
    </row>
    <row r="2" customFormat="false" ht="15" hidden="false" customHeight="false" outlineLevel="0" collapsed="false">
      <c r="B2" s="8" t="s">
        <v>30</v>
      </c>
    </row>
    <row r="4" customFormat="false" ht="15" hidden="false" customHeight="false" outlineLevel="0" collapsed="false">
      <c r="B4" s="9" t="s">
        <v>31</v>
      </c>
    </row>
    <row r="5" customFormat="false" ht="15" hidden="false" customHeight="false" outlineLevel="0" collapsed="false">
      <c r="B5" s="14" t="s">
        <v>32</v>
      </c>
      <c r="C5" s="15" t="n">
        <f aca="false">IFERROR(COUNT('Enter data'!$C$7:$C$306),"")</f>
        <v>300</v>
      </c>
    </row>
    <row r="6" customFormat="false" ht="15" hidden="false" customHeight="false" outlineLevel="0" collapsed="false">
      <c r="B6" s="14" t="s">
        <v>33</v>
      </c>
      <c r="C6" s="16" t="n">
        <f aca="false">IFERROR(AVERAGE('Enter data'!$C$7:$C$306),"")</f>
        <v>126.973333333333</v>
      </c>
    </row>
    <row r="7" customFormat="false" ht="15" hidden="false" customHeight="false" outlineLevel="0" collapsed="false">
      <c r="B7" s="14" t="s">
        <v>34</v>
      </c>
      <c r="C7" s="16" t="n">
        <f aca="false">IFERROR(STDEV('Enter data'!$C$7:$C$306),"")</f>
        <v>14.9846952765366</v>
      </c>
    </row>
    <row r="8" customFormat="false" ht="15" hidden="false" customHeight="false" outlineLevel="0" collapsed="false">
      <c r="B8" s="14" t="s">
        <v>35</v>
      </c>
      <c r="C8" s="16" t="n">
        <f aca="false">IFERROR(PERCENTILE('Enter data'!$C$7:$C$306,0.025),"")</f>
        <v>102</v>
      </c>
    </row>
    <row r="9" customFormat="false" ht="15" hidden="false" customHeight="false" outlineLevel="0" collapsed="false">
      <c r="B9" s="14" t="s">
        <v>36</v>
      </c>
      <c r="C9" s="16" t="n">
        <f aca="false">IFERROR(MEDIAN('Enter data'!$C$7:$C$306),"")</f>
        <v>126</v>
      </c>
    </row>
    <row r="10" customFormat="false" ht="15" hidden="false" customHeight="false" outlineLevel="0" collapsed="false">
      <c r="B10" s="14" t="s">
        <v>37</v>
      </c>
      <c r="C10" s="16" t="n">
        <f aca="false">IFERROR(PERCENTILE('Enter data'!$C$7:$C$306,0.975),"")</f>
        <v>159.05</v>
      </c>
    </row>
    <row r="12" customFormat="false" ht="15" hidden="false" customHeight="false" outlineLevel="0" collapsed="false">
      <c r="B12" s="9" t="s">
        <v>38</v>
      </c>
    </row>
    <row r="13" customFormat="false" ht="30" hidden="false" customHeight="true" outlineLevel="0" collapsed="false">
      <c r="B13" s="10" t="s">
        <v>39</v>
      </c>
      <c r="C13" s="10" t="s">
        <v>40</v>
      </c>
      <c r="D13" s="10" t="s">
        <v>33</v>
      </c>
      <c r="E13" s="10" t="s">
        <v>41</v>
      </c>
      <c r="F13" s="10" t="s">
        <v>42</v>
      </c>
    </row>
    <row r="14" customFormat="false" ht="15" hidden="false" customHeight="false" outlineLevel="0" collapsed="false">
      <c r="B14" s="17" t="str">
        <f aca="false">IFERROR("F","")</f>
        <v>F</v>
      </c>
      <c r="C14" s="18" t="n">
        <f aca="false">IFERROR(COUNTIFS('Enter data'!$B$7:$B$306,"F",'Enter data'!$F$7:$F$306,"&lt;&gt;0"),"")</f>
        <v>146</v>
      </c>
      <c r="D14" s="19" t="n">
        <f aca="false">IFERROR(AVERAGEIFS('Enter data'!$F$7:$F$306,'Enter data'!$B$7:$B$306,"F",'Enter data'!$F$7:$F$306,"&lt;&gt;0"),"")</f>
        <v>123.123287671233</v>
      </c>
      <c r="E14" s="19" t="n">
        <f aca="false">IFERROR(SQRT(MAX(0,(SUMPRODUCT(('Enter data'!$B$7:$B$306="F")*('Enter data'!$F$7:$F$306&lt;&gt;0)*'Enter data'!$F$7:$F$306^2)-C14*D14^2)/(C14-1))),"")</f>
        <v>14.0844205496756</v>
      </c>
      <c r="F14" s="19" t="n">
        <f aca="false">IFERROR(E14/SQRT(C14),"")</f>
        <v>1.16563493844637</v>
      </c>
    </row>
    <row r="15" customFormat="false" ht="15" hidden="false" customHeight="false" outlineLevel="0" collapsed="false">
      <c r="B15" s="17" t="str">
        <f aca="false">IFERROR("M","")</f>
        <v>M</v>
      </c>
      <c r="C15" s="18" t="n">
        <f aca="false">IFERROR(COUNTIFS('Enter data'!$B$7:$B$306,"M",'Enter data'!$F$7:$F$306,"&lt;&gt;0"),"")</f>
        <v>154</v>
      </c>
      <c r="D15" s="19" t="n">
        <f aca="false">IFERROR(AVERAGEIFS('Enter data'!$F$7:$F$306,'Enter data'!$B$7:$B$306,"M",'Enter data'!$F$7:$F$306,"&lt;&gt;0"),"")</f>
        <v>130.623376623377</v>
      </c>
      <c r="E15" s="19" t="n">
        <f aca="false">IFERROR(SQRT(MAX(0,(SUMPRODUCT(('Enter data'!$B$7:$B$306="M")*('Enter data'!$F$7:$F$306&lt;&gt;0)*'Enter data'!$F$7:$F$306^2)-C15*D15^2)/(C15-1))),"")</f>
        <v>14.9417509198232</v>
      </c>
      <c r="F15" s="19" t="n">
        <f aca="false">IFERROR(E15/SQRT(C15),"")</f>
        <v>1.20404060139409</v>
      </c>
    </row>
    <row r="18" customFormat="false" ht="15" hidden="false" customHeight="false" outlineLevel="0" collapsed="false">
      <c r="B18" s="9" t="s">
        <v>43</v>
      </c>
    </row>
    <row r="19" customFormat="false" ht="15" hidden="false" customHeight="false" outlineLevel="0" collapsed="false">
      <c r="B19" s="14" t="s">
        <v>44</v>
      </c>
      <c r="C19" s="15" t="n">
        <f aca="false">IFERROR(SUM('Enter data'!$H$7:$H$306),"")</f>
        <v>300</v>
      </c>
    </row>
    <row r="20" customFormat="false" ht="15" hidden="false" customHeight="false" outlineLevel="0" collapsed="false">
      <c r="B20" s="14" t="s">
        <v>45</v>
      </c>
      <c r="C20" s="20" t="n">
        <f aca="false">IFERROR(SUMPRODUCT('Enter data'!$H$7:$H$306,'Enter data'!$E$7:$E$306)/$C$19,"")</f>
        <v>48.13</v>
      </c>
    </row>
    <row r="21" customFormat="false" ht="15" hidden="false" customHeight="false" outlineLevel="0" collapsed="false">
      <c r="B21" s="14" t="s">
        <v>46</v>
      </c>
      <c r="C21" s="20" t="n">
        <f aca="false">IFERROR(SUMPRODUCT('Enter data'!$H$7:$H$306,'Enter data'!$D$7:$D$306)/$C$19,"")</f>
        <v>0.513333333333333</v>
      </c>
    </row>
    <row r="22" customFormat="false" ht="15" hidden="false" customHeight="false" outlineLevel="0" collapsed="false">
      <c r="B22" s="14" t="s">
        <v>47</v>
      </c>
      <c r="C22" s="20" t="n">
        <f aca="false">IFERROR(SUMPRODUCT('Enter data'!$H$7:$H$306,'Enter data'!$F$7:$F$306)/$C$19,"")</f>
        <v>126.973333333333</v>
      </c>
    </row>
    <row r="23" customFormat="false" ht="15" hidden="false" customHeight="false" outlineLevel="0" collapsed="false">
      <c r="B23" s="14" t="s">
        <v>48</v>
      </c>
      <c r="C23" s="20" t="n">
        <f aca="false">IFERROR(SUMPRODUCT('Enter data'!$H$7:$H$306,('Enter data'!$E$7:$E$306-$C$20)*('Enter data'!$E$7:$E$306-$C$20)),"")</f>
        <v>104649.93</v>
      </c>
    </row>
    <row r="24" customFormat="false" ht="15" hidden="false" customHeight="false" outlineLevel="0" collapsed="false">
      <c r="B24" s="14" t="s">
        <v>49</v>
      </c>
      <c r="C24" s="20" t="n">
        <f aca="false">IFERROR(SUMPRODUCT('Enter data'!$H$7:$H$306,('Enter data'!$D$7:$D$306-$C$21)*('Enter data'!$D$7:$D$306-$C$21)),"")</f>
        <v>74.9466666666667</v>
      </c>
    </row>
    <row r="25" customFormat="false" ht="15" hidden="false" customHeight="false" outlineLevel="0" collapsed="false">
      <c r="B25" s="14" t="s">
        <v>50</v>
      </c>
      <c r="C25" s="20" t="n">
        <f aca="false">IFERROR(SUMPRODUCT('Enter data'!$H$7:$H$306,('Enter data'!$E$7:$E$306-$C$20)*('Enter data'!$D$7:$D$306-$C$21)),"")</f>
        <v>227.98</v>
      </c>
    </row>
    <row r="26" customFormat="false" ht="15" hidden="false" customHeight="false" outlineLevel="0" collapsed="false">
      <c r="B26" s="14" t="s">
        <v>51</v>
      </c>
      <c r="C26" s="20" t="n">
        <f aca="false">IFERROR(SUMPRODUCT('Enter data'!$H$7:$H$306,('Enter data'!$E$7:$E$306-$C$20)*('Enter data'!$F$7:$F$306-$C$22)),"")</f>
        <v>56836.04</v>
      </c>
    </row>
    <row r="27" customFormat="false" ht="15" hidden="false" customHeight="false" outlineLevel="0" collapsed="false">
      <c r="B27" s="14" t="s">
        <v>52</v>
      </c>
      <c r="C27" s="20" t="n">
        <f aca="false">IFERROR(SUMPRODUCT('Enter data'!$H$7:$H$306,('Enter data'!$D$7:$D$306-$C$21)*('Enter data'!$F$7:$F$306-$C$22)),"")</f>
        <v>562.106666666667</v>
      </c>
    </row>
    <row r="28" customFormat="false" ht="15" hidden="false" customHeight="false" outlineLevel="0" collapsed="false">
      <c r="B28" s="14" t="s">
        <v>53</v>
      </c>
      <c r="C28" s="20" t="n">
        <f aca="false">IFERROR(SUMPRODUCT('Enter data'!$H$7:$H$306,('Enter data'!$F$7:$F$306-$C$22)*('Enter data'!$F$7:$F$306-$C$22)),"")</f>
        <v>67137.7866666667</v>
      </c>
    </row>
    <row r="29" customFormat="false" ht="15" hidden="false" customHeight="false" outlineLevel="0" collapsed="false">
      <c r="B29" s="14" t="s">
        <v>54</v>
      </c>
      <c r="C29" s="20" t="n">
        <f aca="false">IFERROR(($C$26*$C$24-$C$27*$C$25)/($C$23*$C$24-$C$25^2),"")</f>
        <v>0.530281438506514</v>
      </c>
    </row>
    <row r="30" customFormat="false" ht="15" hidden="false" customHeight="false" outlineLevel="0" collapsed="false">
      <c r="B30" s="14" t="s">
        <v>55</v>
      </c>
      <c r="C30" s="20" t="n">
        <f aca="false">IFERROR(($C$27*$C$23-$C$26*$C$25)/($C$23*$C$24-$C$25^2),"")</f>
        <v>5.88702772170368</v>
      </c>
    </row>
    <row r="31" customFormat="false" ht="15" hidden="false" customHeight="false" outlineLevel="0" collapsed="false">
      <c r="B31" s="14" t="s">
        <v>56</v>
      </c>
      <c r="C31" s="20" t="n">
        <f aca="false">IFERROR($C$22-$C$29*$C$20-$C$30*$C$21,"")</f>
        <v>98.4288801342069</v>
      </c>
    </row>
    <row r="32" customFormat="false" ht="15" hidden="false" customHeight="false" outlineLevel="0" collapsed="false">
      <c r="B32" s="14" t="s">
        <v>57</v>
      </c>
      <c r="C32" s="20" t="n">
        <f aca="false">IFERROR($C$28-$C$29*$C$26-$C$30*$C$27,"")</f>
        <v>33689.5520872318</v>
      </c>
    </row>
    <row r="33" customFormat="false" ht="15" hidden="false" customHeight="false" outlineLevel="0" collapsed="false">
      <c r="B33" s="14" t="s">
        <v>58</v>
      </c>
      <c r="C33" s="20" t="n">
        <f aca="false">IFERROR(SQRT($C$32/($C$19-3)),"")</f>
        <v>10.650485214794</v>
      </c>
    </row>
    <row r="34" customFormat="false" ht="15" hidden="false" customHeight="false" outlineLevel="0" collapsed="false">
      <c r="B34" s="14" t="s">
        <v>59</v>
      </c>
      <c r="C34" s="20" t="n">
        <f aca="false">IFERROR(1-$C$32/$C$28,"")</f>
        <v>0.498202819010143</v>
      </c>
    </row>
    <row r="35" customFormat="false" ht="15" hidden="false" customHeight="false" outlineLevel="0" collapsed="false">
      <c r="B35" s="14" t="s">
        <v>60</v>
      </c>
      <c r="C35" s="20" t="n">
        <f aca="false">IFERROR($C$33*SQRT($C$24/($C$23*$C$24-$C$25^2)),"")</f>
        <v>0.0330326714467846</v>
      </c>
    </row>
    <row r="36" customFormat="false" ht="15" hidden="false" customHeight="false" outlineLevel="0" collapsed="false">
      <c r="B36" s="14" t="s">
        <v>61</v>
      </c>
      <c r="C36" s="20" t="n">
        <f aca="false">IFERROR($C$33*SQRT($C$23/($C$23*$C$24-$C$25^2)),"")</f>
        <v>1.23434626680585</v>
      </c>
    </row>
    <row r="37" customFormat="false" ht="15" hidden="false" customHeight="false" outlineLevel="0" collapsed="false">
      <c r="B37" s="14" t="s">
        <v>62</v>
      </c>
      <c r="C37" s="20" t="n">
        <f aca="false">IFERROR($C$29-TINV(0.05,$C$19-3)*$C$35,"")</f>
        <v>0.465273685300076</v>
      </c>
    </row>
    <row r="38" customFormat="false" ht="15" hidden="false" customHeight="false" outlineLevel="0" collapsed="false">
      <c r="B38" s="14" t="s">
        <v>63</v>
      </c>
      <c r="C38" s="20" t="n">
        <f aca="false">IFERROR($C$29+TINV(0.05,$C$19-3)*$C$35,"")</f>
        <v>0.595289191712952</v>
      </c>
    </row>
    <row r="40" customFormat="false" ht="15" hidden="false" customHeight="false" outlineLevel="0" collapsed="false">
      <c r="B40" s="9" t="s">
        <v>64</v>
      </c>
    </row>
    <row r="41" customFormat="false" ht="15" hidden="false" customHeight="false" outlineLevel="0" collapsed="false">
      <c r="B41" s="14" t="s">
        <v>65</v>
      </c>
      <c r="C41" s="20" t="n">
        <f aca="false">IFERROR(1-0.95^10,"")</f>
        <v>0.401263060761621</v>
      </c>
    </row>
    <row r="43" customFormat="false" ht="15" hidden="false" customHeight="false" outlineLevel="0" collapsed="false">
      <c r="B43" s="9" t="s">
        <v>66</v>
      </c>
    </row>
    <row r="44" customFormat="false" ht="15" hidden="false" customHeight="false" outlineLevel="0" collapsed="false">
      <c r="B44" s="14" t="s">
        <v>67</v>
      </c>
      <c r="C44" s="16" t="n">
        <f aca="false">IFERROR(100*(COUNTIFS('Enter data'!$G$7:$G$306,4,'Enter data'!$F$7:$F$306,"&lt;"&amp;$C$8,'Enter data'!$F$7:$F$306,"&gt;0")+COUNTIFS('Enter data'!$G$7:$G$306,4,'Enter data'!$F$7:$F$306,"&gt;"&amp;$C$10))/COUNTIF('Enter data'!$G$7:$G$306,4),"")</f>
        <v>9.09090909090909</v>
      </c>
      <c r="D44" s="8" t="s">
        <v>68</v>
      </c>
    </row>
  </sheetData>
  <sheetProtection sheet="true" formatColumns="false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2026-10-01T00:31:10Z</dcterms:created>
  <dc:creator>Emmanuel G. Lozano</dc:creator>
  <dc:description>Compiled by Emmanuel G. Lozano, Department of Biology, College of Arts and Sciences, Pampanga State University. Original material is licensed CC BY-NC 4.0: credit required, non-commercial use only.</dc:description>
  <dc:language>en-US</dc:language>
  <cp:lastModifiedBy/>
  <dcterms:modified xsi:type="dcterms:W3CDTF">2026-10-01T00:31:11Z</dcterms:modified>
  <cp:revision>0</cp:revision>
  <dc:subject/>
  <dc:title>AP-06 Reference intervals from a health survey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