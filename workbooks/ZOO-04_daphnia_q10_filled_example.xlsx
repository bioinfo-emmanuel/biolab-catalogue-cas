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<sst xmlns="http://schemas.openxmlformats.org/spreadsheetml/2006/main" count="41" uniqueCount="40">
  <si>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ZOO-04  Heart rate and temperature in Daphnia: Q10</t>
  </si>
  <si>
    <t xml:space="preserve">Excel version of the card. It does the same calculations as the R script daphnia_q10.R.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</si>
  <si>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</si>
  <si>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</si>
  <si>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</si>
  <si>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</si>
  <si>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</si>
  <si>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</si>
  <si>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</si>
  <si>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</si>
  <si>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Rate (beats per minute) = mean of the two counts / seconds x 60. Q10 from all the data uses ln(rate) against temperature with each animal as its own block: the slope is calculated from deviations from each animal's own means. Q10 = exp(10 x slope).</t>
  </si>
  <si>
    <t xml:space="preserve">Q10 between two temperatures = (R2 / R1)^(10 / (T2 - T1)). Limit the water temperature to 30 C or below.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</si>
  <si>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</si>
  <si>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</si>
  <si>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</si>
  <si>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</si>
  <si>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Counts (one row per animal and temperature)</t>
  </si>
  <si>
    <t xml:space="preserve">Animal number</t>
  </si>
  <si>
    <t xml:space="preserve">Temperature (C)</t>
  </si>
  <si>
    <t xml:space="preserve">Beats, count 1</t>
  </si>
  <si>
    <t xml:space="preserve">Beats, count 2</t>
  </si>
  <si>
    <t xml:space="preserve">Seconds counted</t>
  </si>
  <si>
    <t xml:space="preserve">Rate (beats per minute)</t>
  </si>
  <si>
    <t xml:space="preserve">ln(rate)</t>
  </si>
  <si>
    <t xml:space="preserve">ln(rate) minus animal mean</t>
  </si>
  <si>
    <t xml:space="preserve">First row of this animal</t>
  </si>
  <si>
    <t xml:space="preserve">Temperature minus animal mean</t>
  </si>
  <si>
    <t xml:space="preserve">Results</t>
  </si>
  <si>
    <t xml:space="preserve">Everything on this sheet is calculated. Change only the yellow settings.</t>
  </si>
  <si>
    <t xml:space="preserve">Q10 from all the data (animal as a block)</t>
  </si>
  <si>
    <t xml:space="preserve">Measurements used</t>
  </si>
  <si>
    <t xml:space="preserve">Animals</t>
  </si>
  <si>
    <t xml:space="preserve">Number of different animal numbers.</t>
  </si>
  <si>
    <t xml:space="preserve">Slope of ln(rate) on temperature (per C)</t>
  </si>
  <si>
    <t xml:space="preserve">Residual sum of squares</t>
  </si>
  <si>
    <t xml:space="preserve">Standard error of the slope</t>
  </si>
  <si>
    <t xml:space="preserve">Q10</t>
  </si>
  <si>
    <t xml:space="preserve">Q10, 95% interval lower</t>
  </si>
  <si>
    <t xml:space="preserve">Q10, 95% interval upper</t>
  </si>
  <si>
    <t xml:space="preserve">Q10 from two temperatures (worked example: 150 bpm at 15 C and 300 bpm at 25 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</si>
</sst>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;\-0.000;;@"/>
    <numFmt numFmtId="166" formatCode="0"/>
    <numFmt numFmtId="167" formatCode="0.0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0" t="s">
        <v>24</v>
      </c>
      <c r="I5" s="10" t="s">
        <v>25</v>
      </c>
      <c r="J5" s="10" t="s">
        <v>26</v>
      </c>
    </row>
    <row r="6" customFormat="false" ht="15" hidden="false" customHeight="false" outlineLevel="0" collapsed="false">
      <c r="A6" s="11" t="n">
        <v>1</v>
      </c>
      <c r="B6" s="11" t="n">
        <v>20</v>
      </c>
      <c r="C6" s="11" t="n">
        <v>50</v>
      </c>
      <c r="D6" s="11" t="n">
        <v>51</v>
      </c>
      <c r="E6" s="11" t="n">
        <v>15</v>
      </c>
    </row>
    <row r="7" customFormat="false" ht="15" hidden="false" customHeight="false" outlineLevel="0" collapsed="false">
      <c r="A7" s="12" t="n">
        <v>1</v>
      </c>
      <c r="B7" s="12" t="n">
        <v>10.1</v>
      </c>
      <c r="C7" s="12" t="n">
        <v>23</v>
      </c>
      <c r="D7" s="12" t="n">
        <v>21</v>
      </c>
      <c r="E7" s="12" t="n">
        <v>15</v>
      </c>
      <c r="F7" s="13" t="n">
        <f aca="false">IF(AND(ISNUMBER(C7),ISNUMBER(D7),ISNUMBER(E7)),(C7+D7)/2/E7*60,0)</f>
        <v>88</v>
      </c>
      <c r="G7" s="13" t="n">
        <f aca="false">IF(F7&gt;0,LN(F7),0)</f>
        <v>4.47733681447821</v>
      </c>
      <c r="H7" s="13" t="n">
        <f aca="false">IF(F7&gt;0,G7-SUMIFS(G$7:G$66,A$7:A$66,A7,F$7:F$66,"&gt;0")/COUNTIFS(A$7:A$66,A7,F$7:F$66,"&gt;0"),0)</f>
        <v>-0.744816669409562</v>
      </c>
      <c r="I7" s="13" t="n">
        <f aca="false">IF(F7&gt;0,IF(COUNTIFS(A$7:A7,A7,F$7:F7,"&gt;0")=1,1,0),0)</f>
        <v>1</v>
      </c>
      <c r="J7" s="13" t="n">
        <f aca="false">IF(F7&gt;0,B7-SUMIFS(B$7:B$66,A$7:A$66,A7,F$7:F$66,"&gt;0")/COUNTIFS(A$7:A$66,A7,F$7:F$66,"&gt;0"),0)</f>
        <v>-10.02</v>
      </c>
    </row>
    <row r="8" customFormat="false" ht="15" hidden="false" customHeight="false" outlineLevel="0" collapsed="false">
      <c r="A8" s="12" t="n">
        <v>1</v>
      </c>
      <c r="B8" s="12" t="n">
        <v>15</v>
      </c>
      <c r="C8" s="12" t="n">
        <v>36</v>
      </c>
      <c r="D8" s="12" t="n">
        <v>35</v>
      </c>
      <c r="E8" s="12" t="n">
        <v>15</v>
      </c>
      <c r="F8" s="13" t="n">
        <f aca="false">IF(AND(ISNUMBER(C8),ISNUMBER(D8),ISNUMBER(E8)),(C8+D8)/2/E8*60,0)</f>
        <v>142</v>
      </c>
      <c r="G8" s="13" t="n">
        <f aca="false">IF(F8&gt;0,LN(F8),0)</f>
        <v>4.95582705760126</v>
      </c>
      <c r="H8" s="13" t="n">
        <f aca="false">IF(F8&gt;0,G8-SUMIFS(G$7:G$66,A$7:A$66,A8,F$7:F$66,"&gt;0")/COUNTIFS(A$7:A$66,A8,F$7:F$66,"&gt;0"),0)</f>
        <v>-0.266326426286508</v>
      </c>
      <c r="I8" s="13" t="n">
        <f aca="false">IF(F8&gt;0,IF(COUNTIFS(A$7:A8,A8,F$7:F8,"&gt;0")=1,1,0),0)</f>
        <v>0</v>
      </c>
      <c r="J8" s="13" t="n">
        <f aca="false">IF(F8&gt;0,B8-SUMIFS(B$7:B$66,A$7:A$66,A8,F$7:F$66,"&gt;0")/COUNTIFS(A$7:A$66,A8,F$7:F$66,"&gt;0"),0)</f>
        <v>-5.12</v>
      </c>
    </row>
    <row r="9" customFormat="false" ht="15" hidden="false" customHeight="false" outlineLevel="0" collapsed="false">
      <c r="A9" s="12" t="n">
        <v>1</v>
      </c>
      <c r="B9" s="12" t="n">
        <v>20.5</v>
      </c>
      <c r="C9" s="12" t="n">
        <v>43</v>
      </c>
      <c r="D9" s="12" t="n">
        <v>53</v>
      </c>
      <c r="E9" s="12" t="n">
        <v>15</v>
      </c>
      <c r="F9" s="13" t="n">
        <f aca="false">IF(AND(ISNUMBER(C9),ISNUMBER(D9),ISNUMBER(E9)),(C9+D9)/2/E9*60,0)</f>
        <v>192</v>
      </c>
      <c r="G9" s="13" t="n">
        <f aca="false">IF(F9&gt;0,LN(F9),0)</f>
        <v>5.25749537202778</v>
      </c>
      <c r="H9" s="13" t="n">
        <f aca="false">IF(F9&gt;0,G9-SUMIFS(G$7:G$66,A$7:A$66,A9,F$7:F$66,"&gt;0")/COUNTIFS(A$7:A$66,A9,F$7:F$66,"&gt;0"),0)</f>
        <v>0.0353418881400129</v>
      </c>
      <c r="I9" s="13" t="n">
        <f aca="false">IF(F9&gt;0,IF(COUNTIFS(A$7:A9,A9,F$7:F9,"&gt;0")=1,1,0),0)</f>
        <v>0</v>
      </c>
      <c r="J9" s="13" t="n">
        <f aca="false">IF(F9&gt;0,B9-SUMIFS(B$7:B$66,A$7:A$66,A9,F$7:F$66,"&gt;0")/COUNTIFS(A$7:A$66,A9,F$7:F$66,"&gt;0"),0)</f>
        <v>0.380000000000003</v>
      </c>
    </row>
    <row r="10" customFormat="false" ht="15" hidden="false" customHeight="false" outlineLevel="0" collapsed="false">
      <c r="A10" s="12" t="n">
        <v>1</v>
      </c>
      <c r="B10" s="12" t="n">
        <v>25.2</v>
      </c>
      <c r="C10" s="12" t="n">
        <v>56</v>
      </c>
      <c r="D10" s="12" t="n">
        <v>72</v>
      </c>
      <c r="E10" s="12" t="n">
        <v>15</v>
      </c>
      <c r="F10" s="13" t="n">
        <f aca="false">IF(AND(ISNUMBER(C10),ISNUMBER(D10),ISNUMBER(E10)),(C10+D10)/2/E10*60,0)</f>
        <v>256</v>
      </c>
      <c r="G10" s="13" t="n">
        <f aca="false">IF(F10&gt;0,LN(F10),0)</f>
        <v>5.54517744447956</v>
      </c>
      <c r="H10" s="13" t="n">
        <f aca="false">IF(F10&gt;0,G10-SUMIFS(G$7:G$66,A$7:A$66,A10,F$7:F$66,"&gt;0")/COUNTIFS(A$7:A$66,A10,F$7:F$66,"&gt;0"),0)</f>
        <v>0.323023960591794</v>
      </c>
      <c r="I10" s="13" t="n">
        <f aca="false">IF(F10&gt;0,IF(COUNTIFS(A$7:A10,A10,F$7:F10,"&gt;0")=1,1,0),0)</f>
        <v>0</v>
      </c>
      <c r="J10" s="13" t="n">
        <f aca="false">IF(F10&gt;0,B10-SUMIFS(B$7:B$66,A$7:A$66,A10,F$7:F$66,"&gt;0")/COUNTIFS(A$7:A$66,A10,F$7:F$66,"&gt;0"),0)</f>
        <v>5.08</v>
      </c>
    </row>
    <row r="11" customFormat="false" ht="15" hidden="false" customHeight="false" outlineLevel="0" collapsed="false">
      <c r="A11" s="12" t="n">
        <v>1</v>
      </c>
      <c r="B11" s="12" t="n">
        <v>29.8</v>
      </c>
      <c r="C11" s="12" t="n">
        <v>91</v>
      </c>
      <c r="D11" s="12" t="n">
        <v>87</v>
      </c>
      <c r="E11" s="12" t="n">
        <v>15</v>
      </c>
      <c r="F11" s="13" t="n">
        <f aca="false">IF(AND(ISNUMBER(C11),ISNUMBER(D11),ISNUMBER(E11)),(C11+D11)/2/E11*60,0)</f>
        <v>356</v>
      </c>
      <c r="G11" s="13" t="n">
        <f aca="false">IF(F11&gt;0,LN(F11),0)</f>
        <v>5.87493073085203</v>
      </c>
      <c r="H11" s="13" t="n">
        <f aca="false">IF(F11&gt;0,G11-SUMIFS(G$7:G$66,A$7:A$66,A11,F$7:F$66,"&gt;0")/COUNTIFS(A$7:A$66,A11,F$7:F$66,"&gt;0"),0)</f>
        <v>0.652777246964262</v>
      </c>
      <c r="I11" s="13" t="n">
        <f aca="false">IF(F11&gt;0,IF(COUNTIFS(A$7:A11,A11,F$7:F11,"&gt;0")=1,1,0),0)</f>
        <v>0</v>
      </c>
      <c r="J11" s="13" t="n">
        <f aca="false">IF(F11&gt;0,B11-SUMIFS(B$7:B$66,A$7:A$66,A11,F$7:F$66,"&gt;0")/COUNTIFS(A$7:A$66,A11,F$7:F$66,"&gt;0"),0)</f>
        <v>9.68</v>
      </c>
    </row>
    <row r="12" customFormat="false" ht="15" hidden="false" customHeight="false" outlineLevel="0" collapsed="false">
      <c r="A12" s="12" t="n">
        <v>2</v>
      </c>
      <c r="B12" s="12" t="n">
        <v>10.3</v>
      </c>
      <c r="C12" s="12" t="n">
        <v>28</v>
      </c>
      <c r="D12" s="12" t="n">
        <v>32</v>
      </c>
      <c r="E12" s="12" t="n">
        <v>15</v>
      </c>
      <c r="F12" s="13" t="n">
        <f aca="false">IF(AND(ISNUMBER(C12),ISNUMBER(D12),ISNUMBER(E12)),(C12+D12)/2/E12*60,0)</f>
        <v>120</v>
      </c>
      <c r="G12" s="13" t="n">
        <f aca="false">IF(F12&gt;0,LN(F12),0)</f>
        <v>4.78749174278205</v>
      </c>
      <c r="H12" s="13" t="n">
        <f aca="false">IF(F12&gt;0,G12-SUMIFS(G$7:G$66,A$7:A$66,A12,F$7:F$66,"&gt;0")/COUNTIFS(A$7:A$66,A12,F$7:F$66,"&gt;0"),0)</f>
        <v>-0.555390931980345</v>
      </c>
      <c r="I12" s="13" t="n">
        <f aca="false">IF(F12&gt;0,IF(COUNTIFS(A$7:A12,A12,F$7:F12,"&gt;0")=1,1,0),0)</f>
        <v>1</v>
      </c>
      <c r="J12" s="13" t="n">
        <f aca="false">IF(F12&gt;0,B12-SUMIFS(B$7:B$66,A$7:A$66,A12,F$7:F$66,"&gt;0")/COUNTIFS(A$7:A$66,A12,F$7:F$66,"&gt;0"),0)</f>
        <v>-9.84</v>
      </c>
    </row>
    <row r="13" customFormat="false" ht="15" hidden="false" customHeight="false" outlineLevel="0" collapsed="false">
      <c r="A13" s="12" t="n">
        <v>2</v>
      </c>
      <c r="B13" s="12" t="n">
        <v>14.8</v>
      </c>
      <c r="C13" s="12" t="n">
        <v>27</v>
      </c>
      <c r="D13" s="12" t="n">
        <v>35</v>
      </c>
      <c r="E13" s="12" t="n">
        <v>15</v>
      </c>
      <c r="F13" s="13" t="n">
        <f aca="false">IF(AND(ISNUMBER(C13),ISNUMBER(D13),ISNUMBER(E13)),(C13+D13)/2/E13*60,0)</f>
        <v>124</v>
      </c>
      <c r="G13" s="13" t="n">
        <f aca="false">IF(F13&gt;0,LN(F13),0)</f>
        <v>4.82028156560504</v>
      </c>
      <c r="H13" s="13" t="n">
        <f aca="false">IF(F13&gt;0,G13-SUMIFS(G$7:G$66,A$7:A$66,A13,F$7:F$66,"&gt;0")/COUNTIFS(A$7:A$66,A13,F$7:F$66,"&gt;0"),0)</f>
        <v>-0.522601109157354</v>
      </c>
      <c r="I13" s="13" t="n">
        <f aca="false">IF(F13&gt;0,IF(COUNTIFS(A$7:A13,A13,F$7:F13,"&gt;0")=1,1,0),0)</f>
        <v>0</v>
      </c>
      <c r="J13" s="13" t="n">
        <f aca="false">IF(F13&gt;0,B13-SUMIFS(B$7:B$66,A$7:A$66,A13,F$7:F$66,"&gt;0")/COUNTIFS(A$7:A$66,A13,F$7:F$66,"&gt;0"),0)</f>
        <v>-5.34</v>
      </c>
    </row>
    <row r="14" customFormat="false" ht="15" hidden="false" customHeight="false" outlineLevel="0" collapsed="false">
      <c r="A14" s="12" t="n">
        <v>2</v>
      </c>
      <c r="B14" s="12" t="n">
        <v>20.2</v>
      </c>
      <c r="C14" s="12" t="n">
        <v>57</v>
      </c>
      <c r="D14" s="12" t="n">
        <v>58</v>
      </c>
      <c r="E14" s="12" t="n">
        <v>15</v>
      </c>
      <c r="F14" s="13" t="n">
        <f aca="false">IF(AND(ISNUMBER(C14),ISNUMBER(D14),ISNUMBER(E14)),(C14+D14)/2/E14*60,0)</f>
        <v>230</v>
      </c>
      <c r="G14" s="13" t="n">
        <f aca="false">IF(F14&gt;0,LN(F14),0)</f>
        <v>5.4380793089232</v>
      </c>
      <c r="H14" s="13" t="n">
        <f aca="false">IF(F14&gt;0,G14-SUMIFS(G$7:G$66,A$7:A$66,A14,F$7:F$66,"&gt;0")/COUNTIFS(A$7:A$66,A14,F$7:F$66,"&gt;0"),0)</f>
        <v>0.0951966341608044</v>
      </c>
      <c r="I14" s="13" t="n">
        <f aca="false">IF(F14&gt;0,IF(COUNTIFS(A$7:A14,A14,F$7:F14,"&gt;0")=1,1,0),0)</f>
        <v>0</v>
      </c>
      <c r="J14" s="13" t="n">
        <f aca="false">IF(F14&gt;0,B14-SUMIFS(B$7:B$66,A$7:A$66,A14,F$7:F$66,"&gt;0")/COUNTIFS(A$7:A$66,A14,F$7:F$66,"&gt;0"),0)</f>
        <v>0.0599999999999987</v>
      </c>
    </row>
    <row r="15" customFormat="false" ht="15" hidden="false" customHeight="false" outlineLevel="0" collapsed="false">
      <c r="A15" s="12" t="n">
        <v>2</v>
      </c>
      <c r="B15" s="12" t="n">
        <v>25.3</v>
      </c>
      <c r="C15" s="12" t="n">
        <v>60</v>
      </c>
      <c r="D15" s="12" t="n">
        <v>67</v>
      </c>
      <c r="E15" s="12" t="n">
        <v>15</v>
      </c>
      <c r="F15" s="13" t="n">
        <f aca="false">IF(AND(ISNUMBER(C15),ISNUMBER(D15),ISNUMBER(E15)),(C15+D15)/2/E15*60,0)</f>
        <v>254</v>
      </c>
      <c r="G15" s="13" t="n">
        <f aca="false">IF(F15&gt;0,LN(F15),0)</f>
        <v>5.53733426701854</v>
      </c>
      <c r="H15" s="13" t="n">
        <f aca="false">IF(F15&gt;0,G15-SUMIFS(G$7:G$66,A$7:A$66,A15,F$7:F$66,"&gt;0")/COUNTIFS(A$7:A$66,A15,F$7:F$66,"&gt;0"),0)</f>
        <v>0.194451592256145</v>
      </c>
      <c r="I15" s="13" t="n">
        <f aca="false">IF(F15&gt;0,IF(COUNTIFS(A$7:A15,A15,F$7:F15,"&gt;0")=1,1,0),0)</f>
        <v>0</v>
      </c>
      <c r="J15" s="13" t="n">
        <f aca="false">IF(F15&gt;0,B15-SUMIFS(B$7:B$66,A$7:A$66,A15,F$7:F$66,"&gt;0")/COUNTIFS(A$7:A$66,A15,F$7:F$66,"&gt;0"),0)</f>
        <v>5.16</v>
      </c>
    </row>
    <row r="16" customFormat="false" ht="15" hidden="false" customHeight="false" outlineLevel="0" collapsed="false">
      <c r="A16" s="12" t="n">
        <v>2</v>
      </c>
      <c r="B16" s="12" t="n">
        <v>30.1</v>
      </c>
      <c r="C16" s="12" t="n">
        <v>115</v>
      </c>
      <c r="D16" s="12" t="n">
        <v>115</v>
      </c>
      <c r="E16" s="12" t="n">
        <v>15</v>
      </c>
      <c r="F16" s="13" t="n">
        <f aca="false">IF(AND(ISNUMBER(C16),ISNUMBER(D16),ISNUMBER(E16)),(C16+D16)/2/E16*60,0)</f>
        <v>460</v>
      </c>
      <c r="G16" s="13" t="n">
        <f aca="false">IF(F16&gt;0,LN(F16),0)</f>
        <v>6.13122648948314</v>
      </c>
      <c r="H16" s="13" t="n">
        <f aca="false">IF(F16&gt;0,G16-SUMIFS(G$7:G$66,A$7:A$66,A16,F$7:F$66,"&gt;0")/COUNTIFS(A$7:A$66,A16,F$7:F$66,"&gt;0"),0)</f>
        <v>0.78834381472075</v>
      </c>
      <c r="I16" s="13" t="n">
        <f aca="false">IF(F16&gt;0,IF(COUNTIFS(A$7:A16,A16,F$7:F16,"&gt;0")=1,1,0),0)</f>
        <v>0</v>
      </c>
      <c r="J16" s="13" t="n">
        <f aca="false">IF(F16&gt;0,B16-SUMIFS(B$7:B$66,A$7:A$66,A16,F$7:F$66,"&gt;0")/COUNTIFS(A$7:A$66,A16,F$7:F$66,"&gt;0"),0)</f>
        <v>9.96</v>
      </c>
    </row>
    <row r="17" customFormat="false" ht="15" hidden="false" customHeight="false" outlineLevel="0" collapsed="false">
      <c r="A17" s="12" t="n">
        <v>3</v>
      </c>
      <c r="B17" s="12" t="n">
        <v>9.9</v>
      </c>
      <c r="C17" s="12" t="n">
        <v>19</v>
      </c>
      <c r="D17" s="12" t="n">
        <v>15</v>
      </c>
      <c r="E17" s="12" t="n">
        <v>15</v>
      </c>
      <c r="F17" s="13" t="n">
        <f aca="false">IF(AND(ISNUMBER(C17),ISNUMBER(D17),ISNUMBER(E17)),(C17+D17)/2/E17*60,0)</f>
        <v>68</v>
      </c>
      <c r="G17" s="13" t="n">
        <f aca="false">IF(F17&gt;0,LN(F17),0)</f>
        <v>4.21950770517611</v>
      </c>
      <c r="H17" s="13" t="n">
        <f aca="false">IF(F17&gt;0,G17-SUMIFS(G$7:G$66,A$7:A$66,A17,F$7:F$66,"&gt;0")/COUNTIFS(A$7:A$66,A17,F$7:F$66,"&gt;0"),0)</f>
        <v>-0.982080883537392</v>
      </c>
      <c r="I17" s="13" t="n">
        <f aca="false">IF(F17&gt;0,IF(COUNTIFS(A$7:A17,A17,F$7:F17,"&gt;0")=1,1,0),0)</f>
        <v>1</v>
      </c>
      <c r="J17" s="13" t="n">
        <f aca="false">IF(F17&gt;0,B17-SUMIFS(B$7:B$66,A$7:A$66,A17,F$7:F$66,"&gt;0")/COUNTIFS(A$7:A$66,A17,F$7:F$66,"&gt;0"),0)</f>
        <v>-9.92</v>
      </c>
    </row>
    <row r="18" customFormat="false" ht="15" hidden="false" customHeight="false" outlineLevel="0" collapsed="false">
      <c r="A18" s="12" t="n">
        <v>3</v>
      </c>
      <c r="B18" s="12" t="n">
        <v>14.5</v>
      </c>
      <c r="C18" s="12" t="n">
        <v>35</v>
      </c>
      <c r="D18" s="12" t="n">
        <v>31</v>
      </c>
      <c r="E18" s="12" t="n">
        <v>15</v>
      </c>
      <c r="F18" s="13" t="n">
        <f aca="false">IF(AND(ISNUMBER(C18),ISNUMBER(D18),ISNUMBER(E18)),(C18+D18)/2/E18*60,0)</f>
        <v>132</v>
      </c>
      <c r="G18" s="13" t="n">
        <f aca="false">IF(F18&gt;0,LN(F18),0)</f>
        <v>4.88280192258637</v>
      </c>
      <c r="H18" s="13" t="n">
        <f aca="false">IF(F18&gt;0,G18-SUMIFS(G$7:G$66,A$7:A$66,A18,F$7:F$66,"&gt;0")/COUNTIFS(A$7:A$66,A18,F$7:F$66,"&gt;0"),0)</f>
        <v>-0.318786666127129</v>
      </c>
      <c r="I18" s="13" t="n">
        <f aca="false">IF(F18&gt;0,IF(COUNTIFS(A$7:A18,A18,F$7:F18,"&gt;0")=1,1,0),0)</f>
        <v>0</v>
      </c>
      <c r="J18" s="13" t="n">
        <f aca="false">IF(F18&gt;0,B18-SUMIFS(B$7:B$66,A$7:A$66,A18,F$7:F$66,"&gt;0")/COUNTIFS(A$7:A$66,A18,F$7:F$66,"&gt;0"),0)</f>
        <v>-5.32</v>
      </c>
    </row>
    <row r="19" customFormat="false" ht="15" hidden="false" customHeight="false" outlineLevel="0" collapsed="false">
      <c r="A19" s="12" t="n">
        <v>3</v>
      </c>
      <c r="B19" s="12" t="n">
        <v>19.6</v>
      </c>
      <c r="C19" s="12" t="n">
        <v>45</v>
      </c>
      <c r="D19" s="12" t="n">
        <v>46</v>
      </c>
      <c r="E19" s="12" t="n">
        <v>15</v>
      </c>
      <c r="F19" s="13" t="n">
        <f aca="false">IF(AND(ISNUMBER(C19),ISNUMBER(D19),ISNUMBER(E19)),(C19+D19)/2/E19*60,0)</f>
        <v>182</v>
      </c>
      <c r="G19" s="13" t="n">
        <f aca="false">IF(F19&gt;0,LN(F19),0)</f>
        <v>5.2040066870768</v>
      </c>
      <c r="H19" s="13" t="n">
        <f aca="false">IF(F19&gt;0,G19-SUMIFS(G$7:G$66,A$7:A$66,A19,F$7:F$66,"&gt;0")/COUNTIFS(A$7:A$66,A19,F$7:F$66,"&gt;0"),0)</f>
        <v>0.00241809836329576</v>
      </c>
      <c r="I19" s="13" t="n">
        <f aca="false">IF(F19&gt;0,IF(COUNTIFS(A$7:A19,A19,F$7:F19,"&gt;0")=1,1,0),0)</f>
        <v>0</v>
      </c>
      <c r="J19" s="13" t="n">
        <f aca="false">IF(F19&gt;0,B19-SUMIFS(B$7:B$66,A$7:A$66,A19,F$7:F$66,"&gt;0")/COUNTIFS(A$7:A$66,A19,F$7:F$66,"&gt;0"),0)</f>
        <v>-0.219999999999999</v>
      </c>
    </row>
    <row r="20" customFormat="false" ht="15" hidden="false" customHeight="false" outlineLevel="0" collapsed="false">
      <c r="A20" s="12" t="n">
        <v>3</v>
      </c>
      <c r="B20" s="12" t="n">
        <v>25.2</v>
      </c>
      <c r="C20" s="12" t="n">
        <v>67</v>
      </c>
      <c r="D20" s="12" t="n">
        <v>69</v>
      </c>
      <c r="E20" s="12" t="n">
        <v>15</v>
      </c>
      <c r="F20" s="13" t="n">
        <f aca="false">IF(AND(ISNUMBER(C20),ISNUMBER(D20),ISNUMBER(E20)),(C20+D20)/2/E20*60,0)</f>
        <v>272</v>
      </c>
      <c r="G20" s="13" t="n">
        <f aca="false">IF(F20&gt;0,LN(F20),0)</f>
        <v>5.605802066296</v>
      </c>
      <c r="H20" s="13" t="n">
        <f aca="false">IF(F20&gt;0,G20-SUMIFS(G$7:G$66,A$7:A$66,A20,F$7:F$66,"&gt;0")/COUNTIFS(A$7:A$66,A20,F$7:F$66,"&gt;0"),0)</f>
        <v>0.404213477582498</v>
      </c>
      <c r="I20" s="13" t="n">
        <f aca="false">IF(F20&gt;0,IF(COUNTIFS(A$7:A20,A20,F$7:F20,"&gt;0")=1,1,0),0)</f>
        <v>0</v>
      </c>
      <c r="J20" s="13" t="n">
        <f aca="false">IF(F20&gt;0,B20-SUMIFS(B$7:B$66,A$7:A$66,A20,F$7:F$66,"&gt;0")/COUNTIFS(A$7:A$66,A20,F$7:F$66,"&gt;0"),0)</f>
        <v>5.38</v>
      </c>
    </row>
    <row r="21" customFormat="false" ht="15" hidden="false" customHeight="false" outlineLevel="0" collapsed="false">
      <c r="A21" s="12" t="n">
        <v>3</v>
      </c>
      <c r="B21" s="12" t="n">
        <v>29.9</v>
      </c>
      <c r="C21" s="12" t="n">
        <v>115</v>
      </c>
      <c r="D21" s="12" t="n">
        <v>107</v>
      </c>
      <c r="E21" s="12" t="n">
        <v>15</v>
      </c>
      <c r="F21" s="13" t="n">
        <f aca="false">IF(AND(ISNUMBER(C21),ISNUMBER(D21),ISNUMBER(E21)),(C21+D21)/2/E21*60,0)</f>
        <v>444</v>
      </c>
      <c r="G21" s="13" t="n">
        <f aca="false">IF(F21&gt;0,LN(F21),0)</f>
        <v>6.09582456243223</v>
      </c>
      <c r="H21" s="13" t="n">
        <f aca="false">IF(F21&gt;0,G21-SUMIFS(G$7:G$66,A$7:A$66,A21,F$7:F$66,"&gt;0")/COUNTIFS(A$7:A$66,A21,F$7:F$66,"&gt;0"),0)</f>
        <v>0.894235973718725</v>
      </c>
      <c r="I21" s="13" t="n">
        <f aca="false">IF(F21&gt;0,IF(COUNTIFS(A$7:A21,A21,F$7:F21,"&gt;0")=1,1,0),0)</f>
        <v>0</v>
      </c>
      <c r="J21" s="13" t="n">
        <f aca="false">IF(F21&gt;0,B21-SUMIFS(B$7:B$66,A$7:A$66,A21,F$7:F$66,"&gt;0")/COUNTIFS(A$7:A$66,A21,F$7:F$66,"&gt;0"),0)</f>
        <v>10.08</v>
      </c>
    </row>
    <row r="22" customFormat="false" ht="15" hidden="false" customHeight="false" outlineLevel="0" collapsed="false">
      <c r="A22" s="12" t="n">
        <v>4</v>
      </c>
      <c r="B22" s="12" t="n">
        <v>10</v>
      </c>
      <c r="C22" s="12" t="n">
        <v>28</v>
      </c>
      <c r="D22" s="12" t="n">
        <v>22</v>
      </c>
      <c r="E22" s="12" t="n">
        <v>15</v>
      </c>
      <c r="F22" s="13" t="n">
        <f aca="false">IF(AND(ISNUMBER(C22),ISNUMBER(D22),ISNUMBER(E22)),(C22+D22)/2/E22*60,0)</f>
        <v>100</v>
      </c>
      <c r="G22" s="13" t="n">
        <f aca="false">IF(F22&gt;0,LN(F22),0)</f>
        <v>4.60517018598809</v>
      </c>
      <c r="H22" s="13" t="n">
        <f aca="false">IF(F22&gt;0,G22-SUMIFS(G$7:G$66,A$7:A$66,A22,F$7:F$66,"&gt;0")/COUNTIFS(A$7:A$66,A22,F$7:F$66,"&gt;0"),0)</f>
        <v>-0.781481274953833</v>
      </c>
      <c r="I22" s="13" t="n">
        <f aca="false">IF(F22&gt;0,IF(COUNTIFS(A$7:A22,A22,F$7:F22,"&gt;0")=1,1,0),0)</f>
        <v>1</v>
      </c>
      <c r="J22" s="13" t="n">
        <f aca="false">IF(F22&gt;0,B22-SUMIFS(B$7:B$66,A$7:A$66,A22,F$7:F$66,"&gt;0")/COUNTIFS(A$7:A$66,A22,F$7:F$66,"&gt;0"),0)</f>
        <v>-10</v>
      </c>
    </row>
    <row r="23" customFormat="false" ht="15" hidden="false" customHeight="false" outlineLevel="0" collapsed="false">
      <c r="A23" s="12" t="n">
        <v>4</v>
      </c>
      <c r="B23" s="12" t="n">
        <v>15</v>
      </c>
      <c r="C23" s="12" t="n">
        <v>37</v>
      </c>
      <c r="D23" s="12" t="n">
        <v>31</v>
      </c>
      <c r="E23" s="12" t="n">
        <v>15</v>
      </c>
      <c r="F23" s="13" t="n">
        <f aca="false">IF(AND(ISNUMBER(C23),ISNUMBER(D23),ISNUMBER(E23)),(C23+D23)/2/E23*60,0)</f>
        <v>136</v>
      </c>
      <c r="G23" s="13" t="n">
        <f aca="false">IF(F23&gt;0,LN(F23),0)</f>
        <v>4.91265488573605</v>
      </c>
      <c r="H23" s="13" t="n">
        <f aca="false">IF(F23&gt;0,G23-SUMIFS(G$7:G$66,A$7:A$66,A23,F$7:F$66,"&gt;0")/COUNTIFS(A$7:A$66,A23,F$7:F$66,"&gt;0"),0)</f>
        <v>-0.473996575205873</v>
      </c>
      <c r="I23" s="13" t="n">
        <f aca="false">IF(F23&gt;0,IF(COUNTIFS(A$7:A23,A23,F$7:F23,"&gt;0")=1,1,0),0)</f>
        <v>0</v>
      </c>
      <c r="J23" s="13" t="n">
        <f aca="false">IF(F23&gt;0,B23-SUMIFS(B$7:B$66,A$7:A$66,A23,F$7:F$66,"&gt;0")/COUNTIFS(A$7:A$66,A23,F$7:F$66,"&gt;0"),0)</f>
        <v>-5</v>
      </c>
    </row>
    <row r="24" customFormat="false" ht="15" hidden="false" customHeight="false" outlineLevel="0" collapsed="false">
      <c r="A24" s="12" t="n">
        <v>4</v>
      </c>
      <c r="B24" s="12" t="n">
        <v>20.6</v>
      </c>
      <c r="C24" s="12" t="n">
        <v>58</v>
      </c>
      <c r="D24" s="12" t="n">
        <v>53</v>
      </c>
      <c r="E24" s="12" t="n">
        <v>15</v>
      </c>
      <c r="F24" s="13" t="n">
        <f aca="false">IF(AND(ISNUMBER(C24),ISNUMBER(D24),ISNUMBER(E24)),(C24+D24)/2/E24*60,0)</f>
        <v>222</v>
      </c>
      <c r="G24" s="13" t="n">
        <f aca="false">IF(F24&gt;0,LN(F24),0)</f>
        <v>5.40267738187228</v>
      </c>
      <c r="H24" s="13" t="n">
        <f aca="false">IF(F24&gt;0,G24-SUMIFS(G$7:G$66,A$7:A$66,A24,F$7:F$66,"&gt;0")/COUNTIFS(A$7:A$66,A24,F$7:F$66,"&gt;0"),0)</f>
        <v>0.0160259209303542</v>
      </c>
      <c r="I24" s="13" t="n">
        <f aca="false">IF(F24&gt;0,IF(COUNTIFS(A$7:A24,A24,F$7:F24,"&gt;0")=1,1,0),0)</f>
        <v>0</v>
      </c>
      <c r="J24" s="13" t="n">
        <f aca="false">IF(F24&gt;0,B24-SUMIFS(B$7:B$66,A$7:A$66,A24,F$7:F$66,"&gt;0")/COUNTIFS(A$7:A$66,A24,F$7:F$66,"&gt;0"),0)</f>
        <v>0.600000000000001</v>
      </c>
    </row>
    <row r="25" customFormat="false" ht="15" hidden="false" customHeight="false" outlineLevel="0" collapsed="false">
      <c r="A25" s="12" t="n">
        <v>4</v>
      </c>
      <c r="B25" s="12" t="n">
        <v>25</v>
      </c>
      <c r="C25" s="12" t="n">
        <v>83</v>
      </c>
      <c r="D25" s="12" t="n">
        <v>88</v>
      </c>
      <c r="E25" s="12" t="n">
        <v>15</v>
      </c>
      <c r="F25" s="13" t="n">
        <f aca="false">IF(AND(ISNUMBER(C25),ISNUMBER(D25),ISNUMBER(E25)),(C25+D25)/2/E25*60,0)</f>
        <v>342</v>
      </c>
      <c r="G25" s="13" t="n">
        <f aca="false">IF(F25&gt;0,LN(F25),0)</f>
        <v>5.83481073706261</v>
      </c>
      <c r="H25" s="13" t="n">
        <f aca="false">IF(F25&gt;0,G25-SUMIFS(G$7:G$66,A$7:A$66,A25,F$7:F$66,"&gt;0")/COUNTIFS(A$7:A$66,A25,F$7:F$66,"&gt;0"),0)</f>
        <v>0.44815927612068</v>
      </c>
      <c r="I25" s="13" t="n">
        <f aca="false">IF(F25&gt;0,IF(COUNTIFS(A$7:A25,A25,F$7:F25,"&gt;0")=1,1,0),0)</f>
        <v>0</v>
      </c>
      <c r="J25" s="13" t="n">
        <f aca="false">IF(F25&gt;0,B25-SUMIFS(B$7:B$66,A$7:A$66,A25,F$7:F$66,"&gt;0")/COUNTIFS(A$7:A$66,A25,F$7:F$66,"&gt;0"),0)</f>
        <v>5</v>
      </c>
    </row>
    <row r="26" customFormat="false" ht="15" hidden="false" customHeight="false" outlineLevel="0" collapsed="false">
      <c r="A26" s="12" t="n">
        <v>4</v>
      </c>
      <c r="B26" s="12" t="n">
        <v>29.4</v>
      </c>
      <c r="C26" s="12" t="n">
        <v>114</v>
      </c>
      <c r="D26" s="12" t="n">
        <v>127</v>
      </c>
      <c r="E26" s="12" t="n">
        <v>15</v>
      </c>
      <c r="F26" s="13" t="n">
        <f aca="false">IF(AND(ISNUMBER(C26),ISNUMBER(D26),ISNUMBER(E26)),(C26+D26)/2/E26*60,0)</f>
        <v>482</v>
      </c>
      <c r="G26" s="13" t="n">
        <f aca="false">IF(F26&gt;0,LN(F26),0)</f>
        <v>6.1779441140506</v>
      </c>
      <c r="H26" s="13" t="n">
        <f aca="false">IF(F26&gt;0,G26-SUMIFS(G$7:G$66,A$7:A$66,A26,F$7:F$66,"&gt;0")/COUNTIFS(A$7:A$66,A26,F$7:F$66,"&gt;0"),0)</f>
        <v>0.791292653108675</v>
      </c>
      <c r="I26" s="13" t="n">
        <f aca="false">IF(F26&gt;0,IF(COUNTIFS(A$7:A26,A26,F$7:F26,"&gt;0")=1,1,0),0)</f>
        <v>0</v>
      </c>
      <c r="J26" s="13" t="n">
        <f aca="false">IF(F26&gt;0,B26-SUMIFS(B$7:B$66,A$7:A$66,A26,F$7:F$66,"&gt;0")/COUNTIFS(A$7:A$66,A26,F$7:F$66,"&gt;0"),0)</f>
        <v>9.4</v>
      </c>
    </row>
    <row r="27" customFormat="false" ht="15" hidden="false" customHeight="false" outlineLevel="0" collapsed="false">
      <c r="A27" s="12" t="n">
        <v>5</v>
      </c>
      <c r="B27" s="12" t="n">
        <v>10.4</v>
      </c>
      <c r="C27" s="12" t="n">
        <v>21</v>
      </c>
      <c r="D27" s="12" t="n">
        <v>16</v>
      </c>
      <c r="E27" s="12" t="n">
        <v>15</v>
      </c>
      <c r="F27" s="13" t="n">
        <f aca="false">IF(AND(ISNUMBER(C27),ISNUMBER(D27),ISNUMBER(E27)),(C27+D27)/2/E27*60,0)</f>
        <v>74</v>
      </c>
      <c r="G27" s="13" t="n">
        <f aca="false">IF(F27&gt;0,LN(F27),0)</f>
        <v>4.30406509320417</v>
      </c>
      <c r="H27" s="13" t="n">
        <f aca="false">IF(F27&gt;0,G27-SUMIFS(G$7:G$66,A$7:A$66,A27,F$7:F$66,"&gt;0")/COUNTIFS(A$7:A$66,A27,F$7:F$66,"&gt;0"),0)</f>
        <v>-0.783596555217915</v>
      </c>
      <c r="I27" s="13" t="n">
        <f aca="false">IF(F27&gt;0,IF(COUNTIFS(A$7:A27,A27,F$7:F27,"&gt;0")=1,1,0),0)</f>
        <v>1</v>
      </c>
      <c r="J27" s="13" t="n">
        <f aca="false">IF(F27&gt;0,B27-SUMIFS(B$7:B$66,A$7:A$66,A27,F$7:F$66,"&gt;0")/COUNTIFS(A$7:A$66,A27,F$7:F$66,"&gt;0"),0)</f>
        <v>-9.78</v>
      </c>
    </row>
    <row r="28" customFormat="false" ht="15" hidden="false" customHeight="false" outlineLevel="0" collapsed="false">
      <c r="A28" s="12" t="n">
        <v>5</v>
      </c>
      <c r="B28" s="12" t="n">
        <v>15.1</v>
      </c>
      <c r="C28" s="12" t="n">
        <v>22</v>
      </c>
      <c r="D28" s="12" t="n">
        <v>35</v>
      </c>
      <c r="E28" s="12" t="n">
        <v>15</v>
      </c>
      <c r="F28" s="13" t="n">
        <f aca="false">IF(AND(ISNUMBER(C28),ISNUMBER(D28),ISNUMBER(E28)),(C28+D28)/2/E28*60,0)</f>
        <v>114</v>
      </c>
      <c r="G28" s="13" t="n">
        <f aca="false">IF(F28&gt;0,LN(F28),0)</f>
        <v>4.7361984483945</v>
      </c>
      <c r="H28" s="13" t="n">
        <f aca="false">IF(F28&gt;0,G28-SUMIFS(G$7:G$66,A$7:A$66,A28,F$7:F$66,"&gt;0")/COUNTIFS(A$7:A$66,A28,F$7:F$66,"&gt;0"),0)</f>
        <v>-0.351463200027589</v>
      </c>
      <c r="I28" s="13" t="n">
        <f aca="false">IF(F28&gt;0,IF(COUNTIFS(A$7:A28,A28,F$7:F28,"&gt;0")=1,1,0),0)</f>
        <v>0</v>
      </c>
      <c r="J28" s="13" t="n">
        <f aca="false">IF(F28&gt;0,B28-SUMIFS(B$7:B$66,A$7:A$66,A28,F$7:F$66,"&gt;0")/COUNTIFS(A$7:A$66,A28,F$7:F$66,"&gt;0"),0)</f>
        <v>-5.08</v>
      </c>
    </row>
    <row r="29" customFormat="false" ht="15" hidden="false" customHeight="false" outlineLevel="0" collapsed="false">
      <c r="A29" s="12" t="n">
        <v>5</v>
      </c>
      <c r="B29" s="12" t="n">
        <v>20.1</v>
      </c>
      <c r="C29" s="12" t="n">
        <v>37</v>
      </c>
      <c r="D29" s="12" t="n">
        <v>30</v>
      </c>
      <c r="E29" s="12" t="n">
        <v>15</v>
      </c>
      <c r="F29" s="13" t="n">
        <f aca="false">IF(AND(ISNUMBER(C29),ISNUMBER(D29),ISNUMBER(E29)),(C29+D29)/2/E29*60,0)</f>
        <v>134</v>
      </c>
      <c r="G29" s="13" t="n">
        <f aca="false">IF(F29&gt;0,LN(F29),0)</f>
        <v>4.89783979995091</v>
      </c>
      <c r="H29" s="13" t="n">
        <f aca="false">IF(F29&gt;0,G29-SUMIFS(G$7:G$66,A$7:A$66,A29,F$7:F$66,"&gt;0")/COUNTIFS(A$7:A$66,A29,F$7:F$66,"&gt;0"),0)</f>
        <v>-0.189821848471174</v>
      </c>
      <c r="I29" s="13" t="n">
        <f aca="false">IF(F29&gt;0,IF(COUNTIFS(A$7:A29,A29,F$7:F29,"&gt;0")=1,1,0),0)</f>
        <v>0</v>
      </c>
      <c r="J29" s="13" t="n">
        <f aca="false">IF(F29&gt;0,B29-SUMIFS(B$7:B$66,A$7:A$66,A29,F$7:F$66,"&gt;0")/COUNTIFS(A$7:A$66,A29,F$7:F$66,"&gt;0"),0)</f>
        <v>-0.0799999999999983</v>
      </c>
    </row>
    <row r="30" customFormat="false" ht="15" hidden="false" customHeight="false" outlineLevel="0" collapsed="false">
      <c r="A30" s="12" t="n">
        <v>5</v>
      </c>
      <c r="B30" s="12" t="n">
        <v>25.2</v>
      </c>
      <c r="C30" s="12" t="n">
        <v>70</v>
      </c>
      <c r="D30" s="12" t="n">
        <v>62</v>
      </c>
      <c r="E30" s="12" t="n">
        <v>15</v>
      </c>
      <c r="F30" s="13" t="n">
        <f aca="false">IF(AND(ISNUMBER(C30),ISNUMBER(D30),ISNUMBER(E30)),(C30+D30)/2/E30*60,0)</f>
        <v>264</v>
      </c>
      <c r="G30" s="13" t="n">
        <f aca="false">IF(F30&gt;0,LN(F30),0)</f>
        <v>5.57594910314632</v>
      </c>
      <c r="H30" s="13" t="n">
        <f aca="false">IF(F30&gt;0,G30-SUMIFS(G$7:G$66,A$7:A$66,A30,F$7:F$66,"&gt;0")/COUNTIFS(A$7:A$66,A30,F$7:F$66,"&gt;0"),0)</f>
        <v>0.488287454724231</v>
      </c>
      <c r="I30" s="13" t="n">
        <f aca="false">IF(F30&gt;0,IF(COUNTIFS(A$7:A30,A30,F$7:F30,"&gt;0")=1,1,0),0)</f>
        <v>0</v>
      </c>
      <c r="J30" s="13" t="n">
        <f aca="false">IF(F30&gt;0,B30-SUMIFS(B$7:B$66,A$7:A$66,A30,F$7:F$66,"&gt;0")/COUNTIFS(A$7:A$66,A30,F$7:F$66,"&gt;0"),0)</f>
        <v>5.02</v>
      </c>
    </row>
    <row r="31" customFormat="false" ht="15" hidden="false" customHeight="false" outlineLevel="0" collapsed="false">
      <c r="A31" s="12" t="n">
        <v>5</v>
      </c>
      <c r="B31" s="12" t="n">
        <v>30.1</v>
      </c>
      <c r="C31" s="12" t="n">
        <v>93</v>
      </c>
      <c r="D31" s="12" t="n">
        <v>94</v>
      </c>
      <c r="E31" s="12" t="n">
        <v>15</v>
      </c>
      <c r="F31" s="13" t="n">
        <f aca="false">IF(AND(ISNUMBER(C31),ISNUMBER(D31),ISNUMBER(E31)),(C31+D31)/2/E31*60,0)</f>
        <v>374</v>
      </c>
      <c r="G31" s="13" t="n">
        <f aca="false">IF(F31&gt;0,LN(F31),0)</f>
        <v>5.92425579741453</v>
      </c>
      <c r="H31" s="13" t="n">
        <f aca="false">IF(F31&gt;0,G31-SUMIFS(G$7:G$66,A$7:A$66,A31,F$7:F$66,"&gt;0")/COUNTIFS(A$7:A$66,A31,F$7:F$66,"&gt;0"),0)</f>
        <v>0.836594148992448</v>
      </c>
      <c r="I31" s="13" t="n">
        <f aca="false">IF(F31&gt;0,IF(COUNTIFS(A$7:A31,A31,F$7:F31,"&gt;0")=1,1,0),0)</f>
        <v>0</v>
      </c>
      <c r="J31" s="13" t="n">
        <f aca="false">IF(F31&gt;0,B31-SUMIFS(B$7:B$66,A$7:A$66,A31,F$7:F$66,"&gt;0")/COUNTIFS(A$7:A$66,A31,F$7:F$66,"&gt;0"),0)</f>
        <v>9.92</v>
      </c>
    </row>
    <row r="32" customFormat="false" ht="15" hidden="false" customHeight="false" outlineLevel="0" collapsed="false">
      <c r="A32" s="12" t="n">
        <v>6</v>
      </c>
      <c r="B32" s="12" t="n">
        <v>10.1</v>
      </c>
      <c r="C32" s="12" t="n">
        <v>19</v>
      </c>
      <c r="D32" s="12" t="n">
        <v>18</v>
      </c>
      <c r="E32" s="12" t="n">
        <v>15</v>
      </c>
      <c r="F32" s="13" t="n">
        <f aca="false">IF(AND(ISNUMBER(C32),ISNUMBER(D32),ISNUMBER(E32)),(C32+D32)/2/E32*60,0)</f>
        <v>74</v>
      </c>
      <c r="G32" s="13" t="n">
        <f aca="false">IF(F32&gt;0,LN(F32),0)</f>
        <v>4.30406509320417</v>
      </c>
      <c r="H32" s="13" t="n">
        <f aca="false">IF(F32&gt;0,G32-SUMIFS(G$7:G$66,A$7:A$66,A32,F$7:F$66,"&gt;0")/COUNTIFS(A$7:A$66,A32,F$7:F$66,"&gt;0"),0)</f>
        <v>-0.851239360128296</v>
      </c>
      <c r="I32" s="13" t="n">
        <f aca="false">IF(F32&gt;0,IF(COUNTIFS(A$7:A32,A32,F$7:F32,"&gt;0")=1,1,0),0)</f>
        <v>1</v>
      </c>
      <c r="J32" s="13" t="n">
        <f aca="false">IF(F32&gt;0,B32-SUMIFS(B$7:B$66,A$7:A$66,A32,F$7:F$66,"&gt;0")/COUNTIFS(A$7:A$66,A32,F$7:F$66,"&gt;0"),0)</f>
        <v>-10.02</v>
      </c>
    </row>
    <row r="33" customFormat="false" ht="15" hidden="false" customHeight="false" outlineLevel="0" collapsed="false">
      <c r="A33" s="12" t="n">
        <v>6</v>
      </c>
      <c r="B33" s="12" t="n">
        <v>15.2</v>
      </c>
      <c r="C33" s="12" t="n">
        <v>28</v>
      </c>
      <c r="D33" s="12" t="n">
        <v>31</v>
      </c>
      <c r="E33" s="12" t="n">
        <v>15</v>
      </c>
      <c r="F33" s="13" t="n">
        <f aca="false">IF(AND(ISNUMBER(C33),ISNUMBER(D33),ISNUMBER(E33)),(C33+D33)/2/E33*60,0)</f>
        <v>118</v>
      </c>
      <c r="G33" s="13" t="n">
        <f aca="false">IF(F33&gt;0,LN(F33),0)</f>
        <v>4.77068462446567</v>
      </c>
      <c r="H33" s="13" t="n">
        <f aca="false">IF(F33&gt;0,G33-SUMIFS(G$7:G$66,A$7:A$66,A33,F$7:F$66,"&gt;0")/COUNTIFS(A$7:A$66,A33,F$7:F$66,"&gt;0"),0)</f>
        <v>-0.384619828866801</v>
      </c>
      <c r="I33" s="13" t="n">
        <f aca="false">IF(F33&gt;0,IF(COUNTIFS(A$7:A33,A33,F$7:F33,"&gt;0")=1,1,0),0)</f>
        <v>0</v>
      </c>
      <c r="J33" s="13" t="n">
        <f aca="false">IF(F33&gt;0,B33-SUMIFS(B$7:B$66,A$7:A$66,A33,F$7:F$66,"&gt;0")/COUNTIFS(A$7:A$66,A33,F$7:F$66,"&gt;0"),0)</f>
        <v>-4.92</v>
      </c>
    </row>
    <row r="34" customFormat="false" ht="15" hidden="false" customHeight="false" outlineLevel="0" collapsed="false">
      <c r="A34" s="12" t="n">
        <v>6</v>
      </c>
      <c r="B34" s="12" t="n">
        <v>20</v>
      </c>
      <c r="C34" s="12" t="n">
        <v>40</v>
      </c>
      <c r="D34" s="12" t="n">
        <v>47</v>
      </c>
      <c r="E34" s="12" t="n">
        <v>15</v>
      </c>
      <c r="F34" s="13" t="n">
        <f aca="false">IF(AND(ISNUMBER(C34),ISNUMBER(D34),ISNUMBER(E34)),(C34+D34)/2/E34*60,0)</f>
        <v>174</v>
      </c>
      <c r="G34" s="13" t="n">
        <f aca="false">IF(F34&gt;0,LN(F34),0)</f>
        <v>5.15905529921453</v>
      </c>
      <c r="H34" s="13" t="n">
        <f aca="false">IF(F34&gt;0,G34-SUMIFS(G$7:G$66,A$7:A$66,A34,F$7:F$66,"&gt;0")/COUNTIFS(A$7:A$66,A34,F$7:F$66,"&gt;0"),0)</f>
        <v>0.0037508458820632</v>
      </c>
      <c r="I34" s="13" t="n">
        <f aca="false">IF(F34&gt;0,IF(COUNTIFS(A$7:A34,A34,F$7:F34,"&gt;0")=1,1,0),0)</f>
        <v>0</v>
      </c>
      <c r="J34" s="13" t="n">
        <f aca="false">IF(F34&gt;0,B34-SUMIFS(B$7:B$66,A$7:A$66,A34,F$7:F$66,"&gt;0")/COUNTIFS(A$7:A$66,A34,F$7:F$66,"&gt;0"),0)</f>
        <v>-0.119999999999997</v>
      </c>
    </row>
    <row r="35" customFormat="false" ht="15" hidden="false" customHeight="false" outlineLevel="0" collapsed="false">
      <c r="A35" s="12" t="n">
        <v>6</v>
      </c>
      <c r="B35" s="12" t="n">
        <v>25.4</v>
      </c>
      <c r="C35" s="12" t="n">
        <v>80</v>
      </c>
      <c r="D35" s="12" t="n">
        <v>57</v>
      </c>
      <c r="E35" s="12" t="n">
        <v>15</v>
      </c>
      <c r="F35" s="13" t="n">
        <f aca="false">IF(AND(ISNUMBER(C35),ISNUMBER(D35),ISNUMBER(E35)),(C35+D35)/2/E35*60,0)</f>
        <v>274</v>
      </c>
      <c r="G35" s="13" t="n">
        <f aca="false">IF(F35&gt;0,LN(F35),0)</f>
        <v>5.61312810638807</v>
      </c>
      <c r="H35" s="13" t="n">
        <f aca="false">IF(F35&gt;0,G35-SUMIFS(G$7:G$66,A$7:A$66,A35,F$7:F$66,"&gt;0")/COUNTIFS(A$7:A$66,A35,F$7:F$66,"&gt;0"),0)</f>
        <v>0.457823653055605</v>
      </c>
      <c r="I35" s="13" t="n">
        <f aca="false">IF(F35&gt;0,IF(COUNTIFS(A$7:A35,A35,F$7:F35,"&gt;0")=1,1,0),0)</f>
        <v>0</v>
      </c>
      <c r="J35" s="13" t="n">
        <f aca="false">IF(F35&gt;0,B35-SUMIFS(B$7:B$66,A$7:A$66,A35,F$7:F$66,"&gt;0")/COUNTIFS(A$7:A$66,A35,F$7:F$66,"&gt;0"),0)</f>
        <v>5.28</v>
      </c>
    </row>
    <row r="36" customFormat="false" ht="15" hidden="false" customHeight="false" outlineLevel="0" collapsed="false">
      <c r="A36" s="12" t="n">
        <v>6</v>
      </c>
      <c r="B36" s="12" t="n">
        <v>29.9</v>
      </c>
      <c r="C36" s="12" t="n">
        <v>89</v>
      </c>
      <c r="D36" s="12" t="n">
        <v>99</v>
      </c>
      <c r="E36" s="12" t="n">
        <v>15</v>
      </c>
      <c r="F36" s="13" t="n">
        <f aca="false">IF(AND(ISNUMBER(C36),ISNUMBER(D36),ISNUMBER(E36)),(C36+D36)/2/E36*60,0)</f>
        <v>376</v>
      </c>
      <c r="G36" s="13" t="n">
        <f aca="false">IF(F36&gt;0,LN(F36),0)</f>
        <v>5.9295891433899</v>
      </c>
      <c r="H36" s="13" t="n">
        <f aca="false">IF(F36&gt;0,G36-SUMIFS(G$7:G$66,A$7:A$66,A36,F$7:F$66,"&gt;0")/COUNTIFS(A$7:A$66,A36,F$7:F$66,"&gt;0"),0)</f>
        <v>0.774284690057429</v>
      </c>
      <c r="I36" s="13" t="n">
        <f aca="false">IF(F36&gt;0,IF(COUNTIFS(A$7:A36,A36,F$7:F36,"&gt;0")=1,1,0),0)</f>
        <v>0</v>
      </c>
      <c r="J36" s="13" t="n">
        <f aca="false">IF(F36&gt;0,B36-SUMIFS(B$7:B$66,A$7:A$66,A36,F$7:F$66,"&gt;0")/COUNTIFS(A$7:A$66,A36,F$7:F$66,"&gt;0"),0)</f>
        <v>9.78</v>
      </c>
    </row>
    <row r="37" customFormat="false" ht="15" hidden="false" customHeight="false" outlineLevel="0" collapsed="false">
      <c r="A37" s="12" t="n">
        <v>7</v>
      </c>
      <c r="B37" s="12" t="n">
        <v>10.1</v>
      </c>
      <c r="C37" s="12" t="n">
        <v>20</v>
      </c>
      <c r="D37" s="12" t="n">
        <v>28</v>
      </c>
      <c r="E37" s="12" t="n">
        <v>15</v>
      </c>
      <c r="F37" s="13" t="n">
        <f aca="false">IF(AND(ISNUMBER(C37),ISNUMBER(D37),ISNUMBER(E37)),(C37+D37)/2/E37*60,0)</f>
        <v>96</v>
      </c>
      <c r="G37" s="13" t="n">
        <f aca="false">IF(F37&gt;0,LN(F37),0)</f>
        <v>4.56434819146784</v>
      </c>
      <c r="H37" s="13" t="n">
        <f aca="false">IF(F37&gt;0,G37-SUMIFS(G$7:G$66,A$7:A$66,A37,F$7:F$66,"&gt;0")/COUNTIFS(A$7:A$66,A37,F$7:F$66,"&gt;0"),0)</f>
        <v>-0.689746580213844</v>
      </c>
      <c r="I37" s="13" t="n">
        <f aca="false">IF(F37&gt;0,IF(COUNTIFS(A$7:A37,A37,F$7:F37,"&gt;0")=1,1,0),0)</f>
        <v>1</v>
      </c>
      <c r="J37" s="13" t="n">
        <f aca="false">IF(F37&gt;0,B37-SUMIFS(B$7:B$66,A$7:A$66,A37,F$7:F$66,"&gt;0")/COUNTIFS(A$7:A$66,A37,F$7:F$66,"&gt;0"),0)</f>
        <v>-10.14</v>
      </c>
    </row>
    <row r="38" customFormat="false" ht="15" hidden="false" customHeight="false" outlineLevel="0" collapsed="false">
      <c r="A38" s="12" t="n">
        <v>7</v>
      </c>
      <c r="B38" s="12" t="n">
        <v>15.6</v>
      </c>
      <c r="C38" s="12" t="n">
        <v>28</v>
      </c>
      <c r="D38" s="12" t="n">
        <v>35</v>
      </c>
      <c r="E38" s="12" t="n">
        <v>15</v>
      </c>
      <c r="F38" s="13" t="n">
        <f aca="false">IF(AND(ISNUMBER(C38),ISNUMBER(D38),ISNUMBER(E38)),(C38+D38)/2/E38*60,0)</f>
        <v>126</v>
      </c>
      <c r="G38" s="13" t="n">
        <f aca="false">IF(F38&gt;0,LN(F38),0)</f>
        <v>4.83628190695148</v>
      </c>
      <c r="H38" s="13" t="n">
        <f aca="false">IF(F38&gt;0,G38-SUMIFS(G$7:G$66,A$7:A$66,A38,F$7:F$66,"&gt;0")/COUNTIFS(A$7:A$66,A38,F$7:F$66,"&gt;0"),0)</f>
        <v>-0.417812864730202</v>
      </c>
      <c r="I38" s="13" t="n">
        <f aca="false">IF(F38&gt;0,IF(COUNTIFS(A$7:A38,A38,F$7:F38,"&gt;0")=1,1,0),0)</f>
        <v>0</v>
      </c>
      <c r="J38" s="13" t="n">
        <f aca="false">IF(F38&gt;0,B38-SUMIFS(B$7:B$66,A$7:A$66,A38,F$7:F$66,"&gt;0")/COUNTIFS(A$7:A$66,A38,F$7:F$66,"&gt;0"),0)</f>
        <v>-4.64</v>
      </c>
    </row>
    <row r="39" customFormat="false" ht="15" hidden="false" customHeight="false" outlineLevel="0" collapsed="false">
      <c r="A39" s="12" t="n">
        <v>7</v>
      </c>
      <c r="B39" s="12" t="n">
        <v>20.4</v>
      </c>
      <c r="C39" s="12" t="n">
        <v>47</v>
      </c>
      <c r="D39" s="12" t="n">
        <v>48</v>
      </c>
      <c r="E39" s="12" t="n">
        <v>15</v>
      </c>
      <c r="F39" s="13" t="n">
        <f aca="false">IF(AND(ISNUMBER(C39),ISNUMBER(D39),ISNUMBER(E39)),(C39+D39)/2/E39*60,0)</f>
        <v>190</v>
      </c>
      <c r="G39" s="13" t="n">
        <f aca="false">IF(F39&gt;0,LN(F39),0)</f>
        <v>5.24702407216049</v>
      </c>
      <c r="H39" s="13" t="n">
        <f aca="false">IF(F39&gt;0,G39-SUMIFS(G$7:G$66,A$7:A$66,A39,F$7:F$66,"&gt;0")/COUNTIFS(A$7:A$66,A39,F$7:F$66,"&gt;0"),0)</f>
        <v>-0.00707069952119355</v>
      </c>
      <c r="I39" s="13" t="n">
        <f aca="false">IF(F39&gt;0,IF(COUNTIFS(A$7:A39,A39,F$7:F39,"&gt;0")=1,1,0),0)</f>
        <v>0</v>
      </c>
      <c r="J39" s="13" t="n">
        <f aca="false">IF(F39&gt;0,B39-SUMIFS(B$7:B$66,A$7:A$66,A39,F$7:F$66,"&gt;0")/COUNTIFS(A$7:A$66,A39,F$7:F$66,"&gt;0"),0)</f>
        <v>0.159999999999997</v>
      </c>
    </row>
    <row r="40" customFormat="false" ht="15" hidden="false" customHeight="false" outlineLevel="0" collapsed="false">
      <c r="A40" s="12" t="n">
        <v>7</v>
      </c>
      <c r="B40" s="12" t="n">
        <v>25.1</v>
      </c>
      <c r="C40" s="12" t="n">
        <v>62</v>
      </c>
      <c r="D40" s="12" t="n">
        <v>66</v>
      </c>
      <c r="E40" s="12" t="n">
        <v>15</v>
      </c>
      <c r="F40" s="13" t="n">
        <f aca="false">IF(AND(ISNUMBER(C40),ISNUMBER(D40),ISNUMBER(E40)),(C40+D40)/2/E40*60,0)</f>
        <v>256</v>
      </c>
      <c r="G40" s="13" t="n">
        <f aca="false">IF(F40&gt;0,LN(F40),0)</f>
        <v>5.54517744447956</v>
      </c>
      <c r="H40" s="13" t="n">
        <f aca="false">IF(F40&gt;0,G40-SUMIFS(G$7:G$66,A$7:A$66,A40,F$7:F$66,"&gt;0")/COUNTIFS(A$7:A$66,A40,F$7:F$66,"&gt;0"),0)</f>
        <v>0.291082672797883</v>
      </c>
      <c r="I40" s="13" t="n">
        <f aca="false">IF(F40&gt;0,IF(COUNTIFS(A$7:A40,A40,F$7:F40,"&gt;0")=1,1,0),0)</f>
        <v>0</v>
      </c>
      <c r="J40" s="13" t="n">
        <f aca="false">IF(F40&gt;0,B40-SUMIFS(B$7:B$66,A$7:A$66,A40,F$7:F$66,"&gt;0")/COUNTIFS(A$7:A$66,A40,F$7:F$66,"&gt;0"),0)</f>
        <v>4.86</v>
      </c>
    </row>
    <row r="41" customFormat="false" ht="15" hidden="false" customHeight="false" outlineLevel="0" collapsed="false">
      <c r="A41" s="12" t="n">
        <v>7</v>
      </c>
      <c r="B41" s="12" t="n">
        <v>30</v>
      </c>
      <c r="C41" s="12" t="n">
        <v>113</v>
      </c>
      <c r="D41" s="12" t="n">
        <v>105</v>
      </c>
      <c r="E41" s="12" t="n">
        <v>15</v>
      </c>
      <c r="F41" s="13" t="n">
        <f aca="false">IF(AND(ISNUMBER(C41),ISNUMBER(D41),ISNUMBER(E41)),(C41+D41)/2/E41*60,0)</f>
        <v>436</v>
      </c>
      <c r="G41" s="13" t="n">
        <f aca="false">IF(F41&gt;0,LN(F41),0)</f>
        <v>6.07764224334903</v>
      </c>
      <c r="H41" s="13" t="n">
        <f aca="false">IF(F41&gt;0,G41-SUMIFS(G$7:G$66,A$7:A$66,A41,F$7:F$66,"&gt;0")/COUNTIFS(A$7:A$66,A41,F$7:F$66,"&gt;0"),0)</f>
        <v>0.823547471667355</v>
      </c>
      <c r="I41" s="13" t="n">
        <f aca="false">IF(F41&gt;0,IF(COUNTIFS(A$7:A41,A41,F$7:F41,"&gt;0")=1,1,0),0)</f>
        <v>0</v>
      </c>
      <c r="J41" s="13" t="n">
        <f aca="false">IF(F41&gt;0,B41-SUMIFS(B$7:B$66,A$7:A$66,A41,F$7:F$66,"&gt;0")/COUNTIFS(A$7:A$66,A41,F$7:F$66,"&gt;0"),0)</f>
        <v>9.76</v>
      </c>
    </row>
    <row r="42" customFormat="false" ht="15" hidden="false" customHeight="false" outlineLevel="0" collapsed="false">
      <c r="A42" s="12" t="n">
        <v>8</v>
      </c>
      <c r="B42" s="12" t="n">
        <v>9.7</v>
      </c>
      <c r="C42" s="12" t="n">
        <v>24</v>
      </c>
      <c r="D42" s="12" t="n">
        <v>16</v>
      </c>
      <c r="E42" s="12" t="n">
        <v>15</v>
      </c>
      <c r="F42" s="13" t="n">
        <f aca="false">IF(AND(ISNUMBER(C42),ISNUMBER(D42),ISNUMBER(E42)),(C42+D42)/2/E42*60,0)</f>
        <v>80</v>
      </c>
      <c r="G42" s="13" t="n">
        <f aca="false">IF(F42&gt;0,LN(F42),0)</f>
        <v>4.38202663467388</v>
      </c>
      <c r="H42" s="13" t="n">
        <f aca="false">IF(F42&gt;0,G42-SUMIFS(G$7:G$66,A$7:A$66,A42,F$7:F$66,"&gt;0")/COUNTIFS(A$7:A$66,A42,F$7:F$66,"&gt;0"),0)</f>
        <v>-0.832064495324695</v>
      </c>
      <c r="I42" s="13" t="n">
        <f aca="false">IF(F42&gt;0,IF(COUNTIFS(A$7:A42,A42,F$7:F42,"&gt;0")=1,1,0),0)</f>
        <v>1</v>
      </c>
      <c r="J42" s="13" t="n">
        <f aca="false">IF(F42&gt;0,B42-SUMIFS(B$7:B$66,A$7:A$66,A42,F$7:F$66,"&gt;0")/COUNTIFS(A$7:A$66,A42,F$7:F$66,"&gt;0"),0)</f>
        <v>-10.28</v>
      </c>
    </row>
    <row r="43" customFormat="false" ht="15" hidden="false" customHeight="false" outlineLevel="0" collapsed="false">
      <c r="A43" s="12" t="n">
        <v>8</v>
      </c>
      <c r="B43" s="12" t="n">
        <v>14.7</v>
      </c>
      <c r="C43" s="12" t="n">
        <v>36</v>
      </c>
      <c r="D43" s="12" t="n">
        <v>19</v>
      </c>
      <c r="E43" s="12" t="n">
        <v>15</v>
      </c>
      <c r="F43" s="13" t="n">
        <f aca="false">IF(AND(ISNUMBER(C43),ISNUMBER(D43),ISNUMBER(E43)),(C43+D43)/2/E43*60,0)</f>
        <v>110</v>
      </c>
      <c r="G43" s="13" t="n">
        <f aca="false">IF(F43&gt;0,LN(F43),0)</f>
        <v>4.70048036579242</v>
      </c>
      <c r="H43" s="13" t="n">
        <f aca="false">IF(F43&gt;0,G43-SUMIFS(G$7:G$66,A$7:A$66,A43,F$7:F$66,"&gt;0")/COUNTIFS(A$7:A$66,A43,F$7:F$66,"&gt;0"),0)</f>
        <v>-0.51361076420616</v>
      </c>
      <c r="I43" s="13" t="n">
        <f aca="false">IF(F43&gt;0,IF(COUNTIFS(A$7:A43,A43,F$7:F43,"&gt;0")=1,1,0),0)</f>
        <v>0</v>
      </c>
      <c r="J43" s="13" t="n">
        <f aca="false">IF(F43&gt;0,B43-SUMIFS(B$7:B$66,A$7:A$66,A43,F$7:F$66,"&gt;0")/COUNTIFS(A$7:A$66,A43,F$7:F$66,"&gt;0"),0)</f>
        <v>-5.28</v>
      </c>
    </row>
    <row r="44" customFormat="false" ht="15" hidden="false" customHeight="false" outlineLevel="0" collapsed="false">
      <c r="A44" s="12" t="n">
        <v>8</v>
      </c>
      <c r="B44" s="12" t="n">
        <v>20.1</v>
      </c>
      <c r="C44" s="12" t="n">
        <v>44</v>
      </c>
      <c r="D44" s="12" t="n">
        <v>44</v>
      </c>
      <c r="E44" s="12" t="n">
        <v>15</v>
      </c>
      <c r="F44" s="13" t="n">
        <f aca="false">IF(AND(ISNUMBER(C44),ISNUMBER(D44),ISNUMBER(E44)),(C44+D44)/2/E44*60,0)</f>
        <v>176</v>
      </c>
      <c r="G44" s="13" t="n">
        <f aca="false">IF(F44&gt;0,LN(F44),0)</f>
        <v>5.17048399503815</v>
      </c>
      <c r="H44" s="13" t="n">
        <f aca="false">IF(F44&gt;0,G44-SUMIFS(G$7:G$66,A$7:A$66,A44,F$7:F$66,"&gt;0")/COUNTIFS(A$7:A$66,A44,F$7:F$66,"&gt;0"),0)</f>
        <v>-0.0436071349604248</v>
      </c>
      <c r="I44" s="13" t="n">
        <f aca="false">IF(F44&gt;0,IF(COUNTIFS(A$7:A44,A44,F$7:F44,"&gt;0")=1,1,0),0)</f>
        <v>0</v>
      </c>
      <c r="J44" s="13" t="n">
        <f aca="false">IF(F44&gt;0,B44-SUMIFS(B$7:B$66,A$7:A$66,A44,F$7:F$66,"&gt;0")/COUNTIFS(A$7:A$66,A44,F$7:F$66,"&gt;0"),0)</f>
        <v>0.120000000000001</v>
      </c>
    </row>
    <row r="45" customFormat="false" ht="15" hidden="false" customHeight="false" outlineLevel="0" collapsed="false">
      <c r="A45" s="12" t="n">
        <v>8</v>
      </c>
      <c r="B45" s="12" t="n">
        <v>25.4</v>
      </c>
      <c r="C45" s="12" t="n">
        <v>72</v>
      </c>
      <c r="D45" s="12" t="n">
        <v>78</v>
      </c>
      <c r="E45" s="12" t="n">
        <v>15</v>
      </c>
      <c r="F45" s="13" t="n">
        <f aca="false">IF(AND(ISNUMBER(C45),ISNUMBER(D45),ISNUMBER(E45)),(C45+D45)/2/E45*60,0)</f>
        <v>300</v>
      </c>
      <c r="G45" s="13" t="n">
        <f aca="false">IF(F45&gt;0,LN(F45),0)</f>
        <v>5.7037824746562</v>
      </c>
      <c r="H45" s="13" t="n">
        <f aca="false">IF(F45&gt;0,G45-SUMIFS(G$7:G$66,A$7:A$66,A45,F$7:F$66,"&gt;0")/COUNTIFS(A$7:A$66,A45,F$7:F$66,"&gt;0"),0)</f>
        <v>0.489691344657625</v>
      </c>
      <c r="I45" s="13" t="n">
        <f aca="false">IF(F45&gt;0,IF(COUNTIFS(A$7:A45,A45,F$7:F45,"&gt;0")=1,1,0),0)</f>
        <v>0</v>
      </c>
      <c r="J45" s="13" t="n">
        <f aca="false">IF(F45&gt;0,B45-SUMIFS(B$7:B$66,A$7:A$66,A45,F$7:F$66,"&gt;0")/COUNTIFS(A$7:A$66,A45,F$7:F$66,"&gt;0"),0)</f>
        <v>5.42</v>
      </c>
    </row>
    <row r="46" customFormat="false" ht="15" hidden="false" customHeight="false" outlineLevel="0" collapsed="false">
      <c r="A46" s="12" t="n">
        <v>8</v>
      </c>
      <c r="B46" s="12" t="n">
        <v>30</v>
      </c>
      <c r="C46" s="12" t="n">
        <v>109</v>
      </c>
      <c r="D46" s="12" t="n">
        <v>117</v>
      </c>
      <c r="E46" s="12" t="n">
        <v>15</v>
      </c>
      <c r="F46" s="13" t="n">
        <f aca="false">IF(AND(ISNUMBER(C46),ISNUMBER(D46),ISNUMBER(E46)),(C46+D46)/2/E46*60,0)</f>
        <v>452</v>
      </c>
      <c r="G46" s="13" t="n">
        <f aca="false">IF(F46&gt;0,LN(F46),0)</f>
        <v>6.11368217983223</v>
      </c>
      <c r="H46" s="13" t="n">
        <f aca="false">IF(F46&gt;0,G46-SUMIFS(G$7:G$66,A$7:A$66,A46,F$7:F$66,"&gt;0")/COUNTIFS(A$7:A$66,A46,F$7:F$66,"&gt;0"),0)</f>
        <v>0.899591049833656</v>
      </c>
      <c r="I46" s="13" t="n">
        <f aca="false">IF(F46&gt;0,IF(COUNTIFS(A$7:A46,A46,F$7:F46,"&gt;0")=1,1,0),0)</f>
        <v>0</v>
      </c>
      <c r="J46" s="13" t="n">
        <f aca="false">IF(F46&gt;0,B46-SUMIFS(B$7:B$66,A$7:A$66,A46,F$7:F$66,"&gt;0")/COUNTIFS(A$7:A$66,A46,F$7:F$66,"&gt;0"),0)</f>
        <v>10.02</v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3" t="n">
        <f aca="false">IF(AND(ISNUMBER(C47),ISNUMBER(D47),ISNUMBER(E47)),(C47+D47)/2/E47*60,0)</f>
        <v>0</v>
      </c>
      <c r="G47" s="13" t="n">
        <f aca="false">IF(F47&gt;0,LN(F47),0)</f>
        <v>0</v>
      </c>
      <c r="H47" s="13" t="n">
        <f aca="false">IF(F47&gt;0,G47-SUMIFS(G$7:G$66,A$7:A$66,A47,F$7:F$66,"&gt;0")/COUNTIFS(A$7:A$66,A47,F$7:F$66,"&gt;0"),0)</f>
        <v>0</v>
      </c>
      <c r="I47" s="13" t="n">
        <f aca="false">IF(F47&gt;0,IF(COUNTIFS(A$7:A47,A47,F$7:F47,"&gt;0")=1,1,0),0)</f>
        <v>0</v>
      </c>
      <c r="J47" s="13" t="n">
        <f aca="false">IF(F47&gt;0,B47-SUMIFS(B$7:B$66,A$7:A$66,A47,F$7:F$66,"&gt;0")/COUNTIFS(A$7:A$66,A47,F$7:F$66,"&gt;0"),0)</f>
        <v>0</v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3" t="n">
        <f aca="false">IF(AND(ISNUMBER(C48),ISNUMBER(D48),ISNUMBER(E48)),(C48+D48)/2/E48*60,0)</f>
        <v>0</v>
      </c>
      <c r="G48" s="13" t="n">
        <f aca="false">IF(F48&gt;0,LN(F48),0)</f>
        <v>0</v>
      </c>
      <c r="H48" s="13" t="n">
        <f aca="false">IF(F48&gt;0,G48-SUMIFS(G$7:G$66,A$7:A$66,A48,F$7:F$66,"&gt;0")/COUNTIFS(A$7:A$66,A48,F$7:F$66,"&gt;0"),0)</f>
        <v>0</v>
      </c>
      <c r="I48" s="13" t="n">
        <f aca="false">IF(F48&gt;0,IF(COUNTIFS(A$7:A48,A48,F$7:F48,"&gt;0")=1,1,0),0)</f>
        <v>0</v>
      </c>
      <c r="J48" s="13" t="n">
        <f aca="false">IF(F48&gt;0,B48-SUMIFS(B$7:B$66,A$7:A$66,A48,F$7:F$66,"&gt;0")/COUNTIFS(A$7:A$66,A48,F$7:F$66,"&gt;0"),0)</f>
        <v>0</v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3" t="n">
        <f aca="false">IF(AND(ISNUMBER(C49),ISNUMBER(D49),ISNUMBER(E49)),(C49+D49)/2/E49*60,0)</f>
        <v>0</v>
      </c>
      <c r="G49" s="13" t="n">
        <f aca="false">IF(F49&gt;0,LN(F49),0)</f>
        <v>0</v>
      </c>
      <c r="H49" s="13" t="n">
        <f aca="false">IF(F49&gt;0,G49-SUMIFS(G$7:G$66,A$7:A$66,A49,F$7:F$66,"&gt;0")/COUNTIFS(A$7:A$66,A49,F$7:F$66,"&gt;0"),0)</f>
        <v>0</v>
      </c>
      <c r="I49" s="13" t="n">
        <f aca="false">IF(F49&gt;0,IF(COUNTIFS(A$7:A49,A49,F$7:F49,"&gt;0")=1,1,0),0)</f>
        <v>0</v>
      </c>
      <c r="J49" s="13" t="n">
        <f aca="false">IF(F49&gt;0,B49-SUMIFS(B$7:B$66,A$7:A$66,A49,F$7:F$66,"&gt;0")/COUNTIFS(A$7:A$66,A49,F$7:F$66,"&gt;0"),0)</f>
        <v>0</v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3" t="n">
        <f aca="false">IF(AND(ISNUMBER(C50),ISNUMBER(D50),ISNUMBER(E50)),(C50+D50)/2/E50*60,0)</f>
        <v>0</v>
      </c>
      <c r="G50" s="13" t="n">
        <f aca="false">IF(F50&gt;0,LN(F50),0)</f>
        <v>0</v>
      </c>
      <c r="H50" s="13" t="n">
        <f aca="false">IF(F50&gt;0,G50-SUMIFS(G$7:G$66,A$7:A$66,A50,F$7:F$66,"&gt;0")/COUNTIFS(A$7:A$66,A50,F$7:F$66,"&gt;0"),0)</f>
        <v>0</v>
      </c>
      <c r="I50" s="13" t="n">
        <f aca="false">IF(F50&gt;0,IF(COUNTIFS(A$7:A50,A50,F$7:F50,"&gt;0")=1,1,0),0)</f>
        <v>0</v>
      </c>
      <c r="J50" s="13" t="n">
        <f aca="false">IF(F50&gt;0,B50-SUMIFS(B$7:B$66,A$7:A$66,A50,F$7:F$66,"&gt;0")/COUNTIFS(A$7:A$66,A50,F$7:F$66,"&gt;0"),0)</f>
        <v>0</v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3" t="n">
        <f aca="false">IF(AND(ISNUMBER(C51),ISNUMBER(D51),ISNUMBER(E51)),(C51+D51)/2/E51*60,0)</f>
        <v>0</v>
      </c>
      <c r="G51" s="13" t="n">
        <f aca="false">IF(F51&gt;0,LN(F51),0)</f>
        <v>0</v>
      </c>
      <c r="H51" s="13" t="n">
        <f aca="false">IF(F51&gt;0,G51-SUMIFS(G$7:G$66,A$7:A$66,A51,F$7:F$66,"&gt;0")/COUNTIFS(A$7:A$66,A51,F$7:F$66,"&gt;0"),0)</f>
        <v>0</v>
      </c>
      <c r="I51" s="13" t="n">
        <f aca="false">IF(F51&gt;0,IF(COUNTIFS(A$7:A51,A51,F$7:F51,"&gt;0")=1,1,0),0)</f>
        <v>0</v>
      </c>
      <c r="J51" s="13" t="n">
        <f aca="false">IF(F51&gt;0,B51-SUMIFS(B$7:B$66,A$7:A$66,A51,F$7:F$66,"&gt;0")/COUNTIFS(A$7:A$66,A51,F$7:F$66,"&gt;0"),0)</f>
        <v>0</v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3" t="n">
        <f aca="false">IF(AND(ISNUMBER(C52),ISNUMBER(D52),ISNUMBER(E52)),(C52+D52)/2/E52*60,0)</f>
        <v>0</v>
      </c>
      <c r="G52" s="13" t="n">
        <f aca="false">IF(F52&gt;0,LN(F52),0)</f>
        <v>0</v>
      </c>
      <c r="H52" s="13" t="n">
        <f aca="false">IF(F52&gt;0,G52-SUMIFS(G$7:G$66,A$7:A$66,A52,F$7:F$66,"&gt;0")/COUNTIFS(A$7:A$66,A52,F$7:F$66,"&gt;0"),0)</f>
        <v>0</v>
      </c>
      <c r="I52" s="13" t="n">
        <f aca="false">IF(F52&gt;0,IF(COUNTIFS(A$7:A52,A52,F$7:F52,"&gt;0")=1,1,0),0)</f>
        <v>0</v>
      </c>
      <c r="J52" s="13" t="n">
        <f aca="false">IF(F52&gt;0,B52-SUMIFS(B$7:B$66,A$7:A$66,A52,F$7:F$66,"&gt;0")/COUNTIFS(A$7:A$66,A52,F$7:F$66,"&gt;0"),0)</f>
        <v>0</v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3" t="n">
        <f aca="false">IF(AND(ISNUMBER(C53),ISNUMBER(D53),ISNUMBER(E53)),(C53+D53)/2/E53*60,0)</f>
        <v>0</v>
      </c>
      <c r="G53" s="13" t="n">
        <f aca="false">IF(F53&gt;0,LN(F53),0)</f>
        <v>0</v>
      </c>
      <c r="H53" s="13" t="n">
        <f aca="false">IF(F53&gt;0,G53-SUMIFS(G$7:G$66,A$7:A$66,A53,F$7:F$66,"&gt;0")/COUNTIFS(A$7:A$66,A53,F$7:F$66,"&gt;0"),0)</f>
        <v>0</v>
      </c>
      <c r="I53" s="13" t="n">
        <f aca="false">IF(F53&gt;0,IF(COUNTIFS(A$7:A53,A53,F$7:F53,"&gt;0")=1,1,0),0)</f>
        <v>0</v>
      </c>
      <c r="J53" s="13" t="n">
        <f aca="false">IF(F53&gt;0,B53-SUMIFS(B$7:B$66,A$7:A$66,A53,F$7:F$66,"&gt;0")/COUNTIFS(A$7:A$66,A53,F$7:F$66,"&gt;0"),0)</f>
        <v>0</v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3" t="n">
        <f aca="false">IF(AND(ISNUMBER(C54),ISNUMBER(D54),ISNUMBER(E54)),(C54+D54)/2/E54*60,0)</f>
        <v>0</v>
      </c>
      <c r="G54" s="13" t="n">
        <f aca="false">IF(F54&gt;0,LN(F54),0)</f>
        <v>0</v>
      </c>
      <c r="H54" s="13" t="n">
        <f aca="false">IF(F54&gt;0,G54-SUMIFS(G$7:G$66,A$7:A$66,A54,F$7:F$66,"&gt;0")/COUNTIFS(A$7:A$66,A54,F$7:F$66,"&gt;0"),0)</f>
        <v>0</v>
      </c>
      <c r="I54" s="13" t="n">
        <f aca="false">IF(F54&gt;0,IF(COUNTIFS(A$7:A54,A54,F$7:F54,"&gt;0")=1,1,0),0)</f>
        <v>0</v>
      </c>
      <c r="J54" s="13" t="n">
        <f aca="false">IF(F54&gt;0,B54-SUMIFS(B$7:B$66,A$7:A$66,A54,F$7:F$66,"&gt;0")/COUNTIFS(A$7:A$66,A54,F$7:F$66,"&gt;0"),0)</f>
        <v>0</v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3" t="n">
        <f aca="false">IF(AND(ISNUMBER(C55),ISNUMBER(D55),ISNUMBER(E55)),(C55+D55)/2/E55*60,0)</f>
        <v>0</v>
      </c>
      <c r="G55" s="13" t="n">
        <f aca="false">IF(F55&gt;0,LN(F55),0)</f>
        <v>0</v>
      </c>
      <c r="H55" s="13" t="n">
        <f aca="false">IF(F55&gt;0,G55-SUMIFS(G$7:G$66,A$7:A$66,A55,F$7:F$66,"&gt;0")/COUNTIFS(A$7:A$66,A55,F$7:F$66,"&gt;0"),0)</f>
        <v>0</v>
      </c>
      <c r="I55" s="13" t="n">
        <f aca="false">IF(F55&gt;0,IF(COUNTIFS(A$7:A55,A55,F$7:F55,"&gt;0")=1,1,0),0)</f>
        <v>0</v>
      </c>
      <c r="J55" s="13" t="n">
        <f aca="false">IF(F55&gt;0,B55-SUMIFS(B$7:B$66,A$7:A$66,A55,F$7:F$66,"&gt;0")/COUNTIFS(A$7:A$66,A55,F$7:F$66,"&gt;0"),0)</f>
        <v>0</v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3" t="n">
        <f aca="false">IF(AND(ISNUMBER(C56),ISNUMBER(D56),ISNUMBER(E56)),(C56+D56)/2/E56*60,0)</f>
        <v>0</v>
      </c>
      <c r="G56" s="13" t="n">
        <f aca="false">IF(F56&gt;0,LN(F56),0)</f>
        <v>0</v>
      </c>
      <c r="H56" s="13" t="n">
        <f aca="false">IF(F56&gt;0,G56-SUMIFS(G$7:G$66,A$7:A$66,A56,F$7:F$66,"&gt;0")/COUNTIFS(A$7:A$66,A56,F$7:F$66,"&gt;0"),0)</f>
        <v>0</v>
      </c>
      <c r="I56" s="13" t="n">
        <f aca="false">IF(F56&gt;0,IF(COUNTIFS(A$7:A56,A56,F$7:F56,"&gt;0")=1,1,0),0)</f>
        <v>0</v>
      </c>
      <c r="J56" s="13" t="n">
        <f aca="false">IF(F56&gt;0,B56-SUMIFS(B$7:B$66,A$7:A$66,A56,F$7:F$66,"&gt;0")/COUNTIFS(A$7:A$66,A56,F$7:F$66,"&gt;0"),0)</f>
        <v>0</v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3" t="n">
        <f aca="false">IF(AND(ISNUMBER(C57),ISNUMBER(D57),ISNUMBER(E57)),(C57+D57)/2/E57*60,0)</f>
        <v>0</v>
      </c>
      <c r="G57" s="13" t="n">
        <f aca="false">IF(F57&gt;0,LN(F57),0)</f>
        <v>0</v>
      </c>
      <c r="H57" s="13" t="n">
        <f aca="false">IF(F57&gt;0,G57-SUMIFS(G$7:G$66,A$7:A$66,A57,F$7:F$66,"&gt;0")/COUNTIFS(A$7:A$66,A57,F$7:F$66,"&gt;0"),0)</f>
        <v>0</v>
      </c>
      <c r="I57" s="13" t="n">
        <f aca="false">IF(F57&gt;0,IF(COUNTIFS(A$7:A57,A57,F$7:F57,"&gt;0")=1,1,0),0)</f>
        <v>0</v>
      </c>
      <c r="J57" s="13" t="n">
        <f aca="false">IF(F57&gt;0,B57-SUMIFS(B$7:B$66,A$7:A$66,A57,F$7:F$66,"&gt;0")/COUNTIFS(A$7:A$66,A57,F$7:F$66,"&gt;0"),0)</f>
        <v>0</v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3" t="n">
        <f aca="false">IF(AND(ISNUMBER(C58),ISNUMBER(D58),ISNUMBER(E58)),(C58+D58)/2/E58*60,0)</f>
        <v>0</v>
      </c>
      <c r="G58" s="13" t="n">
        <f aca="false">IF(F58&gt;0,LN(F58),0)</f>
        <v>0</v>
      </c>
      <c r="H58" s="13" t="n">
        <f aca="false">IF(F58&gt;0,G58-SUMIFS(G$7:G$66,A$7:A$66,A58,F$7:F$66,"&gt;0")/COUNTIFS(A$7:A$66,A58,F$7:F$66,"&gt;0"),0)</f>
        <v>0</v>
      </c>
      <c r="I58" s="13" t="n">
        <f aca="false">IF(F58&gt;0,IF(COUNTIFS(A$7:A58,A58,F$7:F58,"&gt;0")=1,1,0),0)</f>
        <v>0</v>
      </c>
      <c r="J58" s="13" t="n">
        <f aca="false">IF(F58&gt;0,B58-SUMIFS(B$7:B$66,A$7:A$66,A58,F$7:F$66,"&gt;0")/COUNTIFS(A$7:A$66,A58,F$7:F$66,"&gt;0"),0)</f>
        <v>0</v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3" t="n">
        <f aca="false">IF(AND(ISNUMBER(C59),ISNUMBER(D59),ISNUMBER(E59)),(C59+D59)/2/E59*60,0)</f>
        <v>0</v>
      </c>
      <c r="G59" s="13" t="n">
        <f aca="false">IF(F59&gt;0,LN(F59),0)</f>
        <v>0</v>
      </c>
      <c r="H59" s="13" t="n">
        <f aca="false">IF(F59&gt;0,G59-SUMIFS(G$7:G$66,A$7:A$66,A59,F$7:F$66,"&gt;0")/COUNTIFS(A$7:A$66,A59,F$7:F$66,"&gt;0"),0)</f>
        <v>0</v>
      </c>
      <c r="I59" s="13" t="n">
        <f aca="false">IF(F59&gt;0,IF(COUNTIFS(A$7:A59,A59,F$7:F59,"&gt;0")=1,1,0),0)</f>
        <v>0</v>
      </c>
      <c r="J59" s="13" t="n">
        <f aca="false">IF(F59&gt;0,B59-SUMIFS(B$7:B$66,A$7:A$66,A59,F$7:F$66,"&gt;0")/COUNTIFS(A$7:A$66,A59,F$7:F$66,"&gt;0"),0)</f>
        <v>0</v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3" t="n">
        <f aca="false">IF(AND(ISNUMBER(C60),ISNUMBER(D60),ISNUMBER(E60)),(C60+D60)/2/E60*60,0)</f>
        <v>0</v>
      </c>
      <c r="G60" s="13" t="n">
        <f aca="false">IF(F60&gt;0,LN(F60),0)</f>
        <v>0</v>
      </c>
      <c r="H60" s="13" t="n">
        <f aca="false">IF(F60&gt;0,G60-SUMIFS(G$7:G$66,A$7:A$66,A60,F$7:F$66,"&gt;0")/COUNTIFS(A$7:A$66,A60,F$7:F$66,"&gt;0"),0)</f>
        <v>0</v>
      </c>
      <c r="I60" s="13" t="n">
        <f aca="false">IF(F60&gt;0,IF(COUNTIFS(A$7:A60,A60,F$7:F60,"&gt;0")=1,1,0),0)</f>
        <v>0</v>
      </c>
      <c r="J60" s="13" t="n">
        <f aca="false">IF(F60&gt;0,B60-SUMIFS(B$7:B$66,A$7:A$66,A60,F$7:F$66,"&gt;0")/COUNTIFS(A$7:A$66,A60,F$7:F$66,"&gt;0"),0)</f>
        <v>0</v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3" t="n">
        <f aca="false">IF(AND(ISNUMBER(C61),ISNUMBER(D61),ISNUMBER(E61)),(C61+D61)/2/E61*60,0)</f>
        <v>0</v>
      </c>
      <c r="G61" s="13" t="n">
        <f aca="false">IF(F61&gt;0,LN(F61),0)</f>
        <v>0</v>
      </c>
      <c r="H61" s="13" t="n">
        <f aca="false">IF(F61&gt;0,G61-SUMIFS(G$7:G$66,A$7:A$66,A61,F$7:F$66,"&gt;0")/COUNTIFS(A$7:A$66,A61,F$7:F$66,"&gt;0"),0)</f>
        <v>0</v>
      </c>
      <c r="I61" s="13" t="n">
        <f aca="false">IF(F61&gt;0,IF(COUNTIFS(A$7:A61,A61,F$7:F61,"&gt;0")=1,1,0),0)</f>
        <v>0</v>
      </c>
      <c r="J61" s="13" t="n">
        <f aca="false">IF(F61&gt;0,B61-SUMIFS(B$7:B$66,A$7:A$66,A61,F$7:F$66,"&gt;0")/COUNTIFS(A$7:A$66,A61,F$7:F$66,"&gt;0"),0)</f>
        <v>0</v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3" t="n">
        <f aca="false">IF(AND(ISNUMBER(C62),ISNUMBER(D62),ISNUMBER(E62)),(C62+D62)/2/E62*60,0)</f>
        <v>0</v>
      </c>
      <c r="G62" s="13" t="n">
        <f aca="false">IF(F62&gt;0,LN(F62),0)</f>
        <v>0</v>
      </c>
      <c r="H62" s="13" t="n">
        <f aca="false">IF(F62&gt;0,G62-SUMIFS(G$7:G$66,A$7:A$66,A62,F$7:F$66,"&gt;0")/COUNTIFS(A$7:A$66,A62,F$7:F$66,"&gt;0"),0)</f>
        <v>0</v>
      </c>
      <c r="I62" s="13" t="n">
        <f aca="false">IF(F62&gt;0,IF(COUNTIFS(A$7:A62,A62,F$7:F62,"&gt;0")=1,1,0),0)</f>
        <v>0</v>
      </c>
      <c r="J62" s="13" t="n">
        <f aca="false">IF(F62&gt;0,B62-SUMIFS(B$7:B$66,A$7:A$66,A62,F$7:F$66,"&gt;0")/COUNTIFS(A$7:A$66,A62,F$7:F$66,"&gt;0"),0)</f>
        <v>0</v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3" t="n">
        <f aca="false">IF(AND(ISNUMBER(C63),ISNUMBER(D63),ISNUMBER(E63)),(C63+D63)/2/E63*60,0)</f>
        <v>0</v>
      </c>
      <c r="G63" s="13" t="n">
        <f aca="false">IF(F63&gt;0,LN(F63),0)</f>
        <v>0</v>
      </c>
      <c r="H63" s="13" t="n">
        <f aca="false">IF(F63&gt;0,G63-SUMIFS(G$7:G$66,A$7:A$66,A63,F$7:F$66,"&gt;0")/COUNTIFS(A$7:A$66,A63,F$7:F$66,"&gt;0"),0)</f>
        <v>0</v>
      </c>
      <c r="I63" s="13" t="n">
        <f aca="false">IF(F63&gt;0,IF(COUNTIFS(A$7:A63,A63,F$7:F63,"&gt;0")=1,1,0),0)</f>
        <v>0</v>
      </c>
      <c r="J63" s="13" t="n">
        <f aca="false">IF(F63&gt;0,B63-SUMIFS(B$7:B$66,A$7:A$66,A63,F$7:F$66,"&gt;0")/COUNTIFS(A$7:A$66,A63,F$7:F$66,"&gt;0"),0)</f>
        <v>0</v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3" t="n">
        <f aca="false">IF(AND(ISNUMBER(C64),ISNUMBER(D64),ISNUMBER(E64)),(C64+D64)/2/E64*60,0)</f>
        <v>0</v>
      </c>
      <c r="G64" s="13" t="n">
        <f aca="false">IF(F64&gt;0,LN(F64),0)</f>
        <v>0</v>
      </c>
      <c r="H64" s="13" t="n">
        <f aca="false">IF(F64&gt;0,G64-SUMIFS(G$7:G$66,A$7:A$66,A64,F$7:F$66,"&gt;0")/COUNTIFS(A$7:A$66,A64,F$7:F$66,"&gt;0"),0)</f>
        <v>0</v>
      </c>
      <c r="I64" s="13" t="n">
        <f aca="false">IF(F64&gt;0,IF(COUNTIFS(A$7:A64,A64,F$7:F64,"&gt;0")=1,1,0),0)</f>
        <v>0</v>
      </c>
      <c r="J64" s="13" t="n">
        <f aca="false">IF(F64&gt;0,B64-SUMIFS(B$7:B$66,A$7:A$66,A64,F$7:F$66,"&gt;0")/COUNTIFS(A$7:A$66,A64,F$7:F$66,"&gt;0"),0)</f>
        <v>0</v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3" t="n">
        <f aca="false">IF(AND(ISNUMBER(C65),ISNUMBER(D65),ISNUMBER(E65)),(C65+D65)/2/E65*60,0)</f>
        <v>0</v>
      </c>
      <c r="G65" s="13" t="n">
        <f aca="false">IF(F65&gt;0,LN(F65),0)</f>
        <v>0</v>
      </c>
      <c r="H65" s="13" t="n">
        <f aca="false">IF(F65&gt;0,G65-SUMIFS(G$7:G$66,A$7:A$66,A65,F$7:F$66,"&gt;0")/COUNTIFS(A$7:A$66,A65,F$7:F$66,"&gt;0"),0)</f>
        <v>0</v>
      </c>
      <c r="I65" s="13" t="n">
        <f aca="false">IF(F65&gt;0,IF(COUNTIFS(A$7:A65,A65,F$7:F65,"&gt;0")=1,1,0),0)</f>
        <v>0</v>
      </c>
      <c r="J65" s="13" t="n">
        <f aca="false">IF(F65&gt;0,B65-SUMIFS(B$7:B$66,A$7:A$66,A65,F$7:F$66,"&gt;0")/COUNTIFS(A$7:A$66,A65,F$7:F$66,"&gt;0"),0)</f>
        <v>0</v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3" t="n">
        <f aca="false">IF(AND(ISNUMBER(C66),ISNUMBER(D66),ISNUMBER(E66)),(C66+D66)/2/E66*60,0)</f>
        <v>0</v>
      </c>
      <c r="G66" s="13" t="n">
        <f aca="false">IF(F66&gt;0,LN(F66),0)</f>
        <v>0</v>
      </c>
      <c r="H66" s="13" t="n">
        <f aca="false">IF(F66&gt;0,G66-SUMIFS(G$7:G$66,A$7:A$66,A66,F$7:F$66,"&gt;0")/COUNTIFS(A$7:A$66,A66,F$7:F$66,"&gt;0"),0)</f>
        <v>0</v>
      </c>
      <c r="I66" s="13" t="n">
        <f aca="false">IF(F66&gt;0,IF(COUNTIFS(A$7:A66,A66,F$7:F66,"&gt;0")=1,1,0),0)</f>
        <v>0</v>
      </c>
      <c r="J66" s="13" t="n">
        <f aca="false">IF(F66&gt;0,B66-SUMIFS(B$7:B$66,A$7:A$66,A66,F$7:F$66,"&gt;0")/COUNTIFS(A$7:A$66,A66,F$7:F$66,"&gt;0"),0)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E6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15" hidden="false" customHeight="false" outlineLevel="0" collapsed="false">
      <c r="B5" s="14" t="s">
        <v>30</v>
      </c>
      <c r="C5" s="15" t="n">
        <f aca="false">IFERROR(COUNTIF('Enter data'!$F$7:$F$66,"&gt;0"),"")</f>
        <v>40</v>
      </c>
    </row>
    <row r="6" customFormat="false" ht="15" hidden="false" customHeight="false" outlineLevel="0" collapsed="false">
      <c r="B6" s="14" t="s">
        <v>31</v>
      </c>
      <c r="C6" s="15" t="n">
        <f aca="false">IFERROR(SUM('Enter data'!$I$7:$I$66),"")</f>
        <v>8</v>
      </c>
      <c r="D6" s="8" t="s">
        <v>32</v>
      </c>
    </row>
    <row r="7" customFormat="false" ht="15" hidden="false" customHeight="false" outlineLevel="0" collapsed="false">
      <c r="B7" s="14" t="s">
        <v>33</v>
      </c>
      <c r="C7" s="16" t="n">
        <f aca="false">IFERROR(SUMPRODUCT('Enter data'!$J$7:$J$66,'Enter data'!$H$7:$H$66)/SUMSQ('Enter data'!$J$7:$J$66),"")</f>
        <v>0.0794438099144027</v>
      </c>
    </row>
    <row r="8" customFormat="false" ht="15" hidden="false" customHeight="false" outlineLevel="0" collapsed="false">
      <c r="B8" s="14" t="s">
        <v>34</v>
      </c>
      <c r="C8" s="16" t="n">
        <f aca="false">IFERROR(SUMSQ('Enter data'!$H$7:$H$66)-$C$7^2*SUMSQ('Enter data'!$J$7:$J$66),"")</f>
        <v>0.332855550042751</v>
      </c>
    </row>
    <row r="9" customFormat="false" ht="15" hidden="false" customHeight="false" outlineLevel="0" collapsed="false">
      <c r="B9" s="14" t="s">
        <v>35</v>
      </c>
      <c r="C9" s="16" t="n">
        <f aca="false">IFERROR(SQRT($C$8/($C$5-$C$6-1)/SUMSQ('Enter data'!$J$7:$J$66)),"")</f>
        <v>0.00232093225485116</v>
      </c>
    </row>
    <row r="10" customFormat="false" ht="15" hidden="false" customHeight="false" outlineLevel="0" collapsed="false">
      <c r="B10" s="14" t="s">
        <v>36</v>
      </c>
      <c r="C10" s="17" t="n">
        <f aca="false">IFERROR(EXP(10*$C$7),"")</f>
        <v>2.21319705003258</v>
      </c>
    </row>
    <row r="11" customFormat="false" ht="15" hidden="false" customHeight="false" outlineLevel="0" collapsed="false">
      <c r="B11" s="14" t="s">
        <v>37</v>
      </c>
      <c r="C11" s="17" t="n">
        <f aca="false">IFERROR(EXP(10*($C$7-TINV(0.05,$C$5-$C$6-1)*$C$9)),"")</f>
        <v>2.11087462057959</v>
      </c>
    </row>
    <row r="12" customFormat="false" ht="15" hidden="false" customHeight="false" outlineLevel="0" collapsed="false">
      <c r="B12" s="14" t="s">
        <v>38</v>
      </c>
      <c r="C12" s="17" t="n">
        <f aca="false">IFERROR(EXP(10*($C$7+TINV(0.05,$C$5-$C$6-1)*$C$9)),"")</f>
        <v>2.32047945174876</v>
      </c>
    </row>
    <row r="14" customFormat="false" ht="15" hidden="false" customHeight="false" outlineLevel="0" collapsed="false">
      <c r="B14" s="9" t="s">
        <v>39</v>
      </c>
    </row>
    <row r="15" customFormat="false" ht="15" hidden="false" customHeight="false" outlineLevel="0" collapsed="false">
      <c r="B15" s="14" t="s">
        <v>36</v>
      </c>
      <c r="C15" s="17" t="n">
        <f aca="false">IFERROR((300/150)^(10/(25-15)),"")</f>
        <v>2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2026-10-01T00:30:16Z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2026-10-01T00:30:16Z</dcterms:modified>
  <cp:revision>0</cp:revision>
  <dc:subject/>
  <dc:title>ZOO-04 Heart rate and temperature in Daphnia: Q10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