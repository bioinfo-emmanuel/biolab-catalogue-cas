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<sst xmlns="http://schemas.openxmlformats.org/spreadsheetml/2006/main" count="102" uniqueCount="90">
  <si>
    <t xml:space="preserve">ACH-04  Conductivity calibration, detection limit, and standard addition</t>
  </si>
  <si>
    <t xml:space="preserve">Excel version of the card. It does the same calculations as the R script ach04_conductivity_calibration.R, so you can use either.</t>
  </si>
  <si>
    <t xml:space="preserve">How to use this workbook</t>
  </si>
  <si>
    <t xml:space="preserve">1.  Go to the 'Enter data' sheet. Type only in the yellow cells with blue numbers. Everything grey is calculated for you.</t>
  </si>
  <si>
    <t xml:space="preserve">2.  Fill the four blocks: standards (concentration, reading, temperature), blank readings, the unknown, and the standard addition series.</t>
  </si>
  <si>
    <t xml:space="preserve">3.  Open the 'Results' sheet. The calibration line, detection limit, unknown concentration and the standard addition check appear there, with two charts.</t>
  </si>
  <si>
    <t xml:space="preserve">4.  Leave a row empty if you did not use it. You need at least 3 standards and 2 blank readings before results appear.</t>
  </si>
  <si>
    <t xml:space="preserve">What the colours mean</t>
  </si>
  <si>
    <t xml:space="preserve">Yellow cell, blue number:  you type here.</t>
  </si>
  <si>
    <t xml:space="preserve">Grey cell:  a formula. The sheets are protected without a password so formulas cannot be overwritten by accident (Review &gt; Unprotect Sheet if you need to change one).</t>
  </si>
  <si>
    <t xml:space="preserve">Grey italic row above each table:  an example of the format. It is not used in any calculation.</t>
  </si>
  <si>
    <t xml:space="preserve">Assumptions and sources</t>
  </si>
  <si>
    <t xml:space="preserve">Temperature compensation: reading at 25 C = reading / (1 + 0.02 x (T - 25)). The 2 percent per degree figure is an approximation stated on card ACH-04; use your meter's own coefficient if it is known (change it on the Results sheet).</t>
  </si>
  <si>
    <t xml:space="preserve">Detection limit = 3 x standard deviation of the blank / slope. Quantitation limit = 10 x standard deviation of the blank / slope. Common conventions; the multipliers can be changed on the Results sheet.</t>
  </si>
  <si>
    <t xml:space="preserve">Unknown interval: approximate 95 percent interval from the regression (inverse prediction), using the t distribution with n - 2 degrees of freedom.</t>
  </si>
  <si>
    <t xml:space="preserve">Standard addition: the fitted line of reading against added concentration meets the axis at minus the sample concentration in the mixture; enter the added concentration after correcting for dilution.</t>
  </si>
  <si>
    <t xml:space="preserve">Practice data were invented for the card;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</si>
  <si>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</si>
  <si>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</si>
  <si>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Temperature is in degrees C, conductivity in microsiemens per cm (uS/cm), concentrations in mg/L.</t>
  </si>
  <si>
    <t xml:space="preserve">1. Standards (salt solutions of known concentration)</t>
  </si>
  <si>
    <t xml:space="preserve">Concentration (mg/L)</t>
  </si>
  <si>
    <t xml:space="preserve">Conductivity (uS/cm)</t>
  </si>
  <si>
    <t xml:space="preserve">Temperature (C)</t>
  </si>
  <si>
    <t xml:space="preserve">Reading at 25 C (calculated)</t>
  </si>
  <si>
    <t xml:space="preserve">199.4</t>
  </si>
  <si>
    <t xml:space="preserve">2. Blank readings (the clean water, several separate portions)</t>
  </si>
  <si>
    <t xml:space="preserve">Blank</t>
  </si>
  <si>
    <t xml:space="preserve">Example</t>
  </si>
  <si>
    <t xml:space="preserve">3.3</t>
  </si>
  <si>
    <t xml:space="preserve">Blank 1</t>
  </si>
  <si>
    <t xml:space="preserve">Blank 2</t>
  </si>
  <si>
    <t xml:space="preserve">Blank 3</t>
  </si>
  <si>
    <t xml:space="preserve">Blank 4</t>
  </si>
  <si>
    <t xml:space="preserve">Blank 5</t>
  </si>
  <si>
    <t xml:space="preserve">Blank 6</t>
  </si>
  <si>
    <t xml:space="preserve">Blank 7</t>
  </si>
  <si>
    <t xml:space="preserve">Blank 8</t>
  </si>
  <si>
    <t xml:space="preserve">Blank 9</t>
  </si>
  <si>
    <t xml:space="preserve">Blank 10</t>
  </si>
  <si>
    <t xml:space="preserve">3. Unknown solution (replicate readings)</t>
  </si>
  <si>
    <t xml:space="preserve">Reading</t>
  </si>
  <si>
    <t xml:space="preserve">466.6</t>
  </si>
  <si>
    <t xml:space="preserve">Reading 1</t>
  </si>
  <si>
    <t xml:space="preserve">Reading 2</t>
  </si>
  <si>
    <t xml:space="preserve">Reading 3</t>
  </si>
  <si>
    <t xml:space="preserve">Reading 4</t>
  </si>
  <si>
    <t xml:space="preserve">Reading 5</t>
  </si>
  <si>
    <t xml:space="preserve">Reading 6</t>
  </si>
  <si>
    <t xml:space="preserve">4. Standard addition (natural water sample with known amounts added)</t>
  </si>
  <si>
    <t xml:space="preserve">Added concentration in the mixture (mg/L)</t>
  </si>
  <si>
    <t xml:space="preserve">306.8</t>
  </si>
  <si>
    <t xml:space="preserve">Results</t>
  </si>
  <si>
    <t xml:space="preserve">Everything on this sheet is calculated. Change only the yellow settings.</t>
  </si>
  <si>
    <t xml:space="preserve">Settings</t>
  </si>
  <si>
    <t xml:space="preserve">Temperature coefficient (fraction per degree C)</t>
  </si>
  <si>
    <t xml:space="preserve">Approximation from card ACH-04. Use your meter's value if known.</t>
  </si>
  <si>
    <t xml:space="preserve">Confidence level for the interval</t>
  </si>
  <si>
    <t xml:space="preserve">0.95 = 95 percent.</t>
  </si>
  <si>
    <t xml:space="preserve">Detection limit multiplier</t>
  </si>
  <si>
    <t xml:space="preserve">Common convention: 3 x sd of blank / slope.</t>
  </si>
  <si>
    <t xml:space="preserve">Quantitation limit multiplier</t>
  </si>
  <si>
    <t xml:space="preserve">Common convention: 10 x sd of blank / slope.</t>
  </si>
  <si>
    <t xml:space="preserve">1. Calibration line (reading at 25 C = intercept + slope x concentration)</t>
  </si>
  <si>
    <t xml:space="preserve">Standards used</t>
  </si>
  <si>
    <t xml:space="preserve">Check on the rows</t>
  </si>
  <si>
    <t xml:space="preserve">Slope (uS/cm per mg/L)</t>
  </si>
  <si>
    <t xml:space="preserve">Intercept (uS/cm)</t>
  </si>
  <si>
    <t xml:space="preserve">R squared</t>
  </si>
  <si>
    <t xml:space="preserve">Residual standard deviation (uS/cm)</t>
  </si>
  <si>
    <t xml:space="preserve">2. Detection and quantitation limits</t>
  </si>
  <si>
    <t xml:space="preserve">Blank readings used</t>
  </si>
  <si>
    <t xml:space="preserve">Standard deviation of the blank (uS/cm)</t>
  </si>
  <si>
    <t xml:space="preserve">Detection limit (mg/L)</t>
  </si>
  <si>
    <t xml:space="preserve">Quantitation limit (mg/L)</t>
  </si>
  <si>
    <t xml:space="preserve">3. Unknown solution (read from the calibration line)</t>
  </si>
  <si>
    <t xml:space="preserve">Replicate readings used</t>
  </si>
  <si>
    <t xml:space="preserve">Mean reading at 25 C (uS/cm)</t>
  </si>
  <si>
    <t xml:space="preserve">Approximate standard error (mg/L)</t>
  </si>
  <si>
    <t xml:space="preserve">Interval, lower (mg/L)</t>
  </si>
  <si>
    <t xml:space="preserve">Interval, upper (mg/L)</t>
  </si>
  <si>
    <t xml:space="preserve">4. Standard addition (does the sample matrix change the response?)</t>
  </si>
  <si>
    <t xml:space="preserve">Points used</t>
  </si>
  <si>
    <t xml:space="preserve">Slope of the addition line</t>
  </si>
  <si>
    <t xml:space="preserve">Intercept of the addition line (uS/cm)</t>
  </si>
  <si>
    <t xml:space="preserve">Ratio of addition slope to calibration slope</t>
  </si>
  <si>
    <t xml:space="preserve">1.00 means no matrix effect.</t>
  </si>
  <si>
    <t xml:space="preserve">Sample concentration by standard addition (mg/L)</t>
  </si>
  <si>
    <t xml:space="preserve">Same sample read from the calibration line (mg/L)</t>
  </si>
  <si>
    <t xml:space="preserve">Charts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</si>
</sst>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@"/>
    <numFmt numFmtId="168" formatCode="0.000"/>
    <numFmt numFmtId="169" formatCode="0.0000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Calibration standards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data'!$A$7:$A$18</c:f>
              <c:numCache>
                <c:formatCode>General</c:formatCode>
                <c:ptCount val="12"/>
              </c:numCache>
            </c:numRef>
          </c:xVal>
          <c:yVal>
            <c:numRef>
              <c:f>'Enter data'!$D$7:$D$18</c:f>
              <c:numCache>
                <c:formatCode>General</c:formatCode>
                <c:ptCount val="12"/>
              </c:numCache>
            </c:numRef>
          </c:yVal>
          <c:smooth val="1"/>
        </c:ser>
        <c:axId val="99389878"/>
        <c:axId val="55860237"/>
      </c:scatterChart>
      <c:valAx>
        <c:axId val="993898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Concentration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60237"/>
        <c:crosses val="autoZero"/>
        <c:crossBetween val="midCat"/>
      </c:valAx>
      <c:valAx>
        <c:axId val="55860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Reading at 25 C (uS/cm)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898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Standard addition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data'!$A$50:$A$57</c:f>
              <c:numCache>
                <c:formatCode>General</c:formatCode>
                <c:ptCount val="8"/>
              </c:numCache>
            </c:numRef>
          </c:xVal>
          <c:yVal>
            <c:numRef>
              <c:f>'Enter data'!$D$50:$D$57</c:f>
              <c:numCache>
                <c:formatCode>General</c:formatCode>
                <c:ptCount val="8"/>
              </c:numCache>
            </c:numRef>
          </c:yVal>
          <c:smooth val="1"/>
        </c:ser>
        <c:axId val="17248900"/>
        <c:axId val="42854631"/>
      </c:scatterChart>
      <c:valAx>
        <c:axId val="172489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Added concentration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54631"/>
        <c:crosses val="autoZero"/>
        <c:crossBetween val="midCat"/>
      </c:valAx>
      <c:valAx>
        <c:axId val="42854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Reading at 25 C (uS/cm)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489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160920</xdr:rowOff>
    </xdr:from>
    <xdr:to>
      <xdr:col>3</xdr:col>
      <xdr:colOff>183600</xdr:colOff>
      <xdr:row>56</xdr:row>
      <xdr:rowOff>172440</xdr:rowOff>
    </xdr:to>
    <xdr:graphicFrame>
      <xdr:nvGraphicFramePr>
        <xdr:cNvPr id="0" name="Chart 1"/>
        <xdr:cNvGraphicFramePr/>
      </xdr:nvGraphicFramePr>
      <xdr:xfrm>
        <a:off x="211320" y="80582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58</xdr:row>
      <xdr:rowOff>160920</xdr:rowOff>
    </xdr:from>
    <xdr:to>
      <xdr:col>3</xdr:col>
      <xdr:colOff>183600</xdr:colOff>
      <xdr:row>74</xdr:row>
      <xdr:rowOff>172440</xdr:rowOff>
    </xdr:to>
    <xdr:graphicFrame>
      <xdr:nvGraphicFramePr>
        <xdr:cNvPr id="1" name="Chart 2"/>
        <xdr:cNvGraphicFramePr/>
      </xdr:nvGraphicFramePr>
      <xdr:xfrm>
        <a:off x="211320" y="114872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23.8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23.8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6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23.85" hidden="false" customHeight="false" outlineLevel="0" collapsed="false">
      <c r="B17" s="2" t="s">
        <v>13</v>
      </c>
    </row>
    <row r="18" customFormat="false" ht="23.85" hidden="false" customHeight="false" outlineLevel="0" collapsed="false">
      <c r="B18" s="2" t="s">
        <v>14</v>
      </c>
    </row>
    <row r="19" customFormat="false" ht="23.85" hidden="false" customHeight="false" outlineLevel="0" collapsed="false">
      <c r="B19" s="2" t="s">
        <v>15</v>
      </c>
    </row>
    <row r="20" customFormat="false" ht="15" hidden="false" customHeight="false" outlineLevel="0" collapsed="false">
      <c r="B20" s="7" t="s">
        <v>16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7" t="s">
        <v>17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8" t="s">
        <v>18</v>
      </c>
    </row>
    <row r="2" customFormat="false" ht="15" hidden="false" customHeight="false" outlineLevel="0" collapsed="false">
      <c r="A2" s="9" t="s">
        <v>19</v>
      </c>
    </row>
    <row r="4" customFormat="false" ht="15" hidden="false" customHeight="false" outlineLevel="0" collapsed="false">
      <c r="A4" s="10" t="s">
        <v>20</v>
      </c>
    </row>
    <row r="5" customFormat="false" ht="30" hidden="false" customHeight="true" outlineLevel="0" collapsed="false">
      <c r="A5" s="11" t="s">
        <v>21</v>
      </c>
      <c r="B5" s="11" t="s">
        <v>22</v>
      </c>
      <c r="C5" s="11" t="s">
        <v>23</v>
      </c>
      <c r="D5" s="11" t="s">
        <v>24</v>
      </c>
    </row>
    <row r="6" customFormat="false" ht="15" hidden="false" customHeight="false" outlineLevel="0" collapsed="false">
      <c r="A6" s="12" t="n">
        <v>100</v>
      </c>
      <c r="B6" s="12" t="n">
        <v>203.4</v>
      </c>
      <c r="C6" s="12" t="n">
        <v>26.5</v>
      </c>
      <c r="D6" s="12" t="s">
        <v>25</v>
      </c>
    </row>
    <row r="7" customFormat="false" ht="15" hidden="false" customHeight="false" outlineLevel="0" collapsed="false">
      <c r="A7" s="13"/>
      <c r="B7" s="13"/>
      <c r="C7" s="13"/>
      <c r="D7" s="14" t="str">
        <f aca="false">IF(AND(ISNUMBER(B7),ISNUMBER(C7)),B7/(1+Results!$C$5*(C7-25)),"")</f>
        <v/>
      </c>
    </row>
    <row r="8" customFormat="false" ht="15" hidden="false" customHeight="false" outlineLevel="0" collapsed="false">
      <c r="A8" s="13"/>
      <c r="B8" s="13"/>
      <c r="C8" s="13"/>
      <c r="D8" s="14" t="str">
        <f aca="false">IF(AND(ISNUMBER(B8),ISNUMBER(C8)),B8/(1+Results!$C$5*(C8-25)),"")</f>
        <v/>
      </c>
    </row>
    <row r="9" customFormat="false" ht="15" hidden="false" customHeight="false" outlineLevel="0" collapsed="false">
      <c r="A9" s="13"/>
      <c r="B9" s="13"/>
      <c r="C9" s="13"/>
      <c r="D9" s="14" t="str">
        <f aca="false">IF(AND(ISNUMBER(B9),ISNUMBER(C9)),B9/(1+Results!$C$5*(C9-25)),"")</f>
        <v/>
      </c>
    </row>
    <row r="10" customFormat="false" ht="15" hidden="false" customHeight="false" outlineLevel="0" collapsed="false">
      <c r="A10" s="13"/>
      <c r="B10" s="13"/>
      <c r="C10" s="13"/>
      <c r="D10" s="14" t="str">
        <f aca="false">IF(AND(ISNUMBER(B10),ISNUMBER(C10)),B10/(1+Results!$C$5*(C10-25)),"")</f>
        <v/>
      </c>
    </row>
    <row r="11" customFormat="false" ht="15" hidden="false" customHeight="false" outlineLevel="0" collapsed="false">
      <c r="A11" s="13"/>
      <c r="B11" s="13"/>
      <c r="C11" s="13"/>
      <c r="D11" s="14" t="str">
        <f aca="false">IF(AND(ISNUMBER(B11),ISNUMBER(C11)),B11/(1+Results!$C$5*(C11-25)),"")</f>
        <v/>
      </c>
    </row>
    <row r="12" customFormat="false" ht="15" hidden="false" customHeight="false" outlineLevel="0" collapsed="false">
      <c r="A12" s="13"/>
      <c r="B12" s="13"/>
      <c r="C12" s="13"/>
      <c r="D12" s="14" t="str">
        <f aca="false">IF(AND(ISNUMBER(B12),ISNUMBER(C12)),B12/(1+Results!$C$5*(C12-25)),"")</f>
        <v/>
      </c>
    </row>
    <row r="13" customFormat="false" ht="15" hidden="false" customHeight="false" outlineLevel="0" collapsed="false">
      <c r="A13" s="13"/>
      <c r="B13" s="13"/>
      <c r="C13" s="13"/>
      <c r="D13" s="14" t="str">
        <f aca="false">IF(AND(ISNUMBER(B13),ISNUMBER(C13)),B13/(1+Results!$C$5*(C13-25)),"")</f>
        <v/>
      </c>
    </row>
    <row r="14" customFormat="false" ht="15" hidden="false" customHeight="false" outlineLevel="0" collapsed="false">
      <c r="A14" s="13"/>
      <c r="B14" s="13"/>
      <c r="C14" s="13"/>
      <c r="D14" s="14" t="str">
        <f aca="false">IF(AND(ISNUMBER(B14),ISNUMBER(C14)),B14/(1+Results!$C$5*(C14-25)),"")</f>
        <v/>
      </c>
    </row>
    <row r="15" customFormat="false" ht="15" hidden="false" customHeight="false" outlineLevel="0" collapsed="false">
      <c r="A15" s="13"/>
      <c r="B15" s="13"/>
      <c r="C15" s="13"/>
      <c r="D15" s="14" t="str">
        <f aca="false">IF(AND(ISNUMBER(B15),ISNUMBER(C15)),B15/(1+Results!$C$5*(C15-25)),"")</f>
        <v/>
      </c>
    </row>
    <row r="16" customFormat="false" ht="15" hidden="false" customHeight="false" outlineLevel="0" collapsed="false">
      <c r="A16" s="13"/>
      <c r="B16" s="13"/>
      <c r="C16" s="13"/>
      <c r="D16" s="14" t="str">
        <f aca="false">IF(AND(ISNUMBER(B16),ISNUMBER(C16)),B16/(1+Results!$C$5*(C16-25)),"")</f>
        <v/>
      </c>
    </row>
    <row r="17" customFormat="false" ht="15" hidden="false" customHeight="false" outlineLevel="0" collapsed="false">
      <c r="A17" s="13"/>
      <c r="B17" s="13"/>
      <c r="C17" s="13"/>
      <c r="D17" s="14" t="str">
        <f aca="false">IF(AND(ISNUMBER(B17),ISNUMBER(C17)),B17/(1+Results!$C$5*(C17-25)),"")</f>
        <v/>
      </c>
    </row>
    <row r="18" customFormat="false" ht="15" hidden="false" customHeight="false" outlineLevel="0" collapsed="false">
      <c r="A18" s="13"/>
      <c r="B18" s="13"/>
      <c r="C18" s="13"/>
      <c r="D18" s="14" t="str">
        <f aca="false">IF(AND(ISNUMBER(B18),ISNUMBER(C18)),B18/(1+Results!$C$5*(C18-25)),"")</f>
        <v/>
      </c>
    </row>
    <row r="21" customFormat="false" ht="15" hidden="false" customHeight="false" outlineLevel="0" collapsed="false">
      <c r="A21" s="10" t="s">
        <v>26</v>
      </c>
    </row>
    <row r="22" customFormat="false" ht="30" hidden="false" customHeight="true" outlineLevel="0" collapsed="false">
      <c r="A22" s="11" t="s">
        <v>27</v>
      </c>
      <c r="B22" s="11" t="s">
        <v>22</v>
      </c>
      <c r="C22" s="11" t="s">
        <v>23</v>
      </c>
      <c r="D22" s="11" t="s">
        <v>24</v>
      </c>
    </row>
    <row r="23" customFormat="false" ht="15" hidden="false" customHeight="false" outlineLevel="0" collapsed="false">
      <c r="A23" s="12" t="s">
        <v>28</v>
      </c>
      <c r="B23" s="12" t="n">
        <v>3.4</v>
      </c>
      <c r="C23" s="12" t="n">
        <v>26.5</v>
      </c>
      <c r="D23" s="12" t="s">
        <v>29</v>
      </c>
    </row>
    <row r="24" customFormat="false" ht="15" hidden="false" customHeight="false" outlineLevel="0" collapsed="false">
      <c r="A24" s="15" t="s">
        <v>30</v>
      </c>
      <c r="B24" s="13"/>
      <c r="C24" s="13"/>
      <c r="D24" s="14" t="str">
        <f aca="false">IF(AND(ISNUMBER(B24),ISNUMBER(C24)),B24/(1+Results!$C$5*(C24-25)),"")</f>
        <v/>
      </c>
    </row>
    <row r="25" customFormat="false" ht="15" hidden="false" customHeight="false" outlineLevel="0" collapsed="false">
      <c r="A25" s="15" t="s">
        <v>31</v>
      </c>
      <c r="B25" s="13"/>
      <c r="C25" s="13"/>
      <c r="D25" s="14" t="str">
        <f aca="false">IF(AND(ISNUMBER(B25),ISNUMBER(C25)),B25/(1+Results!$C$5*(C25-25)),"")</f>
        <v/>
      </c>
    </row>
    <row r="26" customFormat="false" ht="15" hidden="false" customHeight="false" outlineLevel="0" collapsed="false">
      <c r="A26" s="15" t="s">
        <v>32</v>
      </c>
      <c r="B26" s="13"/>
      <c r="C26" s="13"/>
      <c r="D26" s="14" t="str">
        <f aca="false">IF(AND(ISNUMBER(B26),ISNUMBER(C26)),B26/(1+Results!$C$5*(C26-25)),"")</f>
        <v/>
      </c>
    </row>
    <row r="27" customFormat="false" ht="15" hidden="false" customHeight="false" outlineLevel="0" collapsed="false">
      <c r="A27" s="15" t="s">
        <v>33</v>
      </c>
      <c r="B27" s="13"/>
      <c r="C27" s="13"/>
      <c r="D27" s="14" t="str">
        <f aca="false">IF(AND(ISNUMBER(B27),ISNUMBER(C27)),B27/(1+Results!$C$5*(C27-25)),"")</f>
        <v/>
      </c>
    </row>
    <row r="28" customFormat="false" ht="15" hidden="false" customHeight="false" outlineLevel="0" collapsed="false">
      <c r="A28" s="15" t="s">
        <v>34</v>
      </c>
      <c r="B28" s="13"/>
      <c r="C28" s="13"/>
      <c r="D28" s="14" t="str">
        <f aca="false">IF(AND(ISNUMBER(B28),ISNUMBER(C28)),B28/(1+Results!$C$5*(C28-25)),"")</f>
        <v/>
      </c>
    </row>
    <row r="29" customFormat="false" ht="15" hidden="false" customHeight="false" outlineLevel="0" collapsed="false">
      <c r="A29" s="15" t="s">
        <v>35</v>
      </c>
      <c r="B29" s="13"/>
      <c r="C29" s="13"/>
      <c r="D29" s="14" t="str">
        <f aca="false">IF(AND(ISNUMBER(B29),ISNUMBER(C29)),B29/(1+Results!$C$5*(C29-25)),"")</f>
        <v/>
      </c>
    </row>
    <row r="30" customFormat="false" ht="15" hidden="false" customHeight="false" outlineLevel="0" collapsed="false">
      <c r="A30" s="15" t="s">
        <v>36</v>
      </c>
      <c r="B30" s="13"/>
      <c r="C30" s="13"/>
      <c r="D30" s="14" t="str">
        <f aca="false">IF(AND(ISNUMBER(B30),ISNUMBER(C30)),B30/(1+Results!$C$5*(C30-25)),"")</f>
        <v/>
      </c>
    </row>
    <row r="31" customFormat="false" ht="15" hidden="false" customHeight="false" outlineLevel="0" collapsed="false">
      <c r="A31" s="15" t="s">
        <v>37</v>
      </c>
      <c r="B31" s="13"/>
      <c r="C31" s="13"/>
      <c r="D31" s="14" t="str">
        <f aca="false">IF(AND(ISNUMBER(B31),ISNUMBER(C31)),B31/(1+Results!$C$5*(C31-25)),"")</f>
        <v/>
      </c>
    </row>
    <row r="32" customFormat="false" ht="15" hidden="false" customHeight="false" outlineLevel="0" collapsed="false">
      <c r="A32" s="15" t="s">
        <v>38</v>
      </c>
      <c r="B32" s="13"/>
      <c r="C32" s="13"/>
      <c r="D32" s="14" t="str">
        <f aca="false">IF(AND(ISNUMBER(B32),ISNUMBER(C32)),B32/(1+Results!$C$5*(C32-25)),"")</f>
        <v/>
      </c>
    </row>
    <row r="33" customFormat="false" ht="15" hidden="false" customHeight="false" outlineLevel="0" collapsed="false">
      <c r="A33" s="15" t="s">
        <v>39</v>
      </c>
      <c r="B33" s="13"/>
      <c r="C33" s="13"/>
      <c r="D33" s="14" t="str">
        <f aca="false">IF(AND(ISNUMBER(B33),ISNUMBER(C33)),B33/(1+Results!$C$5*(C33-25)),"")</f>
        <v/>
      </c>
    </row>
    <row r="36" customFormat="false" ht="15" hidden="false" customHeight="false" outlineLevel="0" collapsed="false">
      <c r="A36" s="10" t="s">
        <v>40</v>
      </c>
    </row>
    <row r="37" customFormat="false" ht="30" hidden="false" customHeight="true" outlineLevel="0" collapsed="false">
      <c r="A37" s="11" t="s">
        <v>41</v>
      </c>
      <c r="B37" s="11" t="s">
        <v>22</v>
      </c>
      <c r="C37" s="11" t="s">
        <v>23</v>
      </c>
      <c r="D37" s="11" t="s">
        <v>24</v>
      </c>
    </row>
    <row r="38" customFormat="false" ht="15" hidden="false" customHeight="false" outlineLevel="0" collapsed="false">
      <c r="A38" s="12" t="s">
        <v>28</v>
      </c>
      <c r="B38" s="12" t="n">
        <v>480.6</v>
      </c>
      <c r="C38" s="12" t="n">
        <v>26.5</v>
      </c>
      <c r="D38" s="12" t="s">
        <v>42</v>
      </c>
    </row>
    <row r="39" customFormat="false" ht="15" hidden="false" customHeight="false" outlineLevel="0" collapsed="false">
      <c r="A39" s="15" t="s">
        <v>43</v>
      </c>
      <c r="B39" s="13"/>
      <c r="C39" s="13"/>
      <c r="D39" s="14" t="str">
        <f aca="false">IF(AND(ISNUMBER(B39),ISNUMBER(C39)),B39/(1+Results!$C$5*(C39-25)),"")</f>
        <v/>
      </c>
    </row>
    <row r="40" customFormat="false" ht="15" hidden="false" customHeight="false" outlineLevel="0" collapsed="false">
      <c r="A40" s="15" t="s">
        <v>44</v>
      </c>
      <c r="B40" s="13"/>
      <c r="C40" s="13"/>
      <c r="D40" s="14" t="str">
        <f aca="false">IF(AND(ISNUMBER(B40),ISNUMBER(C40)),B40/(1+Results!$C$5*(C40-25)),"")</f>
        <v/>
      </c>
    </row>
    <row r="41" customFormat="false" ht="15" hidden="false" customHeight="false" outlineLevel="0" collapsed="false">
      <c r="A41" s="15" t="s">
        <v>45</v>
      </c>
      <c r="B41" s="13"/>
      <c r="C41" s="13"/>
      <c r="D41" s="14" t="str">
        <f aca="false">IF(AND(ISNUMBER(B41),ISNUMBER(C41)),B41/(1+Results!$C$5*(C41-25)),"")</f>
        <v/>
      </c>
    </row>
    <row r="42" customFormat="false" ht="15" hidden="false" customHeight="false" outlineLevel="0" collapsed="false">
      <c r="A42" s="15" t="s">
        <v>46</v>
      </c>
      <c r="B42" s="13"/>
      <c r="C42" s="13"/>
      <c r="D42" s="14" t="str">
        <f aca="false">IF(AND(ISNUMBER(B42),ISNUMBER(C42)),B42/(1+Results!$C$5*(C42-25)),"")</f>
        <v/>
      </c>
    </row>
    <row r="43" customFormat="false" ht="15" hidden="false" customHeight="false" outlineLevel="0" collapsed="false">
      <c r="A43" s="15" t="s">
        <v>47</v>
      </c>
      <c r="B43" s="13"/>
      <c r="C43" s="13"/>
      <c r="D43" s="14" t="str">
        <f aca="false">IF(AND(ISNUMBER(B43),ISNUMBER(C43)),B43/(1+Results!$C$5*(C43-25)),"")</f>
        <v/>
      </c>
    </row>
    <row r="44" customFormat="false" ht="15" hidden="false" customHeight="false" outlineLevel="0" collapsed="false">
      <c r="A44" s="15" t="s">
        <v>48</v>
      </c>
      <c r="B44" s="13"/>
      <c r="C44" s="13"/>
      <c r="D44" s="14" t="str">
        <f aca="false">IF(AND(ISNUMBER(B44),ISNUMBER(C44)),B44/(1+Results!$C$5*(C44-25)),"")</f>
        <v/>
      </c>
    </row>
    <row r="47" customFormat="false" ht="15" hidden="false" customHeight="false" outlineLevel="0" collapsed="false">
      <c r="A47" s="10" t="s">
        <v>49</v>
      </c>
    </row>
    <row r="48" customFormat="false" ht="30" hidden="false" customHeight="true" outlineLevel="0" collapsed="false">
      <c r="A48" s="11" t="s">
        <v>50</v>
      </c>
      <c r="B48" s="11" t="s">
        <v>22</v>
      </c>
      <c r="C48" s="11" t="s">
        <v>23</v>
      </c>
      <c r="D48" s="11" t="s">
        <v>24</v>
      </c>
    </row>
    <row r="49" customFormat="false" ht="15" hidden="false" customHeight="false" outlineLevel="0" collapsed="false">
      <c r="A49" s="12" t="n">
        <v>50</v>
      </c>
      <c r="B49" s="12" t="n">
        <v>316</v>
      </c>
      <c r="C49" s="12" t="n">
        <v>26.5</v>
      </c>
      <c r="D49" s="12" t="s">
        <v>51</v>
      </c>
    </row>
    <row r="50" customFormat="false" ht="15" hidden="false" customHeight="false" outlineLevel="0" collapsed="false">
      <c r="A50" s="13"/>
      <c r="B50" s="13"/>
      <c r="C50" s="13"/>
      <c r="D50" s="14" t="str">
        <f aca="false">IF(AND(ISNUMBER(B50),ISNUMBER(C50)),B50/(1+Results!$C$5*(C50-25)),"")</f>
        <v/>
      </c>
    </row>
    <row r="51" customFormat="false" ht="15" hidden="false" customHeight="false" outlineLevel="0" collapsed="false">
      <c r="A51" s="13"/>
      <c r="B51" s="13"/>
      <c r="C51" s="13"/>
      <c r="D51" s="14" t="str">
        <f aca="false">IF(AND(ISNUMBER(B51),ISNUMBER(C51)),B51/(1+Results!$C$5*(C51-25)),"")</f>
        <v/>
      </c>
    </row>
    <row r="52" customFormat="false" ht="15" hidden="false" customHeight="false" outlineLevel="0" collapsed="false">
      <c r="A52" s="13"/>
      <c r="B52" s="13"/>
      <c r="C52" s="13"/>
      <c r="D52" s="14" t="str">
        <f aca="false">IF(AND(ISNUMBER(B52),ISNUMBER(C52)),B52/(1+Results!$C$5*(C52-25)),"")</f>
        <v/>
      </c>
    </row>
    <row r="53" customFormat="false" ht="15" hidden="false" customHeight="false" outlineLevel="0" collapsed="false">
      <c r="A53" s="13"/>
      <c r="B53" s="13"/>
      <c r="C53" s="13"/>
      <c r="D53" s="14" t="str">
        <f aca="false">IF(AND(ISNUMBER(B53),ISNUMBER(C53)),B53/(1+Results!$C$5*(C53-25)),"")</f>
        <v/>
      </c>
    </row>
    <row r="54" customFormat="false" ht="15" hidden="false" customHeight="false" outlineLevel="0" collapsed="false">
      <c r="A54" s="13"/>
      <c r="B54" s="13"/>
      <c r="C54" s="13"/>
      <c r="D54" s="14" t="str">
        <f aca="false">IF(AND(ISNUMBER(B54),ISNUMBER(C54)),B54/(1+Results!$C$5*(C54-25)),"")</f>
        <v/>
      </c>
    </row>
    <row r="55" customFormat="false" ht="15" hidden="false" customHeight="false" outlineLevel="0" collapsed="false">
      <c r="A55" s="13"/>
      <c r="B55" s="13"/>
      <c r="C55" s="13"/>
      <c r="D55" s="14" t="str">
        <f aca="false">IF(AND(ISNUMBER(B55),ISNUMBER(C55)),B55/(1+Results!$C$5*(C55-25)),"")</f>
        <v/>
      </c>
    </row>
    <row r="56" customFormat="false" ht="15" hidden="false" customHeight="false" outlineLevel="0" collapsed="false">
      <c r="A56" s="13"/>
      <c r="B56" s="13"/>
      <c r="C56" s="13"/>
      <c r="D56" s="14" t="str">
        <f aca="false">IF(AND(ISNUMBER(B56),ISNUMBER(C56)),B56/(1+Results!$C$5*(C56-25)),"")</f>
        <v/>
      </c>
    </row>
    <row r="57" customFormat="false" ht="15" hidden="false" customHeight="false" outlineLevel="0" collapsed="false">
      <c r="A57" s="13"/>
      <c r="B57" s="13"/>
      <c r="C57" s="13"/>
      <c r="D57" s="14" t="str">
        <f aca="false">IF(AND(ISNUMBER(B57),ISNUMBER(C57)),B57/(1+Results!$C$5*(C57-25)),"")</f>
        <v/>
      </c>
    </row>
  </sheetData>
  <sheetProtection sheet="true" formatColumns="false"/>
  <dataValidations count="2">
    <dataValidation allowBlank="true" error="Enter a number (0 or more)." errorStyle="stop" errorTitle="Number needed" operator="greaterThanOrEqual" showDropDown="false" showErrorMessage="true" showInputMessage="false" sqref="A7:B18 B24:B33 B39:B44 A50:B57" type="decimal">
      <formula1>0</formula1>
      <formula2>0</formula2>
    </dataValidation>
    <dataValidation allowBlank="true" error="Enter the temperature in degrees C (0 to 60)." errorStyle="stop" errorTitle="Temperature" operator="between" showDropDown="false" showErrorMessage="true" showInputMessage="false" sqref="C7:C18 C24:C33 C39:C44 C50:C57" type="decimal">
      <formula1>0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3"/>
  </cols>
  <sheetData>
    <row r="1" customFormat="false" ht="17.35" hidden="false" customHeight="false" outlineLevel="0" collapsed="false">
      <c r="B1" s="8" t="s">
        <v>52</v>
      </c>
    </row>
    <row r="2" customFormat="false" ht="15" hidden="false" customHeight="false" outlineLevel="0" collapsed="false">
      <c r="B2" s="9" t="s">
        <v>53</v>
      </c>
    </row>
    <row r="4" customFormat="false" ht="15" hidden="false" customHeight="false" outlineLevel="0" collapsed="false">
      <c r="B4" s="10" t="s">
        <v>54</v>
      </c>
    </row>
    <row r="5" customFormat="false" ht="15" hidden="false" customHeight="false" outlineLevel="0" collapsed="false">
      <c r="B5" s="16" t="s">
        <v>55</v>
      </c>
      <c r="C5" s="17" t="n">
        <v>0.02</v>
      </c>
      <c r="D5" s="9" t="s">
        <v>56</v>
      </c>
    </row>
    <row r="6" customFormat="false" ht="15" hidden="false" customHeight="false" outlineLevel="0" collapsed="false">
      <c r="B6" s="16" t="s">
        <v>57</v>
      </c>
      <c r="C6" s="17" t="n">
        <v>0.95</v>
      </c>
      <c r="D6" s="9" t="s">
        <v>58</v>
      </c>
    </row>
    <row r="7" customFormat="false" ht="15" hidden="false" customHeight="false" outlineLevel="0" collapsed="false">
      <c r="B7" s="16" t="s">
        <v>59</v>
      </c>
      <c r="C7" s="17" t="n">
        <v>3</v>
      </c>
      <c r="D7" s="9" t="s">
        <v>60</v>
      </c>
    </row>
    <row r="8" customFormat="false" ht="15" hidden="false" customHeight="false" outlineLevel="0" collapsed="false">
      <c r="B8" s="16" t="s">
        <v>61</v>
      </c>
      <c r="C8" s="17" t="n">
        <v>10</v>
      </c>
      <c r="D8" s="9" t="s">
        <v>62</v>
      </c>
    </row>
    <row r="10" customFormat="false" ht="15" hidden="false" customHeight="false" outlineLevel="0" collapsed="false">
      <c r="B10" s="10" t="s">
        <v>63</v>
      </c>
    </row>
    <row r="11" customFormat="false" ht="15" hidden="false" customHeight="false" outlineLevel="0" collapsed="false">
      <c r="B11" s="16" t="s">
        <v>64</v>
      </c>
      <c r="C11" s="18" t="n">
        <f aca="false">SUMPRODUCT(--ISNUMBER('Enter data'!$A$7:$A$18),--ISNUMBER('Enter data'!$D$7:$D$18))</f>
        <v>0</v>
      </c>
    </row>
    <row r="12" customFormat="false" ht="18" hidden="false" customHeight="true" outlineLevel="0" collapsed="false">
      <c r="B12" s="16" t="s">
        <v>65</v>
      </c>
      <c r="C12" s="19" t="str">
        <f aca="false">IF(COUNT('Enter data'!$A$7:$A$18)&lt;&gt;COUNT('Enter data'!$D$7:$D$18),"Some rows have a concentration or a reading but not both","OK")</f>
        <v>OK</v>
      </c>
      <c r="D12" s="19"/>
    </row>
    <row r="13" customFormat="false" ht="15" hidden="false" customHeight="false" outlineLevel="0" collapsed="false">
      <c r="B13" s="16" t="s">
        <v>66</v>
      </c>
      <c r="C13" s="20" t="str">
        <f aca="false">IF(C11&lt;3,"Need 3+ standards",SLOPE('Enter data'!$D$7:$D$18,'Enter data'!$A$7:$A$18))</f>
        <v>Need 3+ standards</v>
      </c>
    </row>
    <row r="14" customFormat="false" ht="15" hidden="false" customHeight="false" outlineLevel="0" collapsed="false">
      <c r="B14" s="16" t="s">
        <v>67</v>
      </c>
      <c r="C14" s="20" t="str">
        <f aca="false">IF(C11&lt;3,"",INTERCEPT('Enter data'!$D$7:$D$18,'Enter data'!$A$7:$A$18))</f>
        <v/>
      </c>
    </row>
    <row r="15" customFormat="false" ht="15" hidden="false" customHeight="false" outlineLevel="0" collapsed="false">
      <c r="B15" s="16" t="s">
        <v>68</v>
      </c>
      <c r="C15" s="21" t="str">
        <f aca="false">IF(C11&lt;3,"",RSQ('Enter data'!$D$7:$D$18,'Enter data'!$A$7:$A$18))</f>
        <v/>
      </c>
    </row>
    <row r="16" customFormat="false" ht="15" hidden="false" customHeight="false" outlineLevel="0" collapsed="false">
      <c r="B16" s="16" t="s">
        <v>69</v>
      </c>
      <c r="C16" s="20" t="str">
        <f aca="false">IF(C11&lt;3,"",STEYX('Enter data'!$D$7:$D$18,'Enter data'!$A$7:$A$18))</f>
        <v/>
      </c>
    </row>
    <row r="18" customFormat="false" ht="15" hidden="false" customHeight="false" outlineLevel="0" collapsed="false">
      <c r="B18" s="10" t="s">
        <v>70</v>
      </c>
    </row>
    <row r="19" customFormat="false" ht="15" hidden="false" customHeight="false" outlineLevel="0" collapsed="false">
      <c r="B19" s="16" t="s">
        <v>71</v>
      </c>
      <c r="C19" s="18" t="n">
        <f aca="false">COUNT('Enter data'!$D$24:$D$33)</f>
        <v>0</v>
      </c>
    </row>
    <row r="20" customFormat="false" ht="15" hidden="false" customHeight="false" outlineLevel="0" collapsed="false">
      <c r="B20" s="16" t="s">
        <v>72</v>
      </c>
      <c r="C20" s="20" t="str">
        <f aca="false">IF(C19&lt;2,"Need 2+ blanks",STDEV('Enter data'!$D$24:$D$33))</f>
        <v>Need 2+ blanks</v>
      </c>
    </row>
    <row r="21" customFormat="false" ht="15" hidden="false" customHeight="false" outlineLevel="0" collapsed="false">
      <c r="B21" s="16" t="s">
        <v>73</v>
      </c>
      <c r="C21" s="22" t="str">
        <f aca="false">IF(OR(NOT(ISNUMBER(C20)),NOT(ISNUMBER(C13))),"",C7*C20/C13)</f>
        <v/>
      </c>
    </row>
    <row r="22" customFormat="false" ht="15" hidden="false" customHeight="false" outlineLevel="0" collapsed="false">
      <c r="B22" s="16" t="s">
        <v>74</v>
      </c>
      <c r="C22" s="22" t="str">
        <f aca="false">IF(OR(NOT(ISNUMBER(C20)),NOT(ISNUMBER(C13))),"",C8*C20/C13)</f>
        <v/>
      </c>
    </row>
    <row r="24" customFormat="false" ht="15" hidden="false" customHeight="false" outlineLevel="0" collapsed="false">
      <c r="B24" s="10" t="s">
        <v>75</v>
      </c>
    </row>
    <row r="25" customFormat="false" ht="15" hidden="false" customHeight="false" outlineLevel="0" collapsed="false">
      <c r="B25" s="16" t="s">
        <v>76</v>
      </c>
      <c r="C25" s="18" t="n">
        <f aca="false">COUNT('Enter data'!$D$39:$D$44)</f>
        <v>0</v>
      </c>
    </row>
    <row r="26" customFormat="false" ht="15" hidden="false" customHeight="false" outlineLevel="0" collapsed="false">
      <c r="B26" s="16" t="s">
        <v>77</v>
      </c>
      <c r="C26" s="22" t="str">
        <f aca="false">IF(C25&lt;1,"",AVERAGE('Enter data'!$D$39:$D$44))</f>
        <v/>
      </c>
    </row>
    <row r="27" customFormat="false" ht="15" hidden="false" customHeight="false" outlineLevel="0" collapsed="false">
      <c r="B27" s="16" t="s">
        <v>21</v>
      </c>
      <c r="C27" s="22" t="str">
        <f aca="false">IF(OR(C25&lt;1,NOT(ISNUMBER(C13))),"",(C26-C14)/C13)</f>
        <v/>
      </c>
    </row>
    <row r="28" customFormat="false" ht="15" hidden="false" customHeight="false" outlineLevel="0" collapsed="false">
      <c r="B28" s="16" t="s">
        <v>78</v>
      </c>
      <c r="C28" s="23" t="str">
        <f aca="false">IF(NOT(ISNUMBER(C27)),"",C16*SQRT(1/C25+1/C11+(C27-AVERAGE('Enter data'!$A$7:$A$18))^2/DEVSQ('Enter data'!$A$7:$A$18))/C13)</f>
        <v/>
      </c>
    </row>
    <row r="29" customFormat="false" ht="15" hidden="false" customHeight="false" outlineLevel="0" collapsed="false">
      <c r="B29" s="16" t="s">
        <v>79</v>
      </c>
      <c r="C29" s="22" t="str">
        <f aca="false">IF(NOT(ISNUMBER(C28)),"",C27-TINV(1-C6,C11-2)*C28)</f>
        <v/>
      </c>
    </row>
    <row r="30" customFormat="false" ht="15" hidden="false" customHeight="false" outlineLevel="0" collapsed="false">
      <c r="B30" s="16" t="s">
        <v>80</v>
      </c>
      <c r="C30" s="22" t="str">
        <f aca="false">IF(NOT(ISNUMBER(C28)),"",C27+TINV(1-C6,C11-2)*C28)</f>
        <v/>
      </c>
    </row>
    <row r="32" customFormat="false" ht="15" hidden="false" customHeight="false" outlineLevel="0" collapsed="false">
      <c r="B32" s="10" t="s">
        <v>81</v>
      </c>
    </row>
    <row r="33" customFormat="false" ht="15" hidden="false" customHeight="false" outlineLevel="0" collapsed="false">
      <c r="B33" s="16" t="s">
        <v>82</v>
      </c>
      <c r="C33" s="18" t="n">
        <f aca="false">SUMPRODUCT(--ISNUMBER('Enter data'!$A$50:$A$57),--ISNUMBER('Enter data'!$D$50:$D$57))</f>
        <v>0</v>
      </c>
    </row>
    <row r="34" customFormat="false" ht="15" hidden="false" customHeight="false" outlineLevel="0" collapsed="false">
      <c r="B34" s="16" t="s">
        <v>83</v>
      </c>
      <c r="C34" s="20" t="str">
        <f aca="false">IF(C33&lt;3,"Need 3+ points",SLOPE('Enter data'!$D$50:$D$57,'Enter data'!$A$50:$A$57))</f>
        <v>Need 3+ points</v>
      </c>
    </row>
    <row r="35" customFormat="false" ht="15" hidden="false" customHeight="false" outlineLevel="0" collapsed="false">
      <c r="B35" s="16" t="s">
        <v>84</v>
      </c>
      <c r="C35" s="22" t="str">
        <f aca="false">IF(C33&lt;3,"",INTERCEPT('Enter data'!$D$50:$D$57,'Enter data'!$A$50:$A$57))</f>
        <v/>
      </c>
    </row>
    <row r="36" customFormat="false" ht="15" hidden="false" customHeight="false" outlineLevel="0" collapsed="false">
      <c r="B36" s="16" t="s">
        <v>85</v>
      </c>
      <c r="C36" s="23" t="str">
        <f aca="false">IF(AND(ISNUMBER(C34),ISNUMBER(C13)),C34/C13,"")</f>
        <v/>
      </c>
      <c r="D36" s="9" t="s">
        <v>86</v>
      </c>
    </row>
    <row r="37" customFormat="false" ht="15" hidden="false" customHeight="false" outlineLevel="0" collapsed="false">
      <c r="B37" s="16" t="s">
        <v>87</v>
      </c>
      <c r="C37" s="22" t="str">
        <f aca="false">IF(ISNUMBER(C34),C35/C34,"")</f>
        <v/>
      </c>
    </row>
    <row r="38" customFormat="false" ht="15" hidden="false" customHeight="false" outlineLevel="0" collapsed="false">
      <c r="B38" s="16" t="s">
        <v>88</v>
      </c>
      <c r="C38" s="22" t="str">
        <f aca="false">IF(AND(ISNUMBER(C35),ISNUMBER(C13)),(C35-C14)/C13,"")</f>
        <v/>
      </c>
    </row>
    <row r="39" customFormat="false" ht="31.5" hidden="false" customHeight="true" outlineLevel="0" collapsed="false">
      <c r="B39" s="16" t="s">
        <v>41</v>
      </c>
      <c r="C39" s="19" t="str">
        <f aca="false">IF(NOT(ISNUMBER(C36)),"",IF(ABS(C36-1)&gt;0.05,"The matrix changes the response by more than 5 percent: use the standard addition value.","No matrix effect beyond 5 percent: either value is acceptable."))</f>
        <v/>
      </c>
      <c r="D39" s="19"/>
    </row>
    <row r="41" customFormat="false" ht="15" hidden="false" customHeight="false" outlineLevel="0" collapsed="false">
      <c r="B41" s="10" t="s">
        <v>89</v>
      </c>
    </row>
  </sheetData>
  <sheetProtection sheet="true" formatColumns="false"/>
  <mergeCells count="2">
    <mergeCell ref="C12:D12"/>
    <mergeCell ref="C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2026-10-01T00:29:12Z</dcterms:created>
  <dc:creator>Emmanuel G. Lozano</dc:creator>
  <dc:description/>
  <dc:language>en-US</dc:language>
  <cp:lastModifiedBy/>
  <dcterms:modified xsi:type="dcterms:W3CDTF">2026-10-01T00:29:15Z</dcterms:modified>
  <cp:revision>1</cp:revision>
  <dc:subject/>
  <dc:title>ACH-04 Conductivity calibration, detection limit, and standard addition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