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<sst xmlns="http://schemas.openxmlformats.org/spreadsheetml/2006/main" count="53" uniqueCount="52">
  <si>
    <t xml:space="preserve">ZOO-06 / CVA-05  Scaling: log-log regression of a trait on body mass</t>
  </si>
  <si>
    <t xml:space="preserve">Excel version of the cards ZOO-06 and CVA-05. It does the same calculations as the R script zoo06_allometry.R.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</si>
  <si>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</si>
  <si>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</si>
  <si>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</si>
  <si>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</si>
  <si>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</si>
  <si>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</si>
  <si>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</si>
  <si>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</si>
  <si>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log10(trait) = log10(a) + b x log10(mass). The slope b is the scaling exponent. Use one consistent unit for mass and one for the trait.</t>
  </si>
  <si>
    <t xml:space="preserve">The standardized major axis slope is sign(r) x sd(y) / sd(x). Species are not independent data points (shared ancestry), so intervals are too narrow.</t>
  </si>
  <si>
    <t xml:space="preserve">Residuals flagged beyond 2 standard deviations are approximate (leverage is ignored). Examine them; do not delete them automatically.</t>
  </si>
  <si>
    <t xml:space="preserve">Differences from the R script on the card</t>
  </si>
  <si>
    <t xml:space="preserve">The R script also shows the effect of measurement error in mass and an approximate interval for the standardized major axis slope. Those two are not repeated here.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</si>
  <si>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</si>
  <si>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</si>
  <si>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</si>
  <si>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</si>
  <si>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Species</t>
  </si>
  <si>
    <t xml:space="preserve">Species</t>
  </si>
  <si>
    <t xml:space="preserve">Body mass</t>
  </si>
  <si>
    <t xml:space="preserve">Trait value</t>
  </si>
  <si>
    <t xml:space="preserve">log10 mass</t>
  </si>
  <si>
    <t xml:space="preserve">log10 trait</t>
  </si>
  <si>
    <t xml:space="preserve">Standardized residual</t>
  </si>
  <si>
    <t xml:space="preserve">Mus musculus</t>
  </si>
  <si>
    <t xml:space="preserve">Results</t>
  </si>
  <si>
    <t xml:space="preserve">Everything on this sheet is calculated. Change only the yellow settings.</t>
  </si>
  <si>
    <t xml:space="preserve">Settings</t>
  </si>
  <si>
    <t xml:space="preserve">Expected exponent 1</t>
  </si>
  <si>
    <t xml:space="preserve">For example 3/4 for metabolic rate.</t>
  </si>
  <si>
    <t xml:space="preserve">Expected exponent 2</t>
  </si>
  <si>
    <t xml:space="preserve">For example 2/3 for surface scaling.</t>
  </si>
  <si>
    <t xml:space="preserve">Regression of log10 trait on log10 mass</t>
  </si>
  <si>
    <t xml:space="preserve">Points used</t>
  </si>
  <si>
    <t xml:space="preserve">Slope (the scaling exponent)</t>
  </si>
  <si>
    <t xml:space="preserve">Intercept (the scaling exponent)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</si>
  <si>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</si>
  <si>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</si>
  <si>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</si>
  <si>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</si>
  <si>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</si>
  <si>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Standardized major axis slope</t>
  </si>
  <si>
    <t xml:space="preserve">log10(a) = intercept, so a =</t>
  </si>
  <si>
    <t xml:space="preserve">Tests of the slope against the expected exponents</t>
  </si>
  <si>
    <t xml:space="preserve">t against expected exponent 1</t>
  </si>
  <si>
    <t xml:space="preserve">p value</t>
  </si>
  <si>
    <t xml:space="preserve">t against expected exponent 2</t>
  </si>
  <si>
    <t xml:space="preserve">Outliers</t>
  </si>
  <si>
    <t xml:space="preserve">Species with |standardized residual| above 2</t>
  </si>
  <si>
    <t xml:space="preserve">See the grey column in the table.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</si>
</sst>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"/>
    <numFmt numFmtId="168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log10 trait against log10 mass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data'!$D$7:$D$106</c:f>
              <c:numCache>
                <c:formatCode>General</c:formatCode>
                <c:ptCount val="100"/>
              </c:numCache>
            </c:numRef>
          </c:xVal>
          <c:yVal>
            <c:numRef>
              <c:f>'Enter data'!$E$7:$E$106</c:f>
              <c:numCache>
                <c:formatCode>General</c:formatCode>
                <c:ptCount val="100"/>
              </c:numCache>
            </c:numRef>
          </c:yVal>
          <c:smooth val="1"/>
        </c:ser>
        <c:axId val="27328353"/>
        <c:axId val="36168481"/>
      </c:scatterChart>
      <c:valAx>
        <c:axId val="273283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log10 mass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68481"/>
        <c:crosses val="autoZero"/>
        <c:crossBetween val="midCat"/>
      </c:valAx>
      <c:valAx>
        <c:axId val="36168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log10 trait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2835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160920</xdr:rowOff>
    </xdr:from>
    <xdr:to>
      <xdr:col>3</xdr:col>
      <xdr:colOff>536040</xdr:colOff>
      <xdr:row>43</xdr:row>
      <xdr:rowOff>172440</xdr:rowOff>
    </xdr:to>
    <xdr:graphicFrame>
      <xdr:nvGraphicFramePr>
        <xdr:cNvPr id="0" name="Chart 1"/>
        <xdr:cNvGraphicFramePr/>
      </xdr:nvGraphicFramePr>
      <xdr:xfrm>
        <a:off x="211320" y="5334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25</v>
      </c>
    </row>
    <row r="6" customFormat="false" ht="15" hidden="false" customHeight="false" outlineLevel="0" collapsed="false">
      <c r="A6" s="11" t="s">
        <v>26</v>
      </c>
      <c r="B6" s="11" t="n">
        <v>20</v>
      </c>
      <c r="C6" s="11" t="n">
        <v>5.1</v>
      </c>
    </row>
    <row r="7" customFormat="false" ht="15" hidden="false" customHeight="false" outlineLevel="0" collapsed="false">
      <c r="A7" s="12"/>
      <c r="B7" s="12"/>
      <c r="C7" s="12"/>
      <c r="D7" s="13" t="str">
        <f aca="false">IF(AND(ISNUMBER(B7),ISNUMBER(C7)),LOG10(B7),"")</f>
        <v/>
      </c>
      <c r="E7" s="13" t="str">
        <f aca="false">IF(AND(ISNUMBER(B7),ISNUMBER(C7)),LOG10(C7),"")</f>
        <v/>
      </c>
      <c r="F7" s="14" t="str">
        <f aca="false">IF(ISNUMBER(D7),(E7-(Results!$C$11+Results!$C$10*D7))/Results!$C$13,"")</f>
        <v/>
      </c>
    </row>
    <row r="8" customFormat="false" ht="15" hidden="false" customHeight="false" outlineLevel="0" collapsed="false">
      <c r="A8" s="12"/>
      <c r="B8" s="12"/>
      <c r="C8" s="12"/>
      <c r="D8" s="13" t="str">
        <f aca="false">IF(AND(ISNUMBER(B8),ISNUMBER(C8)),LOG10(B8),"")</f>
        <v/>
      </c>
      <c r="E8" s="13" t="str">
        <f aca="false">IF(AND(ISNUMBER(B8),ISNUMBER(C8)),LOG10(C8),"")</f>
        <v/>
      </c>
      <c r="F8" s="14" t="str">
        <f aca="false">IF(ISNUMBER(D8),(E8-(Results!$C$11+Results!$C$10*D8))/Results!$C$13,"")</f>
        <v/>
      </c>
    </row>
    <row r="9" customFormat="false" ht="15" hidden="false" customHeight="false" outlineLevel="0" collapsed="false">
      <c r="A9" s="12"/>
      <c r="B9" s="12"/>
      <c r="C9" s="12"/>
      <c r="D9" s="13" t="str">
        <f aca="false">IF(AND(ISNUMBER(B9),ISNUMBER(C9)),LOG10(B9),"")</f>
        <v/>
      </c>
      <c r="E9" s="13" t="str">
        <f aca="false">IF(AND(ISNUMBER(B9),ISNUMBER(C9)),LOG10(C9),"")</f>
        <v/>
      </c>
      <c r="F9" s="14" t="str">
        <f aca="false">IF(ISNUMBER(D9),(E9-(Results!$C$11+Results!$C$10*D9))/Results!$C$13,"")</f>
        <v/>
      </c>
    </row>
    <row r="10" customFormat="false" ht="15" hidden="false" customHeight="false" outlineLevel="0" collapsed="false">
      <c r="A10" s="12"/>
      <c r="B10" s="12"/>
      <c r="C10" s="12"/>
      <c r="D10" s="13" t="str">
        <f aca="false">IF(AND(ISNUMBER(B10),ISNUMBER(C10)),LOG10(B10),"")</f>
        <v/>
      </c>
      <c r="E10" s="13" t="str">
        <f aca="false">IF(AND(ISNUMBER(B10),ISNUMBER(C10)),LOG10(C10),"")</f>
        <v/>
      </c>
      <c r="F10" s="14" t="str">
        <f aca="false">IF(ISNUMBER(D10),(E10-(Results!$C$11+Results!$C$10*D10))/Results!$C$13,"")</f>
        <v/>
      </c>
    </row>
    <row r="11" customFormat="false" ht="15" hidden="false" customHeight="false" outlineLevel="0" collapsed="false">
      <c r="A11" s="12"/>
      <c r="B11" s="12"/>
      <c r="C11" s="12"/>
      <c r="D11" s="13" t="str">
        <f aca="false">IF(AND(ISNUMBER(B11),ISNUMBER(C11)),LOG10(B11),"")</f>
        <v/>
      </c>
      <c r="E11" s="13" t="str">
        <f aca="false">IF(AND(ISNUMBER(B11),ISNUMBER(C11)),LOG10(C11),"")</f>
        <v/>
      </c>
      <c r="F11" s="14" t="str">
        <f aca="false">IF(ISNUMBER(D11),(E11-(Results!$C$11+Results!$C$10*D11))/Results!$C$13,"")</f>
        <v/>
      </c>
    </row>
    <row r="12" customFormat="false" ht="15" hidden="false" customHeight="false" outlineLevel="0" collapsed="false">
      <c r="A12" s="12"/>
      <c r="B12" s="12"/>
      <c r="C12" s="12"/>
      <c r="D12" s="13" t="str">
        <f aca="false">IF(AND(ISNUMBER(B12),ISNUMBER(C12)),LOG10(B12),"")</f>
        <v/>
      </c>
      <c r="E12" s="13" t="str">
        <f aca="false">IF(AND(ISNUMBER(B12),ISNUMBER(C12)),LOG10(C12),"")</f>
        <v/>
      </c>
      <c r="F12" s="14" t="str">
        <f aca="false">IF(ISNUMBER(D12),(E12-(Results!$C$11+Results!$C$10*D12))/Results!$C$13,"")</f>
        <v/>
      </c>
    </row>
    <row r="13" customFormat="false" ht="15" hidden="false" customHeight="false" outlineLevel="0" collapsed="false">
      <c r="A13" s="12"/>
      <c r="B13" s="12"/>
      <c r="C13" s="12"/>
      <c r="D13" s="13" t="str">
        <f aca="false">IF(AND(ISNUMBER(B13),ISNUMBER(C13)),LOG10(B13),"")</f>
        <v/>
      </c>
      <c r="E13" s="13" t="str">
        <f aca="false">IF(AND(ISNUMBER(B13),ISNUMBER(C13)),LOG10(C13),"")</f>
        <v/>
      </c>
      <c r="F13" s="14" t="str">
        <f aca="false">IF(ISNUMBER(D13),(E13-(Results!$C$11+Results!$C$10*D13))/Results!$C$13,"")</f>
        <v/>
      </c>
    </row>
    <row r="14" customFormat="false" ht="15" hidden="false" customHeight="false" outlineLevel="0" collapsed="false">
      <c r="A14" s="12"/>
      <c r="B14" s="12"/>
      <c r="C14" s="12"/>
      <c r="D14" s="13" t="str">
        <f aca="false">IF(AND(ISNUMBER(B14),ISNUMBER(C14)),LOG10(B14),"")</f>
        <v/>
      </c>
      <c r="E14" s="13" t="str">
        <f aca="false">IF(AND(ISNUMBER(B14),ISNUMBER(C14)),LOG10(C14),"")</f>
        <v/>
      </c>
      <c r="F14" s="14" t="str">
        <f aca="false">IF(ISNUMBER(D14),(E14-(Results!$C$11+Results!$C$10*D14))/Results!$C$13,"")</f>
        <v/>
      </c>
    </row>
    <row r="15" customFormat="false" ht="15" hidden="false" customHeight="false" outlineLevel="0" collapsed="false">
      <c r="A15" s="12"/>
      <c r="B15" s="12"/>
      <c r="C15" s="12"/>
      <c r="D15" s="13" t="str">
        <f aca="false">IF(AND(ISNUMBER(B15),ISNUMBER(C15)),LOG10(B15),"")</f>
        <v/>
      </c>
      <c r="E15" s="13" t="str">
        <f aca="false">IF(AND(ISNUMBER(B15),ISNUMBER(C15)),LOG10(C15),"")</f>
        <v/>
      </c>
      <c r="F15" s="14" t="str">
        <f aca="false">IF(ISNUMBER(D15),(E15-(Results!$C$11+Results!$C$10*D15))/Results!$C$13,"")</f>
        <v/>
      </c>
    </row>
    <row r="16" customFormat="false" ht="15" hidden="false" customHeight="false" outlineLevel="0" collapsed="false">
      <c r="A16" s="12"/>
      <c r="B16" s="12"/>
      <c r="C16" s="12"/>
      <c r="D16" s="13" t="str">
        <f aca="false">IF(AND(ISNUMBER(B16),ISNUMBER(C16)),LOG10(B16),"")</f>
        <v/>
      </c>
      <c r="E16" s="13" t="str">
        <f aca="false">IF(AND(ISNUMBER(B16),ISNUMBER(C16)),LOG10(C16),"")</f>
        <v/>
      </c>
      <c r="F16" s="14" t="str">
        <f aca="false">IF(ISNUMBER(D16),(E16-(Results!$C$11+Results!$C$10*D16))/Results!$C$13,"")</f>
        <v/>
      </c>
    </row>
    <row r="17" customFormat="false" ht="15" hidden="false" customHeight="false" outlineLevel="0" collapsed="false">
      <c r="A17" s="12"/>
      <c r="B17" s="12"/>
      <c r="C17" s="12"/>
      <c r="D17" s="13" t="str">
        <f aca="false">IF(AND(ISNUMBER(B17),ISNUMBER(C17)),LOG10(B17),"")</f>
        <v/>
      </c>
      <c r="E17" s="13" t="str">
        <f aca="false">IF(AND(ISNUMBER(B17),ISNUMBER(C17)),LOG10(C17),"")</f>
        <v/>
      </c>
      <c r="F17" s="14" t="str">
        <f aca="false">IF(ISNUMBER(D17),(E17-(Results!$C$11+Results!$C$10*D17))/Results!$C$13,"")</f>
        <v/>
      </c>
    </row>
    <row r="18" customFormat="false" ht="15" hidden="false" customHeight="false" outlineLevel="0" collapsed="false">
      <c r="A18" s="12"/>
      <c r="B18" s="12"/>
      <c r="C18" s="12"/>
      <c r="D18" s="13" t="str">
        <f aca="false">IF(AND(ISNUMBER(B18),ISNUMBER(C18)),LOG10(B18),"")</f>
        <v/>
      </c>
      <c r="E18" s="13" t="str">
        <f aca="false">IF(AND(ISNUMBER(B18),ISNUMBER(C18)),LOG10(C18),"")</f>
        <v/>
      </c>
      <c r="F18" s="14" t="str">
        <f aca="false">IF(ISNUMBER(D18),(E18-(Results!$C$11+Results!$C$10*D18))/Results!$C$13,"")</f>
        <v/>
      </c>
    </row>
    <row r="19" customFormat="false" ht="15" hidden="false" customHeight="false" outlineLevel="0" collapsed="false">
      <c r="A19" s="12"/>
      <c r="B19" s="12"/>
      <c r="C19" s="12"/>
      <c r="D19" s="13" t="str">
        <f aca="false">IF(AND(ISNUMBER(B19),ISNUMBER(C19)),LOG10(B19),"")</f>
        <v/>
      </c>
      <c r="E19" s="13" t="str">
        <f aca="false">IF(AND(ISNUMBER(B19),ISNUMBER(C19)),LOG10(C19),"")</f>
        <v/>
      </c>
      <c r="F19" s="14" t="str">
        <f aca="false">IF(ISNUMBER(D19),(E19-(Results!$C$11+Results!$C$10*D19))/Results!$C$13,"")</f>
        <v/>
      </c>
    </row>
    <row r="20" customFormat="false" ht="15" hidden="false" customHeight="false" outlineLevel="0" collapsed="false">
      <c r="A20" s="12"/>
      <c r="B20" s="12"/>
      <c r="C20" s="12"/>
      <c r="D20" s="13" t="str">
        <f aca="false">IF(AND(ISNUMBER(B20),ISNUMBER(C20)),LOG10(B20),"")</f>
        <v/>
      </c>
      <c r="E20" s="13" t="str">
        <f aca="false">IF(AND(ISNUMBER(B20),ISNUMBER(C20)),LOG10(C20),"")</f>
        <v/>
      </c>
      <c r="F20" s="14" t="str">
        <f aca="false">IF(ISNUMBER(D20),(E20-(Results!$C$11+Results!$C$10*D20))/Results!$C$13,"")</f>
        <v/>
      </c>
    </row>
    <row r="21" customFormat="false" ht="15" hidden="false" customHeight="false" outlineLevel="0" collapsed="false">
      <c r="A21" s="12"/>
      <c r="B21" s="12"/>
      <c r="C21" s="12"/>
      <c r="D21" s="13" t="str">
        <f aca="false">IF(AND(ISNUMBER(B21),ISNUMBER(C21)),LOG10(B21),"")</f>
        <v/>
      </c>
      <c r="E21" s="13" t="str">
        <f aca="false">IF(AND(ISNUMBER(B21),ISNUMBER(C21)),LOG10(C21),"")</f>
        <v/>
      </c>
      <c r="F21" s="14" t="str">
        <f aca="false">IF(ISNUMBER(D21),(E21-(Results!$C$11+Results!$C$10*D21))/Results!$C$13,"")</f>
        <v/>
      </c>
    </row>
    <row r="22" customFormat="false" ht="15" hidden="false" customHeight="false" outlineLevel="0" collapsed="false">
      <c r="A22" s="12"/>
      <c r="B22" s="12"/>
      <c r="C22" s="12"/>
      <c r="D22" s="13" t="str">
        <f aca="false">IF(AND(ISNUMBER(B22),ISNUMBER(C22)),LOG10(B22),"")</f>
        <v/>
      </c>
      <c r="E22" s="13" t="str">
        <f aca="false">IF(AND(ISNUMBER(B22),ISNUMBER(C22)),LOG10(C22),"")</f>
        <v/>
      </c>
      <c r="F22" s="14" t="str">
        <f aca="false">IF(ISNUMBER(D22),(E22-(Results!$C$11+Results!$C$10*D22))/Results!$C$13,"")</f>
        <v/>
      </c>
    </row>
    <row r="23" customFormat="false" ht="15" hidden="false" customHeight="false" outlineLevel="0" collapsed="false">
      <c r="A23" s="12"/>
      <c r="B23" s="12"/>
      <c r="C23" s="12"/>
      <c r="D23" s="13" t="str">
        <f aca="false">IF(AND(ISNUMBER(B23),ISNUMBER(C23)),LOG10(B23),"")</f>
        <v/>
      </c>
      <c r="E23" s="13" t="str">
        <f aca="false">IF(AND(ISNUMBER(B23),ISNUMBER(C23)),LOG10(C23),"")</f>
        <v/>
      </c>
      <c r="F23" s="14" t="str">
        <f aca="false">IF(ISNUMBER(D23),(E23-(Results!$C$11+Results!$C$10*D23))/Results!$C$13,"")</f>
        <v/>
      </c>
    </row>
    <row r="24" customFormat="false" ht="15" hidden="false" customHeight="false" outlineLevel="0" collapsed="false">
      <c r="A24" s="12"/>
      <c r="B24" s="12"/>
      <c r="C24" s="12"/>
      <c r="D24" s="13" t="str">
        <f aca="false">IF(AND(ISNUMBER(B24),ISNUMBER(C24)),LOG10(B24),"")</f>
        <v/>
      </c>
      <c r="E24" s="13" t="str">
        <f aca="false">IF(AND(ISNUMBER(B24),ISNUMBER(C24)),LOG10(C24),"")</f>
        <v/>
      </c>
      <c r="F24" s="14" t="str">
        <f aca="false">IF(ISNUMBER(D24),(E24-(Results!$C$11+Results!$C$10*D24))/Results!$C$13,"")</f>
        <v/>
      </c>
    </row>
    <row r="25" customFormat="false" ht="15" hidden="false" customHeight="false" outlineLevel="0" collapsed="false">
      <c r="A25" s="12"/>
      <c r="B25" s="12"/>
      <c r="C25" s="12"/>
      <c r="D25" s="13" t="str">
        <f aca="false">IF(AND(ISNUMBER(B25),ISNUMBER(C25)),LOG10(B25),"")</f>
        <v/>
      </c>
      <c r="E25" s="13" t="str">
        <f aca="false">IF(AND(ISNUMBER(B25),ISNUMBER(C25)),LOG10(C25),"")</f>
        <v/>
      </c>
      <c r="F25" s="14" t="str">
        <f aca="false">IF(ISNUMBER(D25),(E25-(Results!$C$11+Results!$C$10*D25))/Results!$C$13,"")</f>
        <v/>
      </c>
    </row>
    <row r="26" customFormat="false" ht="15" hidden="false" customHeight="false" outlineLevel="0" collapsed="false">
      <c r="A26" s="12"/>
      <c r="B26" s="12"/>
      <c r="C26" s="12"/>
      <c r="D26" s="13" t="str">
        <f aca="false">IF(AND(ISNUMBER(B26),ISNUMBER(C26)),LOG10(B26),"")</f>
        <v/>
      </c>
      <c r="E26" s="13" t="str">
        <f aca="false">IF(AND(ISNUMBER(B26),ISNUMBER(C26)),LOG10(C26),"")</f>
        <v/>
      </c>
      <c r="F26" s="14" t="str">
        <f aca="false">IF(ISNUMBER(D26),(E26-(Results!$C$11+Results!$C$10*D26))/Results!$C$13,"")</f>
        <v/>
      </c>
    </row>
    <row r="27" customFormat="false" ht="15" hidden="false" customHeight="false" outlineLevel="0" collapsed="false">
      <c r="A27" s="12"/>
      <c r="B27" s="12"/>
      <c r="C27" s="12"/>
      <c r="D27" s="13" t="str">
        <f aca="false">IF(AND(ISNUMBER(B27),ISNUMBER(C27)),LOG10(B27),"")</f>
        <v/>
      </c>
      <c r="E27" s="13" t="str">
        <f aca="false">IF(AND(ISNUMBER(B27),ISNUMBER(C27)),LOG10(C27),"")</f>
        <v/>
      </c>
      <c r="F27" s="14" t="str">
        <f aca="false">IF(ISNUMBER(D27),(E27-(Results!$C$11+Results!$C$10*D27))/Results!$C$13,"")</f>
        <v/>
      </c>
    </row>
    <row r="28" customFormat="false" ht="15" hidden="false" customHeight="false" outlineLevel="0" collapsed="false">
      <c r="A28" s="12"/>
      <c r="B28" s="12"/>
      <c r="C28" s="12"/>
      <c r="D28" s="13" t="str">
        <f aca="false">IF(AND(ISNUMBER(B28),ISNUMBER(C28)),LOG10(B28),"")</f>
        <v/>
      </c>
      <c r="E28" s="13" t="str">
        <f aca="false">IF(AND(ISNUMBER(B28),ISNUMBER(C28)),LOG10(C28),"")</f>
        <v/>
      </c>
      <c r="F28" s="14" t="str">
        <f aca="false">IF(ISNUMBER(D28),(E28-(Results!$C$11+Results!$C$10*D28))/Results!$C$13,"")</f>
        <v/>
      </c>
    </row>
    <row r="29" customFormat="false" ht="15" hidden="false" customHeight="false" outlineLevel="0" collapsed="false">
      <c r="A29" s="12"/>
      <c r="B29" s="12"/>
      <c r="C29" s="12"/>
      <c r="D29" s="13" t="str">
        <f aca="false">IF(AND(ISNUMBER(B29),ISNUMBER(C29)),LOG10(B29),"")</f>
        <v/>
      </c>
      <c r="E29" s="13" t="str">
        <f aca="false">IF(AND(ISNUMBER(B29),ISNUMBER(C29)),LOG10(C29),"")</f>
        <v/>
      </c>
      <c r="F29" s="14" t="str">
        <f aca="false">IF(ISNUMBER(D29),(E29-(Results!$C$11+Results!$C$10*D29))/Results!$C$13,"")</f>
        <v/>
      </c>
    </row>
    <row r="30" customFormat="false" ht="15" hidden="false" customHeight="false" outlineLevel="0" collapsed="false">
      <c r="A30" s="12"/>
      <c r="B30" s="12"/>
      <c r="C30" s="12"/>
      <c r="D30" s="13" t="str">
        <f aca="false">IF(AND(ISNUMBER(B30),ISNUMBER(C30)),LOG10(B30),"")</f>
        <v/>
      </c>
      <c r="E30" s="13" t="str">
        <f aca="false">IF(AND(ISNUMBER(B30),ISNUMBER(C30)),LOG10(C30),"")</f>
        <v/>
      </c>
      <c r="F30" s="14" t="str">
        <f aca="false">IF(ISNUMBER(D30),(E30-(Results!$C$11+Results!$C$10*D30))/Results!$C$13,"")</f>
        <v/>
      </c>
    </row>
    <row r="31" customFormat="false" ht="15" hidden="false" customHeight="false" outlineLevel="0" collapsed="false">
      <c r="A31" s="12"/>
      <c r="B31" s="12"/>
      <c r="C31" s="12"/>
      <c r="D31" s="13" t="str">
        <f aca="false">IF(AND(ISNUMBER(B31),ISNUMBER(C31)),LOG10(B31),"")</f>
        <v/>
      </c>
      <c r="E31" s="13" t="str">
        <f aca="false">IF(AND(ISNUMBER(B31),ISNUMBER(C31)),LOG10(C31),"")</f>
        <v/>
      </c>
      <c r="F31" s="14" t="str">
        <f aca="false">IF(ISNUMBER(D31),(E31-(Results!$C$11+Results!$C$10*D31))/Results!$C$13,"")</f>
        <v/>
      </c>
    </row>
    <row r="32" customFormat="false" ht="15" hidden="false" customHeight="false" outlineLevel="0" collapsed="false">
      <c r="A32" s="12"/>
      <c r="B32" s="12"/>
      <c r="C32" s="12"/>
      <c r="D32" s="13" t="str">
        <f aca="false">IF(AND(ISNUMBER(B32),ISNUMBER(C32)),LOG10(B32),"")</f>
        <v/>
      </c>
      <c r="E32" s="13" t="str">
        <f aca="false">IF(AND(ISNUMBER(B32),ISNUMBER(C32)),LOG10(C32),"")</f>
        <v/>
      </c>
      <c r="F32" s="14" t="str">
        <f aca="false">IF(ISNUMBER(D32),(E32-(Results!$C$11+Results!$C$10*D32))/Results!$C$13,"")</f>
        <v/>
      </c>
    </row>
    <row r="33" customFormat="false" ht="15" hidden="false" customHeight="false" outlineLevel="0" collapsed="false">
      <c r="A33" s="12"/>
      <c r="B33" s="12"/>
      <c r="C33" s="12"/>
      <c r="D33" s="13" t="str">
        <f aca="false">IF(AND(ISNUMBER(B33),ISNUMBER(C33)),LOG10(B33),"")</f>
        <v/>
      </c>
      <c r="E33" s="13" t="str">
        <f aca="false">IF(AND(ISNUMBER(B33),ISNUMBER(C33)),LOG10(C33),"")</f>
        <v/>
      </c>
      <c r="F33" s="14" t="str">
        <f aca="false">IF(ISNUMBER(D33),(E33-(Results!$C$11+Results!$C$10*D33))/Results!$C$13,"")</f>
        <v/>
      </c>
    </row>
    <row r="34" customFormat="false" ht="15" hidden="false" customHeight="false" outlineLevel="0" collapsed="false">
      <c r="A34" s="12"/>
      <c r="B34" s="12"/>
      <c r="C34" s="12"/>
      <c r="D34" s="13" t="str">
        <f aca="false">IF(AND(ISNUMBER(B34),ISNUMBER(C34)),LOG10(B34),"")</f>
        <v/>
      </c>
      <c r="E34" s="13" t="str">
        <f aca="false">IF(AND(ISNUMBER(B34),ISNUMBER(C34)),LOG10(C34),"")</f>
        <v/>
      </c>
      <c r="F34" s="14" t="str">
        <f aca="false">IF(ISNUMBER(D34),(E34-(Results!$C$11+Results!$C$10*D34))/Results!$C$13,"")</f>
        <v/>
      </c>
    </row>
    <row r="35" customFormat="false" ht="15" hidden="false" customHeight="false" outlineLevel="0" collapsed="false">
      <c r="A35" s="12"/>
      <c r="B35" s="12"/>
      <c r="C35" s="12"/>
      <c r="D35" s="13" t="str">
        <f aca="false">IF(AND(ISNUMBER(B35),ISNUMBER(C35)),LOG10(B35),"")</f>
        <v/>
      </c>
      <c r="E35" s="13" t="str">
        <f aca="false">IF(AND(ISNUMBER(B35),ISNUMBER(C35)),LOG10(C35),"")</f>
        <v/>
      </c>
      <c r="F35" s="14" t="str">
        <f aca="false">IF(ISNUMBER(D35),(E35-(Results!$C$11+Results!$C$10*D35))/Results!$C$13,"")</f>
        <v/>
      </c>
    </row>
    <row r="36" customFormat="false" ht="15" hidden="false" customHeight="false" outlineLevel="0" collapsed="false">
      <c r="A36" s="12"/>
      <c r="B36" s="12"/>
      <c r="C36" s="12"/>
      <c r="D36" s="13" t="str">
        <f aca="false">IF(AND(ISNUMBER(B36),ISNUMBER(C36)),LOG10(B36),"")</f>
        <v/>
      </c>
      <c r="E36" s="13" t="str">
        <f aca="false">IF(AND(ISNUMBER(B36),ISNUMBER(C36)),LOG10(C36),"")</f>
        <v/>
      </c>
      <c r="F36" s="14" t="str">
        <f aca="false">IF(ISNUMBER(D36),(E36-(Results!$C$11+Results!$C$10*D36))/Results!$C$13,"")</f>
        <v/>
      </c>
    </row>
    <row r="37" customFormat="false" ht="15" hidden="false" customHeight="false" outlineLevel="0" collapsed="false">
      <c r="A37" s="12"/>
      <c r="B37" s="12"/>
      <c r="C37" s="12"/>
      <c r="D37" s="13" t="str">
        <f aca="false">IF(AND(ISNUMBER(B37),ISNUMBER(C37)),LOG10(B37),"")</f>
        <v/>
      </c>
      <c r="E37" s="13" t="str">
        <f aca="false">IF(AND(ISNUMBER(B37),ISNUMBER(C37)),LOG10(C37),"")</f>
        <v/>
      </c>
      <c r="F37" s="14" t="str">
        <f aca="false">IF(ISNUMBER(D37),(E37-(Results!$C$11+Results!$C$10*D37))/Results!$C$13,"")</f>
        <v/>
      </c>
    </row>
    <row r="38" customFormat="false" ht="15" hidden="false" customHeight="false" outlineLevel="0" collapsed="false">
      <c r="A38" s="12"/>
      <c r="B38" s="12"/>
      <c r="C38" s="12"/>
      <c r="D38" s="13" t="str">
        <f aca="false">IF(AND(ISNUMBER(B38),ISNUMBER(C38)),LOG10(B38),"")</f>
        <v/>
      </c>
      <c r="E38" s="13" t="str">
        <f aca="false">IF(AND(ISNUMBER(B38),ISNUMBER(C38)),LOG10(C38),"")</f>
        <v/>
      </c>
      <c r="F38" s="14" t="str">
        <f aca="false">IF(ISNUMBER(D38),(E38-(Results!$C$11+Results!$C$10*D38))/Results!$C$13,"")</f>
        <v/>
      </c>
    </row>
    <row r="39" customFormat="false" ht="15" hidden="false" customHeight="false" outlineLevel="0" collapsed="false">
      <c r="A39" s="12"/>
      <c r="B39" s="12"/>
      <c r="C39" s="12"/>
      <c r="D39" s="13" t="str">
        <f aca="false">IF(AND(ISNUMBER(B39),ISNUMBER(C39)),LOG10(B39),"")</f>
        <v/>
      </c>
      <c r="E39" s="13" t="str">
        <f aca="false">IF(AND(ISNUMBER(B39),ISNUMBER(C39)),LOG10(C39),"")</f>
        <v/>
      </c>
      <c r="F39" s="14" t="str">
        <f aca="false">IF(ISNUMBER(D39),(E39-(Results!$C$11+Results!$C$10*D39))/Results!$C$13,"")</f>
        <v/>
      </c>
    </row>
    <row r="40" customFormat="false" ht="15" hidden="false" customHeight="false" outlineLevel="0" collapsed="false">
      <c r="A40" s="12"/>
      <c r="B40" s="12"/>
      <c r="C40" s="12"/>
      <c r="D40" s="13" t="str">
        <f aca="false">IF(AND(ISNUMBER(B40),ISNUMBER(C40)),LOG10(B40),"")</f>
        <v/>
      </c>
      <c r="E40" s="13" t="str">
        <f aca="false">IF(AND(ISNUMBER(B40),ISNUMBER(C40)),LOG10(C40),"")</f>
        <v/>
      </c>
      <c r="F40" s="14" t="str">
        <f aca="false">IF(ISNUMBER(D40),(E40-(Results!$C$11+Results!$C$10*D40))/Results!$C$13,"")</f>
        <v/>
      </c>
    </row>
    <row r="41" customFormat="false" ht="15" hidden="false" customHeight="false" outlineLevel="0" collapsed="false">
      <c r="A41" s="12"/>
      <c r="B41" s="12"/>
      <c r="C41" s="12"/>
      <c r="D41" s="13" t="str">
        <f aca="false">IF(AND(ISNUMBER(B41),ISNUMBER(C41)),LOG10(B41),"")</f>
        <v/>
      </c>
      <c r="E41" s="13" t="str">
        <f aca="false">IF(AND(ISNUMBER(B41),ISNUMBER(C41)),LOG10(C41),"")</f>
        <v/>
      </c>
      <c r="F41" s="14" t="str">
        <f aca="false">IF(ISNUMBER(D41),(E41-(Results!$C$11+Results!$C$10*D41))/Results!$C$13,"")</f>
        <v/>
      </c>
    </row>
    <row r="42" customFormat="false" ht="15" hidden="false" customHeight="false" outlineLevel="0" collapsed="false">
      <c r="A42" s="12"/>
      <c r="B42" s="12"/>
      <c r="C42" s="12"/>
      <c r="D42" s="13" t="str">
        <f aca="false">IF(AND(ISNUMBER(B42),ISNUMBER(C42)),LOG10(B42),"")</f>
        <v/>
      </c>
      <c r="E42" s="13" t="str">
        <f aca="false">IF(AND(ISNUMBER(B42),ISNUMBER(C42)),LOG10(C42),"")</f>
        <v/>
      </c>
      <c r="F42" s="14" t="str">
        <f aca="false">IF(ISNUMBER(D42),(E42-(Results!$C$11+Results!$C$10*D42))/Results!$C$13,"")</f>
        <v/>
      </c>
    </row>
    <row r="43" customFormat="false" ht="15" hidden="false" customHeight="false" outlineLevel="0" collapsed="false">
      <c r="A43" s="12"/>
      <c r="B43" s="12"/>
      <c r="C43" s="12"/>
      <c r="D43" s="13" t="str">
        <f aca="false">IF(AND(ISNUMBER(B43),ISNUMBER(C43)),LOG10(B43),"")</f>
        <v/>
      </c>
      <c r="E43" s="13" t="str">
        <f aca="false">IF(AND(ISNUMBER(B43),ISNUMBER(C43)),LOG10(C43),"")</f>
        <v/>
      </c>
      <c r="F43" s="14" t="str">
        <f aca="false">IF(ISNUMBER(D43),(E43-(Results!$C$11+Results!$C$10*D43))/Results!$C$13,"")</f>
        <v/>
      </c>
    </row>
    <row r="44" customFormat="false" ht="15" hidden="false" customHeight="false" outlineLevel="0" collapsed="false">
      <c r="A44" s="12"/>
      <c r="B44" s="12"/>
      <c r="C44" s="12"/>
      <c r="D44" s="13" t="str">
        <f aca="false">IF(AND(ISNUMBER(B44),ISNUMBER(C44)),LOG10(B44),"")</f>
        <v/>
      </c>
      <c r="E44" s="13" t="str">
        <f aca="false">IF(AND(ISNUMBER(B44),ISNUMBER(C44)),LOG10(C44),"")</f>
        <v/>
      </c>
      <c r="F44" s="14" t="str">
        <f aca="false">IF(ISNUMBER(D44),(E44-(Results!$C$11+Results!$C$10*D44))/Results!$C$13,"")</f>
        <v/>
      </c>
    </row>
    <row r="45" customFormat="false" ht="15" hidden="false" customHeight="false" outlineLevel="0" collapsed="false">
      <c r="A45" s="12"/>
      <c r="B45" s="12"/>
      <c r="C45" s="12"/>
      <c r="D45" s="13" t="str">
        <f aca="false">IF(AND(ISNUMBER(B45),ISNUMBER(C45)),LOG10(B45),"")</f>
        <v/>
      </c>
      <c r="E45" s="13" t="str">
        <f aca="false">IF(AND(ISNUMBER(B45),ISNUMBER(C45)),LOG10(C45),"")</f>
        <v/>
      </c>
      <c r="F45" s="14" t="str">
        <f aca="false">IF(ISNUMBER(D45),(E45-(Results!$C$11+Results!$C$10*D45))/Results!$C$13,"")</f>
        <v/>
      </c>
    </row>
    <row r="46" customFormat="false" ht="15" hidden="false" customHeight="false" outlineLevel="0" collapsed="false">
      <c r="A46" s="12"/>
      <c r="B46" s="12"/>
      <c r="C46" s="12"/>
      <c r="D46" s="13" t="str">
        <f aca="false">IF(AND(ISNUMBER(B46),ISNUMBER(C46)),LOG10(B46),"")</f>
        <v/>
      </c>
      <c r="E46" s="13" t="str">
        <f aca="false">IF(AND(ISNUMBER(B46),ISNUMBER(C46)),LOG10(C46),"")</f>
        <v/>
      </c>
      <c r="F46" s="14" t="str">
        <f aca="false">IF(ISNUMBER(D46),(E46-(Results!$C$11+Results!$C$10*D46))/Results!$C$13,"")</f>
        <v/>
      </c>
    </row>
    <row r="47" customFormat="false" ht="15" hidden="false" customHeight="false" outlineLevel="0" collapsed="false">
      <c r="A47" s="12"/>
      <c r="B47" s="12"/>
      <c r="C47" s="12"/>
      <c r="D47" s="13" t="str">
        <f aca="false">IF(AND(ISNUMBER(B47),ISNUMBER(C47)),LOG10(B47),"")</f>
        <v/>
      </c>
      <c r="E47" s="13" t="str">
        <f aca="false">IF(AND(ISNUMBER(B47),ISNUMBER(C47)),LOG10(C47),"")</f>
        <v/>
      </c>
      <c r="F47" s="14" t="str">
        <f aca="false">IF(ISNUMBER(D47),(E47-(Results!$C$11+Results!$C$10*D47))/Results!$C$13,"")</f>
        <v/>
      </c>
    </row>
    <row r="48" customFormat="false" ht="15" hidden="false" customHeight="false" outlineLevel="0" collapsed="false">
      <c r="A48" s="12"/>
      <c r="B48" s="12"/>
      <c r="C48" s="12"/>
      <c r="D48" s="13" t="str">
        <f aca="false">IF(AND(ISNUMBER(B48),ISNUMBER(C48)),LOG10(B48),"")</f>
        <v/>
      </c>
      <c r="E48" s="13" t="str">
        <f aca="false">IF(AND(ISNUMBER(B48),ISNUMBER(C48)),LOG10(C48),"")</f>
        <v/>
      </c>
      <c r="F48" s="14" t="str">
        <f aca="false">IF(ISNUMBER(D48),(E48-(Results!$C$11+Results!$C$10*D48))/Results!$C$13,"")</f>
        <v/>
      </c>
    </row>
    <row r="49" customFormat="false" ht="15" hidden="false" customHeight="false" outlineLevel="0" collapsed="false">
      <c r="A49" s="12"/>
      <c r="B49" s="12"/>
      <c r="C49" s="12"/>
      <c r="D49" s="13" t="str">
        <f aca="false">IF(AND(ISNUMBER(B49),ISNUMBER(C49)),LOG10(B49),"")</f>
        <v/>
      </c>
      <c r="E49" s="13" t="str">
        <f aca="false">IF(AND(ISNUMBER(B49),ISNUMBER(C49)),LOG10(C49),"")</f>
        <v/>
      </c>
      <c r="F49" s="14" t="str">
        <f aca="false">IF(ISNUMBER(D49),(E49-(Results!$C$11+Results!$C$10*D49))/Results!$C$13,"")</f>
        <v/>
      </c>
    </row>
    <row r="50" customFormat="false" ht="15" hidden="false" customHeight="false" outlineLevel="0" collapsed="false">
      <c r="A50" s="12"/>
      <c r="B50" s="12"/>
      <c r="C50" s="12"/>
      <c r="D50" s="13" t="str">
        <f aca="false">IF(AND(ISNUMBER(B50),ISNUMBER(C50)),LOG10(B50),"")</f>
        <v/>
      </c>
      <c r="E50" s="13" t="str">
        <f aca="false">IF(AND(ISNUMBER(B50),ISNUMBER(C50)),LOG10(C50),"")</f>
        <v/>
      </c>
      <c r="F50" s="14" t="str">
        <f aca="false">IF(ISNUMBER(D50),(E50-(Results!$C$11+Results!$C$10*D50))/Results!$C$13,"")</f>
        <v/>
      </c>
    </row>
    <row r="51" customFormat="false" ht="15" hidden="false" customHeight="false" outlineLevel="0" collapsed="false">
      <c r="A51" s="12"/>
      <c r="B51" s="12"/>
      <c r="C51" s="12"/>
      <c r="D51" s="13" t="str">
        <f aca="false">IF(AND(ISNUMBER(B51),ISNUMBER(C51)),LOG10(B51),"")</f>
        <v/>
      </c>
      <c r="E51" s="13" t="str">
        <f aca="false">IF(AND(ISNUMBER(B51),ISNUMBER(C51)),LOG10(C51),"")</f>
        <v/>
      </c>
      <c r="F51" s="14" t="str">
        <f aca="false">IF(ISNUMBER(D51),(E51-(Results!$C$11+Results!$C$10*D51))/Results!$C$13,"")</f>
        <v/>
      </c>
    </row>
    <row r="52" customFormat="false" ht="15" hidden="false" customHeight="false" outlineLevel="0" collapsed="false">
      <c r="A52" s="12"/>
      <c r="B52" s="12"/>
      <c r="C52" s="12"/>
      <c r="D52" s="13" t="str">
        <f aca="false">IF(AND(ISNUMBER(B52),ISNUMBER(C52)),LOG10(B52),"")</f>
        <v/>
      </c>
      <c r="E52" s="13" t="str">
        <f aca="false">IF(AND(ISNUMBER(B52),ISNUMBER(C52)),LOG10(C52),"")</f>
        <v/>
      </c>
      <c r="F52" s="14" t="str">
        <f aca="false">IF(ISNUMBER(D52),(E52-(Results!$C$11+Results!$C$10*D52))/Results!$C$13,"")</f>
        <v/>
      </c>
    </row>
    <row r="53" customFormat="false" ht="15" hidden="false" customHeight="false" outlineLevel="0" collapsed="false">
      <c r="A53" s="12"/>
      <c r="B53" s="12"/>
      <c r="C53" s="12"/>
      <c r="D53" s="13" t="str">
        <f aca="false">IF(AND(ISNUMBER(B53),ISNUMBER(C53)),LOG10(B53),"")</f>
        <v/>
      </c>
      <c r="E53" s="13" t="str">
        <f aca="false">IF(AND(ISNUMBER(B53),ISNUMBER(C53)),LOG10(C53),"")</f>
        <v/>
      </c>
      <c r="F53" s="14" t="str">
        <f aca="false">IF(ISNUMBER(D53),(E53-(Results!$C$11+Results!$C$10*D53))/Results!$C$13,"")</f>
        <v/>
      </c>
    </row>
    <row r="54" customFormat="false" ht="15" hidden="false" customHeight="false" outlineLevel="0" collapsed="false">
      <c r="A54" s="12"/>
      <c r="B54" s="12"/>
      <c r="C54" s="12"/>
      <c r="D54" s="13" t="str">
        <f aca="false">IF(AND(ISNUMBER(B54),ISNUMBER(C54)),LOG10(B54),"")</f>
        <v/>
      </c>
      <c r="E54" s="13" t="str">
        <f aca="false">IF(AND(ISNUMBER(B54),ISNUMBER(C54)),LOG10(C54),"")</f>
        <v/>
      </c>
      <c r="F54" s="14" t="str">
        <f aca="false">IF(ISNUMBER(D54),(E54-(Results!$C$11+Results!$C$10*D54))/Results!$C$13,"")</f>
        <v/>
      </c>
    </row>
    <row r="55" customFormat="false" ht="15" hidden="false" customHeight="false" outlineLevel="0" collapsed="false">
      <c r="A55" s="12"/>
      <c r="B55" s="12"/>
      <c r="C55" s="12"/>
      <c r="D55" s="13" t="str">
        <f aca="false">IF(AND(ISNUMBER(B55),ISNUMBER(C55)),LOG10(B55),"")</f>
        <v/>
      </c>
      <c r="E55" s="13" t="str">
        <f aca="false">IF(AND(ISNUMBER(B55),ISNUMBER(C55)),LOG10(C55),"")</f>
        <v/>
      </c>
      <c r="F55" s="14" t="str">
        <f aca="false">IF(ISNUMBER(D55),(E55-(Results!$C$11+Results!$C$10*D55))/Results!$C$13,"")</f>
        <v/>
      </c>
    </row>
    <row r="56" customFormat="false" ht="15" hidden="false" customHeight="false" outlineLevel="0" collapsed="false">
      <c r="A56" s="12"/>
      <c r="B56" s="12"/>
      <c r="C56" s="12"/>
      <c r="D56" s="13" t="str">
        <f aca="false">IF(AND(ISNUMBER(B56),ISNUMBER(C56)),LOG10(B56),"")</f>
        <v/>
      </c>
      <c r="E56" s="13" t="str">
        <f aca="false">IF(AND(ISNUMBER(B56),ISNUMBER(C56)),LOG10(C56),"")</f>
        <v/>
      </c>
      <c r="F56" s="14" t="str">
        <f aca="false">IF(ISNUMBER(D56),(E56-(Results!$C$11+Results!$C$10*D56))/Results!$C$13,"")</f>
        <v/>
      </c>
    </row>
    <row r="57" customFormat="false" ht="15" hidden="false" customHeight="false" outlineLevel="0" collapsed="false">
      <c r="A57" s="12"/>
      <c r="B57" s="12"/>
      <c r="C57" s="12"/>
      <c r="D57" s="13" t="str">
        <f aca="false">IF(AND(ISNUMBER(B57),ISNUMBER(C57)),LOG10(B57),"")</f>
        <v/>
      </c>
      <c r="E57" s="13" t="str">
        <f aca="false">IF(AND(ISNUMBER(B57),ISNUMBER(C57)),LOG10(C57),"")</f>
        <v/>
      </c>
      <c r="F57" s="14" t="str">
        <f aca="false">IF(ISNUMBER(D57),(E57-(Results!$C$11+Results!$C$10*D57))/Results!$C$13,"")</f>
        <v/>
      </c>
    </row>
    <row r="58" customFormat="false" ht="15" hidden="false" customHeight="false" outlineLevel="0" collapsed="false">
      <c r="A58" s="12"/>
      <c r="B58" s="12"/>
      <c r="C58" s="12"/>
      <c r="D58" s="13" t="str">
        <f aca="false">IF(AND(ISNUMBER(B58),ISNUMBER(C58)),LOG10(B58),"")</f>
        <v/>
      </c>
      <c r="E58" s="13" t="str">
        <f aca="false">IF(AND(ISNUMBER(B58),ISNUMBER(C58)),LOG10(C58),"")</f>
        <v/>
      </c>
      <c r="F58" s="14" t="str">
        <f aca="false">IF(ISNUMBER(D58),(E58-(Results!$C$11+Results!$C$10*D58))/Results!$C$13,"")</f>
        <v/>
      </c>
    </row>
    <row r="59" customFormat="false" ht="15" hidden="false" customHeight="false" outlineLevel="0" collapsed="false">
      <c r="A59" s="12"/>
      <c r="B59" s="12"/>
      <c r="C59" s="12"/>
      <c r="D59" s="13" t="str">
        <f aca="false">IF(AND(ISNUMBER(B59),ISNUMBER(C59)),LOG10(B59),"")</f>
        <v/>
      </c>
      <c r="E59" s="13" t="str">
        <f aca="false">IF(AND(ISNUMBER(B59),ISNUMBER(C59)),LOG10(C59),"")</f>
        <v/>
      </c>
      <c r="F59" s="14" t="str">
        <f aca="false">IF(ISNUMBER(D59),(E59-(Results!$C$11+Results!$C$10*D59))/Results!$C$13,"")</f>
        <v/>
      </c>
    </row>
    <row r="60" customFormat="false" ht="15" hidden="false" customHeight="false" outlineLevel="0" collapsed="false">
      <c r="A60" s="12"/>
      <c r="B60" s="12"/>
      <c r="C60" s="12"/>
      <c r="D60" s="13" t="str">
        <f aca="false">IF(AND(ISNUMBER(B60),ISNUMBER(C60)),LOG10(B60),"")</f>
        <v/>
      </c>
      <c r="E60" s="13" t="str">
        <f aca="false">IF(AND(ISNUMBER(B60),ISNUMBER(C60)),LOG10(C60),"")</f>
        <v/>
      </c>
      <c r="F60" s="14" t="str">
        <f aca="false">IF(ISNUMBER(D60),(E60-(Results!$C$11+Results!$C$10*D60))/Results!$C$13,"")</f>
        <v/>
      </c>
    </row>
    <row r="61" customFormat="false" ht="15" hidden="false" customHeight="false" outlineLevel="0" collapsed="false">
      <c r="A61" s="12"/>
      <c r="B61" s="12"/>
      <c r="C61" s="12"/>
      <c r="D61" s="13" t="str">
        <f aca="false">IF(AND(ISNUMBER(B61),ISNUMBER(C61)),LOG10(B61),"")</f>
        <v/>
      </c>
      <c r="E61" s="13" t="str">
        <f aca="false">IF(AND(ISNUMBER(B61),ISNUMBER(C61)),LOG10(C61),"")</f>
        <v/>
      </c>
      <c r="F61" s="14" t="str">
        <f aca="false">IF(ISNUMBER(D61),(E61-(Results!$C$11+Results!$C$10*D61))/Results!$C$13,"")</f>
        <v/>
      </c>
    </row>
    <row r="62" customFormat="false" ht="15" hidden="false" customHeight="false" outlineLevel="0" collapsed="false">
      <c r="A62" s="12"/>
      <c r="B62" s="12"/>
      <c r="C62" s="12"/>
      <c r="D62" s="13" t="str">
        <f aca="false">IF(AND(ISNUMBER(B62),ISNUMBER(C62)),LOG10(B62),"")</f>
        <v/>
      </c>
      <c r="E62" s="13" t="str">
        <f aca="false">IF(AND(ISNUMBER(B62),ISNUMBER(C62)),LOG10(C62),"")</f>
        <v/>
      </c>
      <c r="F62" s="14" t="str">
        <f aca="false">IF(ISNUMBER(D62),(E62-(Results!$C$11+Results!$C$10*D62))/Results!$C$13,"")</f>
        <v/>
      </c>
    </row>
    <row r="63" customFormat="false" ht="15" hidden="false" customHeight="false" outlineLevel="0" collapsed="false">
      <c r="A63" s="12"/>
      <c r="B63" s="12"/>
      <c r="C63" s="12"/>
      <c r="D63" s="13" t="str">
        <f aca="false">IF(AND(ISNUMBER(B63),ISNUMBER(C63)),LOG10(B63),"")</f>
        <v/>
      </c>
      <c r="E63" s="13" t="str">
        <f aca="false">IF(AND(ISNUMBER(B63),ISNUMBER(C63)),LOG10(C63),"")</f>
        <v/>
      </c>
      <c r="F63" s="14" t="str">
        <f aca="false">IF(ISNUMBER(D63),(E63-(Results!$C$11+Results!$C$10*D63))/Results!$C$13,"")</f>
        <v/>
      </c>
    </row>
    <row r="64" customFormat="false" ht="15" hidden="false" customHeight="false" outlineLevel="0" collapsed="false">
      <c r="A64" s="12"/>
      <c r="B64" s="12"/>
      <c r="C64" s="12"/>
      <c r="D64" s="13" t="str">
        <f aca="false">IF(AND(ISNUMBER(B64),ISNUMBER(C64)),LOG10(B64),"")</f>
        <v/>
      </c>
      <c r="E64" s="13" t="str">
        <f aca="false">IF(AND(ISNUMBER(B64),ISNUMBER(C64)),LOG10(C64),"")</f>
        <v/>
      </c>
      <c r="F64" s="14" t="str">
        <f aca="false">IF(ISNUMBER(D64),(E64-(Results!$C$11+Results!$C$10*D64))/Results!$C$13,"")</f>
        <v/>
      </c>
    </row>
    <row r="65" customFormat="false" ht="15" hidden="false" customHeight="false" outlineLevel="0" collapsed="false">
      <c r="A65" s="12"/>
      <c r="B65" s="12"/>
      <c r="C65" s="12"/>
      <c r="D65" s="13" t="str">
        <f aca="false">IF(AND(ISNUMBER(B65),ISNUMBER(C65)),LOG10(B65),"")</f>
        <v/>
      </c>
      <c r="E65" s="13" t="str">
        <f aca="false">IF(AND(ISNUMBER(B65),ISNUMBER(C65)),LOG10(C65),"")</f>
        <v/>
      </c>
      <c r="F65" s="14" t="str">
        <f aca="false">IF(ISNUMBER(D65),(E65-(Results!$C$11+Results!$C$10*D65))/Results!$C$13,"")</f>
        <v/>
      </c>
    </row>
    <row r="66" customFormat="false" ht="15" hidden="false" customHeight="false" outlineLevel="0" collapsed="false">
      <c r="A66" s="12"/>
      <c r="B66" s="12"/>
      <c r="C66" s="12"/>
      <c r="D66" s="13" t="str">
        <f aca="false">IF(AND(ISNUMBER(B66),ISNUMBER(C66)),LOG10(B66),"")</f>
        <v/>
      </c>
      <c r="E66" s="13" t="str">
        <f aca="false">IF(AND(ISNUMBER(B66),ISNUMBER(C66)),LOG10(C66),"")</f>
        <v/>
      </c>
      <c r="F66" s="14" t="str">
        <f aca="false">IF(ISNUMBER(D66),(E66-(Results!$C$11+Results!$C$10*D66))/Results!$C$13,"")</f>
        <v/>
      </c>
    </row>
    <row r="67" customFormat="false" ht="15" hidden="false" customHeight="false" outlineLevel="0" collapsed="false">
      <c r="A67" s="12"/>
      <c r="B67" s="12"/>
      <c r="C67" s="12"/>
      <c r="D67" s="13" t="str">
        <f aca="false">IF(AND(ISNUMBER(B67),ISNUMBER(C67)),LOG10(B67),"")</f>
        <v/>
      </c>
      <c r="E67" s="13" t="str">
        <f aca="false">IF(AND(ISNUMBER(B67),ISNUMBER(C67)),LOG10(C67),"")</f>
        <v/>
      </c>
      <c r="F67" s="14" t="str">
        <f aca="false">IF(ISNUMBER(D67),(E67-(Results!$C$11+Results!$C$10*D67))/Results!$C$13,"")</f>
        <v/>
      </c>
    </row>
    <row r="68" customFormat="false" ht="15" hidden="false" customHeight="false" outlineLevel="0" collapsed="false">
      <c r="A68" s="12"/>
      <c r="B68" s="12"/>
      <c r="C68" s="12"/>
      <c r="D68" s="13" t="str">
        <f aca="false">IF(AND(ISNUMBER(B68),ISNUMBER(C68)),LOG10(B68),"")</f>
        <v/>
      </c>
      <c r="E68" s="13" t="str">
        <f aca="false">IF(AND(ISNUMBER(B68),ISNUMBER(C68)),LOG10(C68),"")</f>
        <v/>
      </c>
      <c r="F68" s="14" t="str">
        <f aca="false">IF(ISNUMBER(D68),(E68-(Results!$C$11+Results!$C$10*D68))/Results!$C$13,"")</f>
        <v/>
      </c>
    </row>
    <row r="69" customFormat="false" ht="15" hidden="false" customHeight="false" outlineLevel="0" collapsed="false">
      <c r="A69" s="12"/>
      <c r="B69" s="12"/>
      <c r="C69" s="12"/>
      <c r="D69" s="13" t="str">
        <f aca="false">IF(AND(ISNUMBER(B69),ISNUMBER(C69)),LOG10(B69),"")</f>
        <v/>
      </c>
      <c r="E69" s="13" t="str">
        <f aca="false">IF(AND(ISNUMBER(B69),ISNUMBER(C69)),LOG10(C69),"")</f>
        <v/>
      </c>
      <c r="F69" s="14" t="str">
        <f aca="false">IF(ISNUMBER(D69),(E69-(Results!$C$11+Results!$C$10*D69))/Results!$C$13,"")</f>
        <v/>
      </c>
    </row>
    <row r="70" customFormat="false" ht="15" hidden="false" customHeight="false" outlineLevel="0" collapsed="false">
      <c r="A70" s="12"/>
      <c r="B70" s="12"/>
      <c r="C70" s="12"/>
      <c r="D70" s="13" t="str">
        <f aca="false">IF(AND(ISNUMBER(B70),ISNUMBER(C70)),LOG10(B70),"")</f>
        <v/>
      </c>
      <c r="E70" s="13" t="str">
        <f aca="false">IF(AND(ISNUMBER(B70),ISNUMBER(C70)),LOG10(C70),"")</f>
        <v/>
      </c>
      <c r="F70" s="14" t="str">
        <f aca="false">IF(ISNUMBER(D70),(E70-(Results!$C$11+Results!$C$10*D70))/Results!$C$13,"")</f>
        <v/>
      </c>
    </row>
    <row r="71" customFormat="false" ht="15" hidden="false" customHeight="false" outlineLevel="0" collapsed="false">
      <c r="A71" s="12"/>
      <c r="B71" s="12"/>
      <c r="C71" s="12"/>
      <c r="D71" s="13" t="str">
        <f aca="false">IF(AND(ISNUMBER(B71),ISNUMBER(C71)),LOG10(B71),"")</f>
        <v/>
      </c>
      <c r="E71" s="13" t="str">
        <f aca="false">IF(AND(ISNUMBER(B71),ISNUMBER(C71)),LOG10(C71),"")</f>
        <v/>
      </c>
      <c r="F71" s="14" t="str">
        <f aca="false">IF(ISNUMBER(D71),(E71-(Results!$C$11+Results!$C$10*D71))/Results!$C$13,"")</f>
        <v/>
      </c>
    </row>
    <row r="72" customFormat="false" ht="15" hidden="false" customHeight="false" outlineLevel="0" collapsed="false">
      <c r="A72" s="12"/>
      <c r="B72" s="12"/>
      <c r="C72" s="12"/>
      <c r="D72" s="13" t="str">
        <f aca="false">IF(AND(ISNUMBER(B72),ISNUMBER(C72)),LOG10(B72),"")</f>
        <v/>
      </c>
      <c r="E72" s="13" t="str">
        <f aca="false">IF(AND(ISNUMBER(B72),ISNUMBER(C72)),LOG10(C72),"")</f>
        <v/>
      </c>
      <c r="F72" s="14" t="str">
        <f aca="false">IF(ISNUMBER(D72),(E72-(Results!$C$11+Results!$C$10*D72))/Results!$C$13,"")</f>
        <v/>
      </c>
    </row>
    <row r="73" customFormat="false" ht="15" hidden="false" customHeight="false" outlineLevel="0" collapsed="false">
      <c r="A73" s="12"/>
      <c r="B73" s="12"/>
      <c r="C73" s="12"/>
      <c r="D73" s="13" t="str">
        <f aca="false">IF(AND(ISNUMBER(B73),ISNUMBER(C73)),LOG10(B73),"")</f>
        <v/>
      </c>
      <c r="E73" s="13" t="str">
        <f aca="false">IF(AND(ISNUMBER(B73),ISNUMBER(C73)),LOG10(C73),"")</f>
        <v/>
      </c>
      <c r="F73" s="14" t="str">
        <f aca="false">IF(ISNUMBER(D73),(E73-(Results!$C$11+Results!$C$10*D73))/Results!$C$13,"")</f>
        <v/>
      </c>
    </row>
    <row r="74" customFormat="false" ht="15" hidden="false" customHeight="false" outlineLevel="0" collapsed="false">
      <c r="A74" s="12"/>
      <c r="B74" s="12"/>
      <c r="C74" s="12"/>
      <c r="D74" s="13" t="str">
        <f aca="false">IF(AND(ISNUMBER(B74),ISNUMBER(C74)),LOG10(B74),"")</f>
        <v/>
      </c>
      <c r="E74" s="13" t="str">
        <f aca="false">IF(AND(ISNUMBER(B74),ISNUMBER(C74)),LOG10(C74),"")</f>
        <v/>
      </c>
      <c r="F74" s="14" t="str">
        <f aca="false">IF(ISNUMBER(D74),(E74-(Results!$C$11+Results!$C$10*D74))/Results!$C$13,"")</f>
        <v/>
      </c>
    </row>
    <row r="75" customFormat="false" ht="15" hidden="false" customHeight="false" outlineLevel="0" collapsed="false">
      <c r="A75" s="12"/>
      <c r="B75" s="12"/>
      <c r="C75" s="12"/>
      <c r="D75" s="13" t="str">
        <f aca="false">IF(AND(ISNUMBER(B75),ISNUMBER(C75)),LOG10(B75),"")</f>
        <v/>
      </c>
      <c r="E75" s="13" t="str">
        <f aca="false">IF(AND(ISNUMBER(B75),ISNUMBER(C75)),LOG10(C75),"")</f>
        <v/>
      </c>
      <c r="F75" s="14" t="str">
        <f aca="false">IF(ISNUMBER(D75),(E75-(Results!$C$11+Results!$C$10*D75))/Results!$C$13,"")</f>
        <v/>
      </c>
    </row>
    <row r="76" customFormat="false" ht="15" hidden="false" customHeight="false" outlineLevel="0" collapsed="false">
      <c r="A76" s="12"/>
      <c r="B76" s="12"/>
      <c r="C76" s="12"/>
      <c r="D76" s="13" t="str">
        <f aca="false">IF(AND(ISNUMBER(B76),ISNUMBER(C76)),LOG10(B76),"")</f>
        <v/>
      </c>
      <c r="E76" s="13" t="str">
        <f aca="false">IF(AND(ISNUMBER(B76),ISNUMBER(C76)),LOG10(C76),"")</f>
        <v/>
      </c>
      <c r="F76" s="14" t="str">
        <f aca="false">IF(ISNUMBER(D76),(E76-(Results!$C$11+Results!$C$10*D76))/Results!$C$13,"")</f>
        <v/>
      </c>
    </row>
    <row r="77" customFormat="false" ht="15" hidden="false" customHeight="false" outlineLevel="0" collapsed="false">
      <c r="A77" s="12"/>
      <c r="B77" s="12"/>
      <c r="C77" s="12"/>
      <c r="D77" s="13" t="str">
        <f aca="false">IF(AND(ISNUMBER(B77),ISNUMBER(C77)),LOG10(B77),"")</f>
        <v/>
      </c>
      <c r="E77" s="13" t="str">
        <f aca="false">IF(AND(ISNUMBER(B77),ISNUMBER(C77)),LOG10(C77),"")</f>
        <v/>
      </c>
      <c r="F77" s="14" t="str">
        <f aca="false">IF(ISNUMBER(D77),(E77-(Results!$C$11+Results!$C$10*D77))/Results!$C$13,"")</f>
        <v/>
      </c>
    </row>
    <row r="78" customFormat="false" ht="15" hidden="false" customHeight="false" outlineLevel="0" collapsed="false">
      <c r="A78" s="12"/>
      <c r="B78" s="12"/>
      <c r="C78" s="12"/>
      <c r="D78" s="13" t="str">
        <f aca="false">IF(AND(ISNUMBER(B78),ISNUMBER(C78)),LOG10(B78),"")</f>
        <v/>
      </c>
      <c r="E78" s="13" t="str">
        <f aca="false">IF(AND(ISNUMBER(B78),ISNUMBER(C78)),LOG10(C78),"")</f>
        <v/>
      </c>
      <c r="F78" s="14" t="str">
        <f aca="false">IF(ISNUMBER(D78),(E78-(Results!$C$11+Results!$C$10*D78))/Results!$C$13,"")</f>
        <v/>
      </c>
    </row>
    <row r="79" customFormat="false" ht="15" hidden="false" customHeight="false" outlineLevel="0" collapsed="false">
      <c r="A79" s="12"/>
      <c r="B79" s="12"/>
      <c r="C79" s="12"/>
      <c r="D79" s="13" t="str">
        <f aca="false">IF(AND(ISNUMBER(B79),ISNUMBER(C79)),LOG10(B79),"")</f>
        <v/>
      </c>
      <c r="E79" s="13" t="str">
        <f aca="false">IF(AND(ISNUMBER(B79),ISNUMBER(C79)),LOG10(C79),"")</f>
        <v/>
      </c>
      <c r="F79" s="14" t="str">
        <f aca="false">IF(ISNUMBER(D79),(E79-(Results!$C$11+Results!$C$10*D79))/Results!$C$13,"")</f>
        <v/>
      </c>
    </row>
    <row r="80" customFormat="false" ht="15" hidden="false" customHeight="false" outlineLevel="0" collapsed="false">
      <c r="A80" s="12"/>
      <c r="B80" s="12"/>
      <c r="C80" s="12"/>
      <c r="D80" s="13" t="str">
        <f aca="false">IF(AND(ISNUMBER(B80),ISNUMBER(C80)),LOG10(B80),"")</f>
        <v/>
      </c>
      <c r="E80" s="13" t="str">
        <f aca="false">IF(AND(ISNUMBER(B80),ISNUMBER(C80)),LOG10(C80),"")</f>
        <v/>
      </c>
      <c r="F80" s="14" t="str">
        <f aca="false">IF(ISNUMBER(D80),(E80-(Results!$C$11+Results!$C$10*D80))/Results!$C$13,"")</f>
        <v/>
      </c>
    </row>
    <row r="81" customFormat="false" ht="15" hidden="false" customHeight="false" outlineLevel="0" collapsed="false">
      <c r="A81" s="12"/>
      <c r="B81" s="12"/>
      <c r="C81" s="12"/>
      <c r="D81" s="13" t="str">
        <f aca="false">IF(AND(ISNUMBER(B81),ISNUMBER(C81)),LOG10(B81),"")</f>
        <v/>
      </c>
      <c r="E81" s="13" t="str">
        <f aca="false">IF(AND(ISNUMBER(B81),ISNUMBER(C81)),LOG10(C81),"")</f>
        <v/>
      </c>
      <c r="F81" s="14" t="str">
        <f aca="false">IF(ISNUMBER(D81),(E81-(Results!$C$11+Results!$C$10*D81))/Results!$C$13,"")</f>
        <v/>
      </c>
    </row>
    <row r="82" customFormat="false" ht="15" hidden="false" customHeight="false" outlineLevel="0" collapsed="false">
      <c r="A82" s="12"/>
      <c r="B82" s="12"/>
      <c r="C82" s="12"/>
      <c r="D82" s="13" t="str">
        <f aca="false">IF(AND(ISNUMBER(B82),ISNUMBER(C82)),LOG10(B82),"")</f>
        <v/>
      </c>
      <c r="E82" s="13" t="str">
        <f aca="false">IF(AND(ISNUMBER(B82),ISNUMBER(C82)),LOG10(C82),"")</f>
        <v/>
      </c>
      <c r="F82" s="14" t="str">
        <f aca="false">IF(ISNUMBER(D82),(E82-(Results!$C$11+Results!$C$10*D82))/Results!$C$13,"")</f>
        <v/>
      </c>
    </row>
    <row r="83" customFormat="false" ht="15" hidden="false" customHeight="false" outlineLevel="0" collapsed="false">
      <c r="A83" s="12"/>
      <c r="B83" s="12"/>
      <c r="C83" s="12"/>
      <c r="D83" s="13" t="str">
        <f aca="false">IF(AND(ISNUMBER(B83),ISNUMBER(C83)),LOG10(B83),"")</f>
        <v/>
      </c>
      <c r="E83" s="13" t="str">
        <f aca="false">IF(AND(ISNUMBER(B83),ISNUMBER(C83)),LOG10(C83),"")</f>
        <v/>
      </c>
      <c r="F83" s="14" t="str">
        <f aca="false">IF(ISNUMBER(D83),(E83-(Results!$C$11+Results!$C$10*D83))/Results!$C$13,"")</f>
        <v/>
      </c>
    </row>
    <row r="84" customFormat="false" ht="15" hidden="false" customHeight="false" outlineLevel="0" collapsed="false">
      <c r="A84" s="12"/>
      <c r="B84" s="12"/>
      <c r="C84" s="12"/>
      <c r="D84" s="13" t="str">
        <f aca="false">IF(AND(ISNUMBER(B84),ISNUMBER(C84)),LOG10(B84),"")</f>
        <v/>
      </c>
      <c r="E84" s="13" t="str">
        <f aca="false">IF(AND(ISNUMBER(B84),ISNUMBER(C84)),LOG10(C84),"")</f>
        <v/>
      </c>
      <c r="F84" s="14" t="str">
        <f aca="false">IF(ISNUMBER(D84),(E84-(Results!$C$11+Results!$C$10*D84))/Results!$C$13,"")</f>
        <v/>
      </c>
    </row>
    <row r="85" customFormat="false" ht="15" hidden="false" customHeight="false" outlineLevel="0" collapsed="false">
      <c r="A85" s="12"/>
      <c r="B85" s="12"/>
      <c r="C85" s="12"/>
      <c r="D85" s="13" t="str">
        <f aca="false">IF(AND(ISNUMBER(B85),ISNUMBER(C85)),LOG10(B85),"")</f>
        <v/>
      </c>
      <c r="E85" s="13" t="str">
        <f aca="false">IF(AND(ISNUMBER(B85),ISNUMBER(C85)),LOG10(C85),"")</f>
        <v/>
      </c>
      <c r="F85" s="14" t="str">
        <f aca="false">IF(ISNUMBER(D85),(E85-(Results!$C$11+Results!$C$10*D85))/Results!$C$13,"")</f>
        <v/>
      </c>
    </row>
    <row r="86" customFormat="false" ht="15" hidden="false" customHeight="false" outlineLevel="0" collapsed="false">
      <c r="A86" s="12"/>
      <c r="B86" s="12"/>
      <c r="C86" s="12"/>
      <c r="D86" s="13" t="str">
        <f aca="false">IF(AND(ISNUMBER(B86),ISNUMBER(C86)),LOG10(B86),"")</f>
        <v/>
      </c>
      <c r="E86" s="13" t="str">
        <f aca="false">IF(AND(ISNUMBER(B86),ISNUMBER(C86)),LOG10(C86),"")</f>
        <v/>
      </c>
      <c r="F86" s="14" t="str">
        <f aca="false">IF(ISNUMBER(D86),(E86-(Results!$C$11+Results!$C$10*D86))/Results!$C$13,"")</f>
        <v/>
      </c>
    </row>
    <row r="87" customFormat="false" ht="15" hidden="false" customHeight="false" outlineLevel="0" collapsed="false">
      <c r="A87" s="12"/>
      <c r="B87" s="12"/>
      <c r="C87" s="12"/>
      <c r="D87" s="13" t="str">
        <f aca="false">IF(AND(ISNUMBER(B87),ISNUMBER(C87)),LOG10(B87),"")</f>
        <v/>
      </c>
      <c r="E87" s="13" t="str">
        <f aca="false">IF(AND(ISNUMBER(B87),ISNUMBER(C87)),LOG10(C87),"")</f>
        <v/>
      </c>
      <c r="F87" s="14" t="str">
        <f aca="false">IF(ISNUMBER(D87),(E87-(Results!$C$11+Results!$C$10*D87))/Results!$C$13,"")</f>
        <v/>
      </c>
    </row>
    <row r="88" customFormat="false" ht="15" hidden="false" customHeight="false" outlineLevel="0" collapsed="false">
      <c r="A88" s="12"/>
      <c r="B88" s="12"/>
      <c r="C88" s="12"/>
      <c r="D88" s="13" t="str">
        <f aca="false">IF(AND(ISNUMBER(B88),ISNUMBER(C88)),LOG10(B88),"")</f>
        <v/>
      </c>
      <c r="E88" s="13" t="str">
        <f aca="false">IF(AND(ISNUMBER(B88),ISNUMBER(C88)),LOG10(C88),"")</f>
        <v/>
      </c>
      <c r="F88" s="14" t="str">
        <f aca="false">IF(ISNUMBER(D88),(E88-(Results!$C$11+Results!$C$10*D88))/Results!$C$13,"")</f>
        <v/>
      </c>
    </row>
    <row r="89" customFormat="false" ht="15" hidden="false" customHeight="false" outlineLevel="0" collapsed="false">
      <c r="A89" s="12"/>
      <c r="B89" s="12"/>
      <c r="C89" s="12"/>
      <c r="D89" s="13" t="str">
        <f aca="false">IF(AND(ISNUMBER(B89),ISNUMBER(C89)),LOG10(B89),"")</f>
        <v/>
      </c>
      <c r="E89" s="13" t="str">
        <f aca="false">IF(AND(ISNUMBER(B89),ISNUMBER(C89)),LOG10(C89),"")</f>
        <v/>
      </c>
      <c r="F89" s="14" t="str">
        <f aca="false">IF(ISNUMBER(D89),(E89-(Results!$C$11+Results!$C$10*D89))/Results!$C$13,"")</f>
        <v/>
      </c>
    </row>
    <row r="90" customFormat="false" ht="15" hidden="false" customHeight="false" outlineLevel="0" collapsed="false">
      <c r="A90" s="12"/>
      <c r="B90" s="12"/>
      <c r="C90" s="12"/>
      <c r="D90" s="13" t="str">
        <f aca="false">IF(AND(ISNUMBER(B90),ISNUMBER(C90)),LOG10(B90),"")</f>
        <v/>
      </c>
      <c r="E90" s="13" t="str">
        <f aca="false">IF(AND(ISNUMBER(B90),ISNUMBER(C90)),LOG10(C90),"")</f>
        <v/>
      </c>
      <c r="F90" s="14" t="str">
        <f aca="false">IF(ISNUMBER(D90),(E90-(Results!$C$11+Results!$C$10*D90))/Results!$C$13,"")</f>
        <v/>
      </c>
    </row>
    <row r="91" customFormat="false" ht="15" hidden="false" customHeight="false" outlineLevel="0" collapsed="false">
      <c r="A91" s="12"/>
      <c r="B91" s="12"/>
      <c r="C91" s="12"/>
      <c r="D91" s="13" t="str">
        <f aca="false">IF(AND(ISNUMBER(B91),ISNUMBER(C91)),LOG10(B91),"")</f>
        <v/>
      </c>
      <c r="E91" s="13" t="str">
        <f aca="false">IF(AND(ISNUMBER(B91),ISNUMBER(C91)),LOG10(C91),"")</f>
        <v/>
      </c>
      <c r="F91" s="14" t="str">
        <f aca="false">IF(ISNUMBER(D91),(E91-(Results!$C$11+Results!$C$10*D91))/Results!$C$13,"")</f>
        <v/>
      </c>
    </row>
    <row r="92" customFormat="false" ht="15" hidden="false" customHeight="false" outlineLevel="0" collapsed="false">
      <c r="A92" s="12"/>
      <c r="B92" s="12"/>
      <c r="C92" s="12"/>
      <c r="D92" s="13" t="str">
        <f aca="false">IF(AND(ISNUMBER(B92),ISNUMBER(C92)),LOG10(B92),"")</f>
        <v/>
      </c>
      <c r="E92" s="13" t="str">
        <f aca="false">IF(AND(ISNUMBER(B92),ISNUMBER(C92)),LOG10(C92),"")</f>
        <v/>
      </c>
      <c r="F92" s="14" t="str">
        <f aca="false">IF(ISNUMBER(D92),(E92-(Results!$C$11+Results!$C$10*D92))/Results!$C$13,"")</f>
        <v/>
      </c>
    </row>
    <row r="93" customFormat="false" ht="15" hidden="false" customHeight="false" outlineLevel="0" collapsed="false">
      <c r="A93" s="12"/>
      <c r="B93" s="12"/>
      <c r="C93" s="12"/>
      <c r="D93" s="13" t="str">
        <f aca="false">IF(AND(ISNUMBER(B93),ISNUMBER(C93)),LOG10(B93),"")</f>
        <v/>
      </c>
      <c r="E93" s="13" t="str">
        <f aca="false">IF(AND(ISNUMBER(B93),ISNUMBER(C93)),LOG10(C93),"")</f>
        <v/>
      </c>
      <c r="F93" s="14" t="str">
        <f aca="false">IF(ISNUMBER(D93),(E93-(Results!$C$11+Results!$C$10*D93))/Results!$C$13,"")</f>
        <v/>
      </c>
    </row>
    <row r="94" customFormat="false" ht="15" hidden="false" customHeight="false" outlineLevel="0" collapsed="false">
      <c r="A94" s="12"/>
      <c r="B94" s="12"/>
      <c r="C94" s="12"/>
      <c r="D94" s="13" t="str">
        <f aca="false">IF(AND(ISNUMBER(B94),ISNUMBER(C94)),LOG10(B94),"")</f>
        <v/>
      </c>
      <c r="E94" s="13" t="str">
        <f aca="false">IF(AND(ISNUMBER(B94),ISNUMBER(C94)),LOG10(C94),"")</f>
        <v/>
      </c>
      <c r="F94" s="14" t="str">
        <f aca="false">IF(ISNUMBER(D94),(E94-(Results!$C$11+Results!$C$10*D94))/Results!$C$13,"")</f>
        <v/>
      </c>
    </row>
    <row r="95" customFormat="false" ht="15" hidden="false" customHeight="false" outlineLevel="0" collapsed="false">
      <c r="A95" s="12"/>
      <c r="B95" s="12"/>
      <c r="C95" s="12"/>
      <c r="D95" s="13" t="str">
        <f aca="false">IF(AND(ISNUMBER(B95),ISNUMBER(C95)),LOG10(B95),"")</f>
        <v/>
      </c>
      <c r="E95" s="13" t="str">
        <f aca="false">IF(AND(ISNUMBER(B95),ISNUMBER(C95)),LOG10(C95),"")</f>
        <v/>
      </c>
      <c r="F95" s="14" t="str">
        <f aca="false">IF(ISNUMBER(D95),(E95-(Results!$C$11+Results!$C$10*D95))/Results!$C$13,"")</f>
        <v/>
      </c>
    </row>
    <row r="96" customFormat="false" ht="15" hidden="false" customHeight="false" outlineLevel="0" collapsed="false">
      <c r="A96" s="12"/>
      <c r="B96" s="12"/>
      <c r="C96" s="12"/>
      <c r="D96" s="13" t="str">
        <f aca="false">IF(AND(ISNUMBER(B96),ISNUMBER(C96)),LOG10(B96),"")</f>
        <v/>
      </c>
      <c r="E96" s="13" t="str">
        <f aca="false">IF(AND(ISNUMBER(B96),ISNUMBER(C96)),LOG10(C96),"")</f>
        <v/>
      </c>
      <c r="F96" s="14" t="str">
        <f aca="false">IF(ISNUMBER(D96),(E96-(Results!$C$11+Results!$C$10*D96))/Results!$C$13,"")</f>
        <v/>
      </c>
    </row>
    <row r="97" customFormat="false" ht="15" hidden="false" customHeight="false" outlineLevel="0" collapsed="false">
      <c r="A97" s="12"/>
      <c r="B97" s="12"/>
      <c r="C97" s="12"/>
      <c r="D97" s="13" t="str">
        <f aca="false">IF(AND(ISNUMBER(B97),ISNUMBER(C97)),LOG10(B97),"")</f>
        <v/>
      </c>
      <c r="E97" s="13" t="str">
        <f aca="false">IF(AND(ISNUMBER(B97),ISNUMBER(C97)),LOG10(C97),"")</f>
        <v/>
      </c>
      <c r="F97" s="14" t="str">
        <f aca="false">IF(ISNUMBER(D97),(E97-(Results!$C$11+Results!$C$10*D97))/Results!$C$13,"")</f>
        <v/>
      </c>
    </row>
    <row r="98" customFormat="false" ht="15" hidden="false" customHeight="false" outlineLevel="0" collapsed="false">
      <c r="A98" s="12"/>
      <c r="B98" s="12"/>
      <c r="C98" s="12"/>
      <c r="D98" s="13" t="str">
        <f aca="false">IF(AND(ISNUMBER(B98),ISNUMBER(C98)),LOG10(B98),"")</f>
        <v/>
      </c>
      <c r="E98" s="13" t="str">
        <f aca="false">IF(AND(ISNUMBER(B98),ISNUMBER(C98)),LOG10(C98),"")</f>
        <v/>
      </c>
      <c r="F98" s="14" t="str">
        <f aca="false">IF(ISNUMBER(D98),(E98-(Results!$C$11+Results!$C$10*D98))/Results!$C$13,"")</f>
        <v/>
      </c>
    </row>
    <row r="99" customFormat="false" ht="15" hidden="false" customHeight="false" outlineLevel="0" collapsed="false">
      <c r="A99" s="12"/>
      <c r="B99" s="12"/>
      <c r="C99" s="12"/>
      <c r="D99" s="13" t="str">
        <f aca="false">IF(AND(ISNUMBER(B99),ISNUMBER(C99)),LOG10(B99),"")</f>
        <v/>
      </c>
      <c r="E99" s="13" t="str">
        <f aca="false">IF(AND(ISNUMBER(B99),ISNUMBER(C99)),LOG10(C99),"")</f>
        <v/>
      </c>
      <c r="F99" s="14" t="str">
        <f aca="false">IF(ISNUMBER(D99),(E99-(Results!$C$11+Results!$C$10*D99))/Results!$C$13,"")</f>
        <v/>
      </c>
    </row>
    <row r="100" customFormat="false" ht="15" hidden="false" customHeight="false" outlineLevel="0" collapsed="false">
      <c r="A100" s="12"/>
      <c r="B100" s="12"/>
      <c r="C100" s="12"/>
      <c r="D100" s="13" t="str">
        <f aca="false">IF(AND(ISNUMBER(B100),ISNUMBER(C100)),LOG10(B100),"")</f>
        <v/>
      </c>
      <c r="E100" s="13" t="str">
        <f aca="false">IF(AND(ISNUMBER(B100),ISNUMBER(C100)),LOG10(C100),"")</f>
        <v/>
      </c>
      <c r="F100" s="14" t="str">
        <f aca="false">IF(ISNUMBER(D100),(E100-(Results!$C$11+Results!$C$10*D100))/Results!$C$13,"")</f>
        <v/>
      </c>
    </row>
    <row r="101" customFormat="false" ht="15" hidden="false" customHeight="false" outlineLevel="0" collapsed="false">
      <c r="A101" s="12"/>
      <c r="B101" s="12"/>
      <c r="C101" s="12"/>
      <c r="D101" s="13" t="str">
        <f aca="false">IF(AND(ISNUMBER(B101),ISNUMBER(C101)),LOG10(B101),"")</f>
        <v/>
      </c>
      <c r="E101" s="13" t="str">
        <f aca="false">IF(AND(ISNUMBER(B101),ISNUMBER(C101)),LOG10(C101),"")</f>
        <v/>
      </c>
      <c r="F101" s="14" t="str">
        <f aca="false">IF(ISNUMBER(D101),(E101-(Results!$C$11+Results!$C$10*D101))/Results!$C$13,"")</f>
        <v/>
      </c>
    </row>
    <row r="102" customFormat="false" ht="15" hidden="false" customHeight="false" outlineLevel="0" collapsed="false">
      <c r="A102" s="12"/>
      <c r="B102" s="12"/>
      <c r="C102" s="12"/>
      <c r="D102" s="13" t="str">
        <f aca="false">IF(AND(ISNUMBER(B102),ISNUMBER(C102)),LOG10(B102),"")</f>
        <v/>
      </c>
      <c r="E102" s="13" t="str">
        <f aca="false">IF(AND(ISNUMBER(B102),ISNUMBER(C102)),LOG10(C102),"")</f>
        <v/>
      </c>
      <c r="F102" s="14" t="str">
        <f aca="false">IF(ISNUMBER(D102),(E102-(Results!$C$11+Results!$C$10*D102))/Results!$C$13,"")</f>
        <v/>
      </c>
    </row>
    <row r="103" customFormat="false" ht="15" hidden="false" customHeight="false" outlineLevel="0" collapsed="false">
      <c r="A103" s="12"/>
      <c r="B103" s="12"/>
      <c r="C103" s="12"/>
      <c r="D103" s="13" t="str">
        <f aca="false">IF(AND(ISNUMBER(B103),ISNUMBER(C103)),LOG10(B103),"")</f>
        <v/>
      </c>
      <c r="E103" s="13" t="str">
        <f aca="false">IF(AND(ISNUMBER(B103),ISNUMBER(C103)),LOG10(C103),"")</f>
        <v/>
      </c>
      <c r="F103" s="14" t="str">
        <f aca="false">IF(ISNUMBER(D103),(E103-(Results!$C$11+Results!$C$10*D103))/Results!$C$13,"")</f>
        <v/>
      </c>
    </row>
    <row r="104" customFormat="false" ht="15" hidden="false" customHeight="false" outlineLevel="0" collapsed="false">
      <c r="A104" s="12"/>
      <c r="B104" s="12"/>
      <c r="C104" s="12"/>
      <c r="D104" s="13" t="str">
        <f aca="false">IF(AND(ISNUMBER(B104),ISNUMBER(C104)),LOG10(B104),"")</f>
        <v/>
      </c>
      <c r="E104" s="13" t="str">
        <f aca="false">IF(AND(ISNUMBER(B104),ISNUMBER(C104)),LOG10(C104),"")</f>
        <v/>
      </c>
      <c r="F104" s="14" t="str">
        <f aca="false">IF(ISNUMBER(D104),(E104-(Results!$C$11+Results!$C$10*D104))/Results!$C$13,"")</f>
        <v/>
      </c>
    </row>
    <row r="105" customFormat="false" ht="15" hidden="false" customHeight="false" outlineLevel="0" collapsed="false">
      <c r="A105" s="12"/>
      <c r="B105" s="12"/>
      <c r="C105" s="12"/>
      <c r="D105" s="13" t="str">
        <f aca="false">IF(AND(ISNUMBER(B105),ISNUMBER(C105)),LOG10(B105),"")</f>
        <v/>
      </c>
      <c r="E105" s="13" t="str">
        <f aca="false">IF(AND(ISNUMBER(B105),ISNUMBER(C105)),LOG10(C105),"")</f>
        <v/>
      </c>
      <c r="F105" s="14" t="str">
        <f aca="false">IF(ISNUMBER(D105),(E105-(Results!$C$11+Results!$C$10*D105))/Results!$C$13,"")</f>
        <v/>
      </c>
    </row>
    <row r="106" customFormat="false" ht="15" hidden="false" customHeight="false" outlineLevel="0" collapsed="false">
      <c r="A106" s="12"/>
      <c r="B106" s="12"/>
      <c r="C106" s="12"/>
      <c r="D106" s="13" t="str">
        <f aca="false">IF(AND(ISNUMBER(B106),ISNUMBER(C106)),LOG10(B106),"")</f>
        <v/>
      </c>
      <c r="E106" s="13" t="str">
        <f aca="false">IF(AND(ISNUMBER(B106),ISNUMBER(C106)),LOG10(C106),"")</f>
        <v/>
      </c>
      <c r="F106" s="14" t="str">
        <f aca="false">IF(ISNUMBER(D106),(E106-(Results!$C$11+Results!$C$10*D106))/Results!$C$13,"")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C1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15" hidden="false" customHeight="false" outlineLevel="0" collapsed="false">
      <c r="B5" s="15" t="s">
        <v>30</v>
      </c>
      <c r="C5" s="12" t="n">
        <v>0.75</v>
      </c>
      <c r="D5" s="8" t="s">
        <v>31</v>
      </c>
    </row>
    <row r="6" customFormat="false" ht="15" hidden="false" customHeight="false" outlineLevel="0" collapsed="false">
      <c r="B6" s="15" t="s">
        <v>32</v>
      </c>
      <c r="C6" s="12" t="n">
        <v>0.6667</v>
      </c>
      <c r="D6" s="8" t="s">
        <v>33</v>
      </c>
    </row>
    <row r="8" customFormat="false" ht="15" hidden="false" customHeight="false" outlineLevel="0" collapsed="false">
      <c r="B8" s="9" t="s">
        <v>34</v>
      </c>
    </row>
    <row r="9" customFormat="false" ht="15" hidden="false" customHeight="false" outlineLevel="0" collapsed="false">
      <c r="B9" s="15" t="s">
        <v>35</v>
      </c>
      <c r="C9" s="16" t="n">
        <f aca="false">IFERROR(SUMPRODUCT(--ISNUMBER('Enter data'!$D$7:$D$106),--ISNUMBER('Enter data'!$E$7:$E$106)),"")</f>
        <v>0</v>
      </c>
    </row>
    <row r="10" customFormat="false" ht="15" hidden="false" customHeight="false" outlineLevel="0" collapsed="false">
      <c r="B10" s="15" t="s">
        <v>36</v>
      </c>
      <c r="C10" s="17" t="str">
        <f aca="false">IFERROR(SLOPE('Enter data'!$E$7:$E$106,'Enter data'!$D$7:$D$106),"")</f>
        <v/>
      </c>
    </row>
    <row r="11" customFormat="false" ht="15" hidden="false" customHeight="false" outlineLevel="0" collapsed="false">
      <c r="B11" s="15" t="s">
        <v>37</v>
      </c>
      <c r="C11" s="17" t="str">
        <f aca="false">IFERROR(INTERCEPT('Enter data'!$E$7:$E$106,'Enter data'!$D$7:$D$106),"")</f>
        <v/>
      </c>
    </row>
    <row r="12" customFormat="false" ht="15" hidden="false" customHeight="false" outlineLevel="0" collapsed="false">
      <c r="B12" s="15" t="s">
        <v>38</v>
      </c>
      <c r="C12" s="17" t="str">
        <f aca="false">IFERROR(RSQ('Enter data'!$E$7:$E$106,'Enter data'!$D$7:$D$106),"")</f>
        <v/>
      </c>
    </row>
    <row r="13" customFormat="false" ht="15" hidden="false" customHeight="false" outlineLevel="0" collapsed="false">
      <c r="B13" s="15" t="s">
        <v>39</v>
      </c>
      <c r="C13" s="17" t="str">
        <f aca="false">IFERROR(STEYX('Enter data'!$E$7:$E$106,'Enter data'!$D$7:$D$106),"")</f>
        <v/>
      </c>
    </row>
    <row r="14" customFormat="false" ht="15" hidden="false" customHeight="false" outlineLevel="0" collapsed="false">
      <c r="B14" s="15" t="s">
        <v>40</v>
      </c>
      <c r="C14" s="17" t="str">
        <f aca="false">IFERROR($C$13/SQRT(DEVSQ('Enter data'!$D$7:$D$106)),"")</f>
        <v/>
      </c>
    </row>
    <row r="15" customFormat="false" ht="15" hidden="false" customHeight="false" outlineLevel="0" collapsed="false">
      <c r="B15" s="15" t="s">
        <v>41</v>
      </c>
      <c r="C15" s="17" t="str">
        <f aca="false">IFERROR($C$10-TINV(0.05,$C$9-2)*$C$14,"")</f>
        <v/>
      </c>
    </row>
    <row r="16" customFormat="false" ht="15" hidden="false" customHeight="false" outlineLevel="0" collapsed="false">
      <c r="B16" s="15" t="s">
        <v>42</v>
      </c>
      <c r="C16" s="17" t="str">
        <f aca="false">IFERROR($C$10+TINV(0.05,$C$9-2)*$C$14,"")</f>
        <v/>
      </c>
    </row>
    <row r="17" customFormat="false" ht="15" hidden="false" customHeight="false" outlineLevel="0" collapsed="false">
      <c r="B17" s="15" t="s">
        <v>43</v>
      </c>
      <c r="C17" s="17" t="str">
        <f aca="false">IFERROR(SIGN(CORREL('Enter data'!$D$7:$D$106,'Enter data'!$E$7:$E$106))*STDEV('Enter data'!$E$7:$E$106)/STDEV('Enter data'!$D$7:$D$106),"")</f>
        <v/>
      </c>
    </row>
    <row r="18" customFormat="false" ht="15" hidden="false" customHeight="false" outlineLevel="0" collapsed="false">
      <c r="B18" s="15" t="s">
        <v>44</v>
      </c>
      <c r="C18" s="18" t="str">
        <f aca="false">IFERROR(10^$C$11,"")</f>
        <v/>
      </c>
    </row>
    <row r="20" customFormat="false" ht="15" hidden="false" customHeight="false" outlineLevel="0" collapsed="false">
      <c r="B20" s="9" t="s">
        <v>45</v>
      </c>
    </row>
    <row r="21" customFormat="false" ht="15" hidden="false" customHeight="false" outlineLevel="0" collapsed="false">
      <c r="B21" s="15" t="s">
        <v>46</v>
      </c>
      <c r="C21" s="19" t="str">
        <f aca="false">IFERROR(($C$10-Results!$C$5)/$C$14,"")</f>
        <v/>
      </c>
    </row>
    <row r="22" customFormat="false" ht="15" hidden="false" customHeight="false" outlineLevel="0" collapsed="false">
      <c r="B22" s="15" t="s">
        <v>47</v>
      </c>
      <c r="C22" s="17" t="str">
        <f aca="false">IFERROR(TDIST(ABS($C$21),$C$9-2,2),"")</f>
        <v/>
      </c>
    </row>
    <row r="23" customFormat="false" ht="15" hidden="false" customHeight="false" outlineLevel="0" collapsed="false">
      <c r="B23" s="15" t="s">
        <v>48</v>
      </c>
      <c r="C23" s="19" t="str">
        <f aca="false">IFERROR(($C$10-Results!$C$6)/$C$14,"")</f>
        <v/>
      </c>
    </row>
    <row r="24" customFormat="false" ht="15" hidden="false" customHeight="false" outlineLevel="0" collapsed="false">
      <c r="B24" s="15" t="s">
        <v>47</v>
      </c>
      <c r="C24" s="17" t="str">
        <f aca="false">IFERROR(TDIST(ABS($C$23),$C$9-2,2),"")</f>
        <v/>
      </c>
    </row>
    <row r="26" customFormat="false" ht="15" hidden="false" customHeight="false" outlineLevel="0" collapsed="false">
      <c r="B26" s="9" t="s">
        <v>49</v>
      </c>
    </row>
    <row r="27" customFormat="false" ht="15" hidden="false" customHeight="false" outlineLevel="0" collapsed="false">
      <c r="B27" s="15" t="s">
        <v>50</v>
      </c>
      <c r="C27" s="16" t="n">
        <f aca="false">IFERROR(SUMPRODUCT(--(ABS(IF(ISNUMBER('Enter data'!$F$7:$F$106),'Enter data'!$F$7:$F$106,0))&gt;2)),"")</f>
        <v>0</v>
      </c>
      <c r="D27" s="8" t="s">
        <v>51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2026-10-01T00:30:15Z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2026-10-01T00:30:27Z</dcterms:modified>
  <cp:revision>1</cp:revision>
  <dc:subject/>
  <dc:title>ZOO-06 / CVA-05 Scaling: log-log regression of a trait on body mass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