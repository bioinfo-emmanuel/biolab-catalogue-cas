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<sst xmlns="http://schemas.openxmlformats.org/spreadsheetml/2006/main" count="39" uniqueCount="38">
  <si>
    <t xml:space="preserve">HG-01  Genetic counseling: Bayesian carrier probability</t>
  </si>
  <si>
    <t xml:space="preserve">Excel version of the card. It does the same calculations as the R script hg01_carrier_bayes.R.</t>
  </si>
  <si>
    <t xml:space="preserve">How to use this workbook</t>
  </si>
  <si>
    <t xml:space="preserve">1.  This workbook has no data table. Go to the 'Results' sheet and change the yellow settings at the top (for example the probabilities or the incidence).</t>
  </si>
  <si>
    <t xml:space="preserve">2.  The tables below the settings update at once. The 'Enter data' sheet is empty on purpose.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</si>
  <si>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</si>
  <si>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</si>
  <si>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</si>
  <si>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</si>
  <si>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</si>
  <si>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Posterior = prior x P(data | carrier) / [prior x P(data | carrier) + (1 - prior) x P(data | not a carrier)]. Use only invented pedigrees in class.</t>
  </si>
  <si>
    <t xml:space="preserve">Autosomal recessive: the unaffected sibling of an affected person has a prior carrier probability of 2/3. Each unaffected child with a partner carrier probability q has probability 1 - q/4 if she is a carrier and 1 if she is not.</t>
  </si>
  <si>
    <t xml:space="preserve">X-linked recessive: a woman whose mother is a known carrier has a prior of 1/2; each unaffected son has probability 1/2 if she is a carrier and 1 if not.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</si>
  <si>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</si>
  <si>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</si>
  <si>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</si>
  <si>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This workbook has no data table. Change the yellow settings on the Results sheet.</t>
  </si>
  <si>
    <t xml:space="preserve">Results</t>
  </si>
  <si>
    <t xml:space="preserve">Everything on this sheet is calculated. Change only the yellow settings.</t>
  </si>
  <si>
    <t xml:space="preserve">Settings</t>
  </si>
  <si>
    <t xml:space="preserve">Prior probability of being a carrier (general problem)</t>
  </si>
  <si>
    <t xml:space="preserve">P(observed data | carrier) (general problem)</t>
  </si>
  <si>
    <t xml:space="preserve">P(observed data | not a carrier)</t>
  </si>
  <si>
    <t xml:space="preserve">Partner's carrier probability (autosomal recessive problem)</t>
  </si>
  <si>
    <t xml:space="preserve">Disease incidence (for the carrier frequency)</t>
  </si>
  <si>
    <t xml:space="preserve">General Bayes table</t>
  </si>
  <si>
    <t xml:space="preserve">Joint probability, carrier</t>
  </si>
  <si>
    <t xml:space="preserve">Joint probability, not a carrier</t>
  </si>
  <si>
    <t xml:space="preserve">Posterior probability of being a carrier</t>
  </si>
  <si>
    <t xml:space="preserve">Autosomal recessive: unaffected sister of an affected person; effect of unaffected children</t>
  </si>
  <si>
    <t xml:space="preserve">Unaffected children</t>
  </si>
  <si>
    <t xml:space="preserve">P(carrier)</t>
  </si>
  <si>
    <t xml:space="preserve">Risk for the next child</t>
  </si>
  <si>
    <t xml:space="preserve">X-linked recessive: daughter of a known carrier; effect of unaffected sons</t>
  </si>
  <si>
    <t xml:space="preserve">Unaffected sons</t>
  </si>
  <si>
    <t xml:space="preserve">Carrier frequency from disease incidence (Hardy-Weinberg)</t>
  </si>
  <si>
    <t xml:space="preserve">Carrier frequency 2 q (1 - q), with q = sqrt(incidence)</t>
  </si>
  <si>
    <t xml:space="preserve">About 1 in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</si>
</sst>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0.000"/>
    <numFmt numFmtId="167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E2EFDA"/>
        <bgColor rgb="FFEDEDED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23.85" hidden="false" customHeight="false" outlineLevel="0" collapsed="false">
      <c r="B5" s="2" t="s">
        <v>3</v>
      </c>
    </row>
    <row r="6" customFormat="false" ht="1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23.8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6" t="s">
        <v>13</v>
      </c>
    </row>
    <row r="19" customFormat="false" ht="15" hidden="false" customHeight="false" outlineLevel="0" collapsed="false">
      <c r="B19" s="2"/>
    </row>
    <row r="20" customFormat="false" ht="22.35" hidden="false" customHeight="false" outlineLevel="0" collapsed="false">
      <c r="B20" s="6" t="s">
        <v>14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15</v>
      </c>
    </row>
    <row r="2" customFormat="false" ht="15" hidden="false" customHeight="false" outlineLevel="0" collapsed="false">
      <c r="A2" s="8" t="s">
        <v>16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17</v>
      </c>
    </row>
    <row r="2" customFormat="false" ht="15" hidden="false" customHeight="false" outlineLevel="0" collapsed="false">
      <c r="B2" s="8" t="s">
        <v>18</v>
      </c>
    </row>
    <row r="4" customFormat="false" ht="15" hidden="false" customHeight="false" outlineLevel="0" collapsed="false">
      <c r="B4" s="9" t="s">
        <v>19</v>
      </c>
    </row>
    <row r="5" customFormat="false" ht="15" hidden="false" customHeight="false" outlineLevel="0" collapsed="false">
      <c r="B5" s="10" t="s">
        <v>20</v>
      </c>
      <c r="C5" s="11" t="n">
        <v>0.6667</v>
      </c>
      <c r="D5" s="8"/>
    </row>
    <row r="6" customFormat="false" ht="15" hidden="false" customHeight="false" outlineLevel="0" collapsed="false">
      <c r="B6" s="10" t="s">
        <v>21</v>
      </c>
      <c r="C6" s="11" t="n">
        <v>0.5</v>
      </c>
      <c r="D6" s="8"/>
    </row>
    <row r="7" customFormat="false" ht="15" hidden="false" customHeight="false" outlineLevel="0" collapsed="false">
      <c r="B7" s="10" t="s">
        <v>22</v>
      </c>
      <c r="C7" s="11" t="n">
        <v>1</v>
      </c>
      <c r="D7" s="8"/>
    </row>
    <row r="8" customFormat="false" ht="15" hidden="false" customHeight="false" outlineLevel="0" collapsed="false">
      <c r="B8" s="10" t="s">
        <v>23</v>
      </c>
      <c r="C8" s="11" t="n">
        <v>0.04</v>
      </c>
      <c r="D8" s="8"/>
    </row>
    <row r="9" customFormat="false" ht="15" hidden="false" customHeight="false" outlineLevel="0" collapsed="false">
      <c r="B9" s="10" t="s">
        <v>24</v>
      </c>
      <c r="C9" s="11" t="n">
        <v>0.0004</v>
      </c>
      <c r="D9" s="8"/>
    </row>
    <row r="11" customFormat="false" ht="15" hidden="false" customHeight="false" outlineLevel="0" collapsed="false">
      <c r="B11" s="9" t="s">
        <v>25</v>
      </c>
    </row>
    <row r="12" customFormat="false" ht="15" hidden="false" customHeight="false" outlineLevel="0" collapsed="false">
      <c r="B12" s="10" t="s">
        <v>26</v>
      </c>
      <c r="C12" s="12" t="n">
        <f aca="false">IFERROR(Results!$C$5*Results!$C$6,"")</f>
        <v>0.33335</v>
      </c>
    </row>
    <row r="13" customFormat="false" ht="15" hidden="false" customHeight="false" outlineLevel="0" collapsed="false">
      <c r="B13" s="10" t="s">
        <v>27</v>
      </c>
      <c r="C13" s="12" t="n">
        <f aca="false">IFERROR((1-Results!$C$5)*Results!$C$7,"")</f>
        <v>0.3333</v>
      </c>
    </row>
    <row r="14" customFormat="false" ht="15" hidden="false" customHeight="false" outlineLevel="0" collapsed="false">
      <c r="B14" s="10" t="s">
        <v>28</v>
      </c>
      <c r="C14" s="13" t="n">
        <f aca="false">IFERROR($C$12/($C$12+$C$13),"")</f>
        <v>0.500037500937523</v>
      </c>
    </row>
    <row r="16" customFormat="false" ht="15" hidden="false" customHeight="false" outlineLevel="0" collapsed="false">
      <c r="B16" s="9" t="s">
        <v>29</v>
      </c>
    </row>
    <row r="17" customFormat="false" ht="30" hidden="false" customHeight="true" outlineLevel="0" collapsed="false">
      <c r="B17" s="14" t="s">
        <v>30</v>
      </c>
      <c r="C17" s="14" t="s">
        <v>31</v>
      </c>
      <c r="D17" s="14" t="s">
        <v>32</v>
      </c>
    </row>
    <row r="18" customFormat="false" ht="15" hidden="false" customHeight="false" outlineLevel="0" collapsed="false">
      <c r="B18" s="15" t="n">
        <v>0</v>
      </c>
      <c r="C18" s="16" t="n">
        <f aca="false">IFERROR((2/3*(1-Results!$C$8/4)^B18)/(2/3*(1-Results!$C$8/4)^B18+1/3),"")</f>
        <v>0.666666666666667</v>
      </c>
      <c r="D18" s="17" t="n">
        <f aca="false">IFERROR(C18*Results!$C$8/4,"")</f>
        <v>0.00666666666666667</v>
      </c>
    </row>
    <row r="19" customFormat="false" ht="15" hidden="false" customHeight="false" outlineLevel="0" collapsed="false">
      <c r="B19" s="15" t="n">
        <v>1</v>
      </c>
      <c r="C19" s="16" t="n">
        <f aca="false">IFERROR((2/3*(1-Results!$C$8/4)^B19)/(2/3*(1-Results!$C$8/4)^B19+1/3),"")</f>
        <v>0.664429530201342</v>
      </c>
      <c r="D19" s="17" t="n">
        <f aca="false">IFERROR(C19*Results!$C$8/4,"")</f>
        <v>0.00664429530201342</v>
      </c>
    </row>
    <row r="20" customFormat="false" ht="15" hidden="false" customHeight="false" outlineLevel="0" collapsed="false">
      <c r="B20" s="15" t="n">
        <v>2</v>
      </c>
      <c r="C20" s="16" t="n">
        <f aca="false">IFERROR((2/3*(1-Results!$C$8/4)^B20)/(2/3*(1-Results!$C$8/4)^B20+1/3),"")</f>
        <v>0.662184987500845</v>
      </c>
      <c r="D20" s="17" t="n">
        <f aca="false">IFERROR(C20*Results!$C$8/4,"")</f>
        <v>0.00662184987500845</v>
      </c>
    </row>
    <row r="21" customFormat="false" ht="15" hidden="false" customHeight="false" outlineLevel="0" collapsed="false">
      <c r="B21" s="15" t="n">
        <v>3</v>
      </c>
      <c r="C21" s="16" t="n">
        <f aca="false">IFERROR((2/3*(1-Results!$C$8/4)^B21)/(2/3*(1-Results!$C$8/4)^B21+1/3),"")</f>
        <v>0.659933115645185</v>
      </c>
      <c r="D21" s="17" t="n">
        <f aca="false">IFERROR(C21*Results!$C$8/4,"")</f>
        <v>0.00659933115645185</v>
      </c>
    </row>
    <row r="24" customFormat="false" ht="15" hidden="false" customHeight="false" outlineLevel="0" collapsed="false">
      <c r="B24" s="9" t="s">
        <v>33</v>
      </c>
    </row>
    <row r="25" customFormat="false" ht="30" hidden="false" customHeight="true" outlineLevel="0" collapsed="false">
      <c r="B25" s="14" t="s">
        <v>34</v>
      </c>
      <c r="C25" s="14" t="s">
        <v>31</v>
      </c>
    </row>
    <row r="26" customFormat="false" ht="15" hidden="false" customHeight="false" outlineLevel="0" collapsed="false">
      <c r="B26" s="15" t="n">
        <v>0</v>
      </c>
      <c r="C26" s="16" t="n">
        <f aca="false">IFERROR((0.5*0.5^B26)/(0.5*0.5^B26+0.5),"")</f>
        <v>0.5</v>
      </c>
    </row>
    <row r="27" customFormat="false" ht="15" hidden="false" customHeight="false" outlineLevel="0" collapsed="false">
      <c r="B27" s="15" t="n">
        <v>1</v>
      </c>
      <c r="C27" s="16" t="n">
        <f aca="false">IFERROR((0.5*0.5^B27)/(0.5*0.5^B27+0.5),"")</f>
        <v>0.333333333333333</v>
      </c>
    </row>
    <row r="28" customFormat="false" ht="15" hidden="false" customHeight="false" outlineLevel="0" collapsed="false">
      <c r="B28" s="15" t="n">
        <v>2</v>
      </c>
      <c r="C28" s="16" t="n">
        <f aca="false">IFERROR((0.5*0.5^B28)/(0.5*0.5^B28+0.5),"")</f>
        <v>0.2</v>
      </c>
    </row>
    <row r="29" customFormat="false" ht="15" hidden="false" customHeight="false" outlineLevel="0" collapsed="false">
      <c r="B29" s="15" t="n">
        <v>3</v>
      </c>
      <c r="C29" s="16" t="n">
        <f aca="false">IFERROR((0.5*0.5^B29)/(0.5*0.5^B29+0.5),"")</f>
        <v>0.111111111111111</v>
      </c>
    </row>
    <row r="30" customFormat="false" ht="15" hidden="false" customHeight="false" outlineLevel="0" collapsed="false">
      <c r="B30" s="15" t="n">
        <v>4</v>
      </c>
      <c r="C30" s="16" t="n">
        <f aca="false">IFERROR((0.5*0.5^B30)/(0.5*0.5^B30+0.5),"")</f>
        <v>0.0588235294117647</v>
      </c>
    </row>
    <row r="33" customFormat="false" ht="15" hidden="false" customHeight="false" outlineLevel="0" collapsed="false">
      <c r="B33" s="9" t="s">
        <v>35</v>
      </c>
    </row>
    <row r="34" customFormat="false" ht="15" hidden="false" customHeight="false" outlineLevel="0" collapsed="false">
      <c r="B34" s="10" t="s">
        <v>36</v>
      </c>
      <c r="C34" s="12" t="n">
        <f aca="false">IFERROR(2*SQRT(Results!$C$9)*(1-SQRT(Results!$C$9)),"")</f>
        <v>0.0392</v>
      </c>
    </row>
    <row r="35" customFormat="false" ht="15" hidden="false" customHeight="false" outlineLevel="0" collapsed="false">
      <c r="B35" s="10" t="s">
        <v>37</v>
      </c>
      <c r="C35" s="18" t="n">
        <f aca="false">IFERROR(1/$C$34,"")</f>
        <v>25.5102040816327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2026-10-01T00:31:35Z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2026-10-01T00:31:36Z</dcterms:modified>
  <cp:revision>0</cp:revision>
  <dc:subject/>
  <dc:title>HG-01 Genetic counseling: Bayesian carrier probability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