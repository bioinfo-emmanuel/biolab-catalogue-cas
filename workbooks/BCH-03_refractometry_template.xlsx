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<sst xmlns="http://schemas.openxmlformats.org/spreadsheetml/2006/main" count="44" uniqueCount="41">
  <si>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BCH-03  Sugar content of beverages by refractometry</t>
  </si>
  <si>
    <t xml:space="preserve">Excel version of the card. It does the same calculations as the R script bch03_refractometry.R.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</si>
  <si>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</si>
  <si>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</si>
  <si>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</si>
  <si>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</si>
  <si>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</si>
  <si>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</si>
  <si>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</si>
  <si>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</si>
  <si>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 Brix scale is percent sucrose by mass. Fit reading = intercept + slope x sucrose %, then convert each beverage reading with sucrose % = (reading - intercept) / slope.</t>
  </si>
  <si>
    <t xml:space="preserve">Grams per 100 mL = percent by mass x solution density; density is approximated as 0.9982 + 0.0038 x percent (within about 0.6 percent below 20 percent w/w).</t>
  </si>
  <si>
    <t xml:space="preserve">A refractometer responds to all dissolved solids, so the result is an upper limit for the sugar content of a mixed beverage.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</si>
  <si>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</si>
  <si>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</si>
  <si>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</si>
  <si>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</si>
  <si>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Sucrose standards</t>
  </si>
  <si>
    <t xml:space="preserve">Sucrose (% by mass)</t>
  </si>
  <si>
    <t xml:space="preserve">Refractometer reading</t>
  </si>
  <si>
    <t xml:space="preserve">2. Beverages (one row per reading)</t>
  </si>
  <si>
    <t xml:space="preserve">Beverage</t>
  </si>
  <si>
    <t xml:space="preserve">Label sugar (g per 100 mL)</t>
  </si>
  <si>
    <t xml:space="preserve">cola</t>
  </si>
  <si>
    <t xml:space="preserve">Results</t>
  </si>
  <si>
    <t xml:space="preserve">Everything on this sheet is calculated. Change only the yellow settings.</t>
  </si>
  <si>
    <t xml:space="preserve">Calibration line (reading = intercept + slope x sucrose %)</t>
  </si>
  <si>
    <t xml:space="preserve">Points used</t>
  </si>
  <si>
    <t xml:space="preserve">Slope (reading units per %)</t>
  </si>
  <si>
    <t xml:space="preserve">Intercept (reading units per %)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</si>
  <si>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</si>
  <si>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</si>
  <si>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</si>
  <si>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</si>
  <si>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</si>
  <si>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Reading of distilled water (should be 0)</t>
  </si>
  <si>
    <t xml:space="preserve">Beverages</t>
  </si>
  <si>
    <t xml:space="preserve">Reading</t>
  </si>
  <si>
    <t xml:space="preserve">g per 100 mL</t>
  </si>
  <si>
    <t xml:space="preserve">Label</t>
  </si>
  <si>
    <t xml:space="preserve">Difference from label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</si>
</sst>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data'!$A$7:$A$18</c:f>
              <c:numCache>
                <c:formatCode>General</c:formatCode>
                <c:ptCount val="12"/>
              </c:numCache>
            </c:numRef>
          </c:xVal>
          <c:yVal>
            <c:numRef>
              <c:f>'Enter data'!$B$7:$B$18</c:f>
              <c:numCache>
                <c:formatCode>General</c:formatCode>
                <c:ptCount val="12"/>
              </c:numCache>
            </c:numRef>
          </c:yVal>
          <c:smooth val="1"/>
        </c:ser>
        <c:axId val="52631816"/>
        <c:axId val="63752891"/>
      </c:scatterChart>
      <c:valAx>
        <c:axId val="526318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Sucrose (% by mass)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52891"/>
        <c:crosses val="autoZero"/>
        <c:crossBetween val="midCat"/>
      </c:valAx>
      <c:valAx>
        <c:axId val="63752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Refractometer reading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318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160560</xdr:rowOff>
    </xdr:from>
    <xdr:to>
      <xdr:col>3</xdr:col>
      <xdr:colOff>536040</xdr:colOff>
      <xdr:row>63</xdr:row>
      <xdr:rowOff>172080</xdr:rowOff>
    </xdr:to>
    <xdr:graphicFrame>
      <xdr:nvGraphicFramePr>
        <xdr:cNvPr id="0" name="Chart 1"/>
        <xdr:cNvGraphicFramePr/>
      </xdr:nvGraphicFramePr>
      <xdr:xfrm>
        <a:off x="211320" y="9334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</row>
    <row r="6" customFormat="false" ht="15" hidden="false" customHeight="false" outlineLevel="0" collapsed="false">
      <c r="A6" s="11" t="n">
        <v>10</v>
      </c>
      <c r="B6" s="11" t="n">
        <v>10.1</v>
      </c>
    </row>
    <row r="7" customFormat="false" ht="15" hidden="false" customHeight="false" outlineLevel="0" collapsed="false">
      <c r="A7" s="12"/>
      <c r="B7" s="12"/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2"/>
      <c r="B9" s="12"/>
    </row>
    <row r="10" customFormat="false" ht="15" hidden="false" customHeight="false" outlineLevel="0" collapsed="false">
      <c r="A10" s="12"/>
      <c r="B10" s="12"/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2"/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21" customFormat="false" ht="15" hidden="false" customHeight="false" outlineLevel="0" collapsed="false">
      <c r="A21" s="9" t="s">
        <v>20</v>
      </c>
    </row>
    <row r="22" customFormat="false" ht="31.5" hidden="false" customHeight="true" outlineLevel="0" collapsed="false">
      <c r="A22" s="10" t="s">
        <v>21</v>
      </c>
      <c r="B22" s="10" t="s">
        <v>19</v>
      </c>
      <c r="C22" s="10" t="s">
        <v>22</v>
      </c>
    </row>
    <row r="23" customFormat="false" ht="15" hidden="false" customHeight="false" outlineLevel="0" collapsed="false">
      <c r="A23" s="11" t="s">
        <v>23</v>
      </c>
      <c r="B23" s="11" t="n">
        <v>10.6</v>
      </c>
      <c r="C23" s="11" t="n">
        <v>10.6</v>
      </c>
    </row>
    <row r="24" customFormat="false" ht="15" hidden="false" customHeight="false" outlineLevel="0" collapsed="false">
      <c r="A24" s="12"/>
      <c r="B24" s="12"/>
      <c r="C24" s="12"/>
    </row>
    <row r="25" customFormat="false" ht="15" hidden="false" customHeight="false" outlineLevel="0" collapsed="false">
      <c r="A25" s="12"/>
      <c r="B25" s="12"/>
      <c r="C25" s="12"/>
    </row>
    <row r="26" customFormat="false" ht="15" hidden="false" customHeight="false" outlineLevel="0" collapsed="false">
      <c r="A26" s="12"/>
      <c r="B26" s="12"/>
      <c r="C26" s="12"/>
    </row>
    <row r="27" customFormat="false" ht="15" hidden="false" customHeight="false" outlineLevel="0" collapsed="false">
      <c r="A27" s="12"/>
      <c r="B27" s="12"/>
      <c r="C27" s="12"/>
    </row>
    <row r="28" customFormat="false" ht="15" hidden="false" customHeight="false" outlineLevel="0" collapsed="false">
      <c r="A28" s="12"/>
      <c r="B28" s="12"/>
      <c r="C28" s="12"/>
    </row>
    <row r="29" customFormat="false" ht="15" hidden="false" customHeight="false" outlineLevel="0" collapsed="false">
      <c r="A29" s="12"/>
      <c r="B29" s="12"/>
      <c r="C29" s="12"/>
    </row>
    <row r="30" customFormat="false" ht="15" hidden="false" customHeight="false" outlineLevel="0" collapsed="false">
      <c r="A30" s="12"/>
      <c r="B30" s="12"/>
      <c r="C30" s="12"/>
    </row>
    <row r="31" customFormat="false" ht="15" hidden="false" customHeight="false" outlineLevel="0" collapsed="false">
      <c r="A31" s="12"/>
      <c r="B31" s="12"/>
      <c r="C31" s="12"/>
    </row>
    <row r="32" customFormat="false" ht="15" hidden="false" customHeight="false" outlineLevel="0" collapsed="false">
      <c r="A32" s="12"/>
      <c r="B32" s="12"/>
      <c r="C32" s="12"/>
    </row>
    <row r="33" customFormat="false" ht="15" hidden="false" customHeight="false" outlineLevel="0" collapsed="false">
      <c r="A33" s="12"/>
      <c r="B33" s="12"/>
      <c r="C33" s="12"/>
    </row>
    <row r="34" customFormat="false" ht="15" hidden="false" customHeight="false" outlineLevel="0" collapsed="false">
      <c r="A34" s="12"/>
      <c r="B34" s="12"/>
      <c r="C34" s="12"/>
    </row>
    <row r="35" customFormat="false" ht="15" hidden="false" customHeight="false" outlineLevel="0" collapsed="false">
      <c r="A35" s="12"/>
      <c r="B35" s="12"/>
      <c r="C35" s="12"/>
    </row>
    <row r="36" customFormat="false" ht="15" hidden="false" customHeight="false" outlineLevel="0" collapsed="false">
      <c r="A36" s="12"/>
      <c r="B36" s="12"/>
      <c r="C36" s="12"/>
    </row>
    <row r="37" customFormat="false" ht="15" hidden="false" customHeight="false" outlineLevel="0" collapsed="false">
      <c r="A37" s="12"/>
      <c r="B37" s="12"/>
      <c r="C37" s="12"/>
    </row>
    <row r="38" customFormat="false" ht="15" hidden="false" customHeight="false" outlineLevel="0" collapsed="false">
      <c r="A38" s="12"/>
      <c r="B38" s="12"/>
      <c r="C38" s="12"/>
    </row>
    <row r="39" customFormat="false" ht="15" hidden="false" customHeight="false" outlineLevel="0" collapsed="false">
      <c r="A39" s="12"/>
      <c r="B39" s="12"/>
      <c r="C39" s="12"/>
    </row>
    <row r="40" customFormat="false" ht="15" hidden="false" customHeight="false" outlineLevel="0" collapsed="false">
      <c r="A40" s="12"/>
      <c r="B40" s="12"/>
      <c r="C40" s="12"/>
    </row>
    <row r="41" customFormat="false" ht="15" hidden="false" customHeight="false" outlineLevel="0" collapsed="false">
      <c r="A41" s="12"/>
      <c r="B41" s="12"/>
      <c r="C41" s="12"/>
    </row>
    <row r="42" customFormat="false" ht="15" hidden="false" customHeight="false" outlineLevel="0" collapsed="false">
      <c r="A42" s="12"/>
      <c r="B42" s="12"/>
      <c r="C42" s="12"/>
    </row>
    <row r="43" customFormat="false" ht="15" hidden="false" customHeight="false" outlineLevel="0" collapsed="false">
      <c r="A43" s="12"/>
      <c r="B43" s="12"/>
      <c r="C43" s="12"/>
    </row>
    <row r="44" customFormat="false" ht="15" hidden="false" customHeight="false" outlineLevel="0" collapsed="false">
      <c r="A44" s="12"/>
      <c r="B44" s="12"/>
      <c r="C44" s="12"/>
    </row>
    <row r="45" customFormat="false" ht="15" hidden="false" customHeight="false" outlineLevel="0" collapsed="false">
      <c r="A45" s="12"/>
      <c r="B45" s="12"/>
      <c r="C45" s="12"/>
    </row>
    <row r="46" customFormat="false" ht="15" hidden="false" customHeight="false" outlineLevel="0" collapsed="false">
      <c r="A46" s="12"/>
      <c r="B46" s="12"/>
      <c r="C46" s="12"/>
    </row>
    <row r="47" customFormat="false" ht="15" hidden="false" customHeight="false" outlineLevel="0" collapsed="false">
      <c r="A47" s="12"/>
      <c r="B47" s="12"/>
      <c r="C47" s="12"/>
    </row>
    <row r="48" customFormat="false" ht="15" hidden="false" customHeight="false" outlineLevel="0" collapsed="false">
      <c r="A48" s="12"/>
      <c r="B48" s="12"/>
      <c r="C48" s="12"/>
    </row>
    <row r="49" customFormat="false" ht="15" hidden="false" customHeight="false" outlineLevel="0" collapsed="false">
      <c r="A49" s="12"/>
      <c r="B49" s="12"/>
      <c r="C49" s="12"/>
    </row>
    <row r="50" customFormat="false" ht="15" hidden="false" customHeight="false" outlineLevel="0" collapsed="false">
      <c r="A50" s="12"/>
      <c r="B50" s="12"/>
      <c r="C50" s="12"/>
    </row>
    <row r="51" customFormat="false" ht="15" hidden="false" customHeight="false" outlineLevel="0" collapsed="false">
      <c r="A51" s="12"/>
      <c r="B51" s="12"/>
      <c r="C51" s="12"/>
    </row>
    <row r="52" customFormat="false" ht="15" hidden="false" customHeight="false" outlineLevel="0" collapsed="false">
      <c r="A52" s="12"/>
      <c r="B52" s="12"/>
      <c r="C52" s="12"/>
    </row>
    <row r="53" customFormat="false" ht="15" hidden="false" customHeight="false" outlineLevel="0" collapsed="false">
      <c r="A53" s="12"/>
      <c r="B53" s="12"/>
      <c r="C53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8 B24:C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24</v>
      </c>
    </row>
    <row r="2" customFormat="false" ht="15" hidden="false" customHeight="false" outlineLevel="0" collapsed="false">
      <c r="B2" s="8" t="s">
        <v>25</v>
      </c>
    </row>
    <row r="4" customFormat="false" ht="15" hidden="false" customHeight="false" outlineLevel="0" collapsed="false">
      <c r="B4" s="9" t="s">
        <v>26</v>
      </c>
    </row>
    <row r="5" customFormat="false" ht="15" hidden="false" customHeight="false" outlineLevel="0" collapsed="false">
      <c r="B5" s="13" t="s">
        <v>27</v>
      </c>
      <c r="C5" s="14" t="n">
        <f aca="false">IFERROR(SUMPRODUCT(--ISNUMBER('Enter data'!$A$7:$A$18),--ISNUMBER('Enter data'!$B$7:$B$18)),"")</f>
        <v>0</v>
      </c>
    </row>
    <row r="6" customFormat="false" ht="15" hidden="false" customHeight="false" outlineLevel="0" collapsed="false">
      <c r="B6" s="13" t="s">
        <v>28</v>
      </c>
      <c r="C6" s="15" t="str">
        <f aca="false">IFERROR(SLOPE('Enter data'!$B$7:$B$18,'Enter data'!$A$7:$A$18),"")</f>
        <v/>
      </c>
    </row>
    <row r="7" customFormat="false" ht="15" hidden="false" customHeight="false" outlineLevel="0" collapsed="false">
      <c r="B7" s="13" t="s">
        <v>29</v>
      </c>
      <c r="C7" s="15" t="str">
        <f aca="false">IFERROR(INTERCEPT('Enter data'!$B$7:$B$18,'Enter data'!$A$7:$A$18),"")</f>
        <v/>
      </c>
    </row>
    <row r="8" customFormat="false" ht="15" hidden="false" customHeight="false" outlineLevel="0" collapsed="false">
      <c r="B8" s="13" t="s">
        <v>30</v>
      </c>
      <c r="C8" s="15" t="str">
        <f aca="false">IFERROR(RSQ('Enter data'!$B$7:$B$18,'Enter data'!$A$7:$A$18),"")</f>
        <v/>
      </c>
    </row>
    <row r="9" customFormat="false" ht="15" hidden="false" customHeight="false" outlineLevel="0" collapsed="false">
      <c r="B9" s="13" t="s">
        <v>31</v>
      </c>
      <c r="C9" s="15" t="str">
        <f aca="false">IFERROR(STEYX('Enter data'!$B$7:$B$18,'Enter data'!$A$7:$A$18),"")</f>
        <v/>
      </c>
    </row>
    <row r="10" customFormat="false" ht="15" hidden="false" customHeight="false" outlineLevel="0" collapsed="false">
      <c r="B10" s="13" t="s">
        <v>32</v>
      </c>
      <c r="C10" s="15" t="str">
        <f aca="false">IFERROR($C$9/SQRT(DEVSQ('Enter data'!$A$7:$A$18)),"")</f>
        <v/>
      </c>
    </row>
    <row r="11" customFormat="false" ht="15" hidden="false" customHeight="false" outlineLevel="0" collapsed="false">
      <c r="B11" s="13" t="s">
        <v>33</v>
      </c>
      <c r="C11" s="15" t="str">
        <f aca="false">IFERROR($C$6-TINV(0.05,$C$5-2)*$C$10,"")</f>
        <v/>
      </c>
    </row>
    <row r="12" customFormat="false" ht="15" hidden="false" customHeight="false" outlineLevel="0" collapsed="false">
      <c r="B12" s="13" t="s">
        <v>34</v>
      </c>
      <c r="C12" s="15" t="str">
        <f aca="false">IFERROR($C$6+TINV(0.05,$C$5-2)*$C$10,"")</f>
        <v/>
      </c>
    </row>
    <row r="13" customFormat="false" ht="15" hidden="false" customHeight="false" outlineLevel="0" collapsed="false">
      <c r="B13" s="13" t="s">
        <v>35</v>
      </c>
      <c r="C13" s="16" t="str">
        <f aca="false">IFERROR(IFERROR(INDEX('Enter data'!$B$7:$B$18,MATCH(0,'Enter data'!$A$7:$A$18,0)),"no 0% standard"),"")</f>
        <v>no 0% standard</v>
      </c>
    </row>
    <row r="15" customFormat="false" ht="15" hidden="false" customHeight="false" outlineLevel="0" collapsed="false">
      <c r="B15" s="9" t="s">
        <v>36</v>
      </c>
    </row>
    <row r="16" customFormat="false" ht="30" hidden="false" customHeight="true" outlineLevel="0" collapsed="false">
      <c r="B16" s="10" t="s">
        <v>21</v>
      </c>
      <c r="C16" s="10" t="s">
        <v>37</v>
      </c>
      <c r="D16" s="10" t="s">
        <v>18</v>
      </c>
      <c r="E16" s="10" t="s">
        <v>38</v>
      </c>
      <c r="F16" s="10" t="s">
        <v>39</v>
      </c>
      <c r="G16" s="10" t="s">
        <v>40</v>
      </c>
    </row>
    <row r="17" customFormat="false" ht="15" hidden="false" customHeight="false" outlineLevel="0" collapsed="false">
      <c r="B17" s="17" t="str">
        <f aca="false">IFERROR(IF(ISNUMBER('Enter data'!$B$24),'Enter data'!$A$24,""),"")</f>
        <v/>
      </c>
      <c r="C17" s="18" t="str">
        <f aca="false">IFERROR(IF(ISNUMBER('Enter data'!$B$24),'Enter data'!$B$24,""),"")</f>
        <v/>
      </c>
      <c r="D17" s="19" t="str">
        <f aca="false">IFERROR(IF(ISNUMBER('Enter data'!$B$24),('Enter data'!$B$24-$C$7)/$C$6,""),"")</f>
        <v/>
      </c>
      <c r="E17" s="19" t="str">
        <f aca="false">IFERROR(IF(ISNUMBER(D17),D17*(0.9982+0.0038*D17),""),"")</f>
        <v/>
      </c>
      <c r="F17" s="18" t="str">
        <f aca="false">IFERROR(IF(ISNUMBER('Enter data'!$C$24),'Enter data'!$C$24,""),"")</f>
        <v/>
      </c>
      <c r="G17" s="19" t="str">
        <f aca="false">IFERROR(IF(AND(ISNUMBER(E17),ISNUMBER(F17)),E17-F17,""),"")</f>
        <v/>
      </c>
    </row>
    <row r="18" customFormat="false" ht="15" hidden="false" customHeight="false" outlineLevel="0" collapsed="false">
      <c r="B18" s="17" t="str">
        <f aca="false">IFERROR(IF(ISNUMBER('Enter data'!$B$25),'Enter data'!$A$25,""),"")</f>
        <v/>
      </c>
      <c r="C18" s="18" t="str">
        <f aca="false">IFERROR(IF(ISNUMBER('Enter data'!$B$25),'Enter data'!$B$25,""),"")</f>
        <v/>
      </c>
      <c r="D18" s="19" t="str">
        <f aca="false">IFERROR(IF(ISNUMBER('Enter data'!$B$25),('Enter data'!$B$25-$C$7)/$C$6,""),"")</f>
        <v/>
      </c>
      <c r="E18" s="19" t="str">
        <f aca="false">IFERROR(IF(ISNUMBER(D18),D18*(0.9982+0.0038*D18),""),"")</f>
        <v/>
      </c>
      <c r="F18" s="18" t="str">
        <f aca="false">IFERROR(IF(ISNUMBER('Enter data'!$C$25),'Enter data'!$C$25,""),"")</f>
        <v/>
      </c>
      <c r="G18" s="19" t="str">
        <f aca="false">IFERROR(IF(AND(ISNUMBER(E18),ISNUMBER(F18)),E18-F18,""),"")</f>
        <v/>
      </c>
    </row>
    <row r="19" customFormat="false" ht="15" hidden="false" customHeight="false" outlineLevel="0" collapsed="false">
      <c r="B19" s="17" t="str">
        <f aca="false">IFERROR(IF(ISNUMBER('Enter data'!$B$26),'Enter data'!$A$26,""),"")</f>
        <v/>
      </c>
      <c r="C19" s="18" t="str">
        <f aca="false">IFERROR(IF(ISNUMBER('Enter data'!$B$26),'Enter data'!$B$26,""),"")</f>
        <v/>
      </c>
      <c r="D19" s="19" t="str">
        <f aca="false">IFERROR(IF(ISNUMBER('Enter data'!$B$26),('Enter data'!$B$26-$C$7)/$C$6,""),"")</f>
        <v/>
      </c>
      <c r="E19" s="19" t="str">
        <f aca="false">IFERROR(IF(ISNUMBER(D19),D19*(0.9982+0.0038*D19),""),"")</f>
        <v/>
      </c>
      <c r="F19" s="18" t="str">
        <f aca="false">IFERROR(IF(ISNUMBER('Enter data'!$C$26),'Enter data'!$C$26,""),"")</f>
        <v/>
      </c>
      <c r="G19" s="19" t="str">
        <f aca="false">IFERROR(IF(AND(ISNUMBER(E19),ISNUMBER(F19)),E19-F19,""),"")</f>
        <v/>
      </c>
    </row>
    <row r="20" customFormat="false" ht="15" hidden="false" customHeight="false" outlineLevel="0" collapsed="false">
      <c r="B20" s="17" t="str">
        <f aca="false">IFERROR(IF(ISNUMBER('Enter data'!$B$27),'Enter data'!$A$27,""),"")</f>
        <v/>
      </c>
      <c r="C20" s="18" t="str">
        <f aca="false">IFERROR(IF(ISNUMBER('Enter data'!$B$27),'Enter data'!$B$27,""),"")</f>
        <v/>
      </c>
      <c r="D20" s="19" t="str">
        <f aca="false">IFERROR(IF(ISNUMBER('Enter data'!$B$27),('Enter data'!$B$27-$C$7)/$C$6,""),"")</f>
        <v/>
      </c>
      <c r="E20" s="19" t="str">
        <f aca="false">IFERROR(IF(ISNUMBER(D20),D20*(0.9982+0.0038*D20),""),"")</f>
        <v/>
      </c>
      <c r="F20" s="18" t="str">
        <f aca="false">IFERROR(IF(ISNUMBER('Enter data'!$C$27),'Enter data'!$C$27,""),"")</f>
        <v/>
      </c>
      <c r="G20" s="19" t="str">
        <f aca="false">IFERROR(IF(AND(ISNUMBER(E20),ISNUMBER(F20)),E20-F20,""),"")</f>
        <v/>
      </c>
    </row>
    <row r="21" customFormat="false" ht="15" hidden="false" customHeight="false" outlineLevel="0" collapsed="false">
      <c r="B21" s="17" t="str">
        <f aca="false">IFERROR(IF(ISNUMBER('Enter data'!$B$28),'Enter data'!$A$28,""),"")</f>
        <v/>
      </c>
      <c r="C21" s="18" t="str">
        <f aca="false">IFERROR(IF(ISNUMBER('Enter data'!$B$28),'Enter data'!$B$28,""),"")</f>
        <v/>
      </c>
      <c r="D21" s="19" t="str">
        <f aca="false">IFERROR(IF(ISNUMBER('Enter data'!$B$28),('Enter data'!$B$28-$C$7)/$C$6,""),"")</f>
        <v/>
      </c>
      <c r="E21" s="19" t="str">
        <f aca="false">IFERROR(IF(ISNUMBER(D21),D21*(0.9982+0.0038*D21),""),"")</f>
        <v/>
      </c>
      <c r="F21" s="18" t="str">
        <f aca="false">IFERROR(IF(ISNUMBER('Enter data'!$C$28),'Enter data'!$C$28,""),"")</f>
        <v/>
      </c>
      <c r="G21" s="19" t="str">
        <f aca="false">IFERROR(IF(AND(ISNUMBER(E21),ISNUMBER(F21)),E21-F21,""),"")</f>
        <v/>
      </c>
    </row>
    <row r="22" customFormat="false" ht="15" hidden="false" customHeight="false" outlineLevel="0" collapsed="false">
      <c r="B22" s="17" t="str">
        <f aca="false">IFERROR(IF(ISNUMBER('Enter data'!$B$29),'Enter data'!$A$29,""),"")</f>
        <v/>
      </c>
      <c r="C22" s="18" t="str">
        <f aca="false">IFERROR(IF(ISNUMBER('Enter data'!$B$29),'Enter data'!$B$29,""),"")</f>
        <v/>
      </c>
      <c r="D22" s="19" t="str">
        <f aca="false">IFERROR(IF(ISNUMBER('Enter data'!$B$29),('Enter data'!$B$29-$C$7)/$C$6,""),"")</f>
        <v/>
      </c>
      <c r="E22" s="19" t="str">
        <f aca="false">IFERROR(IF(ISNUMBER(D22),D22*(0.9982+0.0038*D22),""),"")</f>
        <v/>
      </c>
      <c r="F22" s="18" t="str">
        <f aca="false">IFERROR(IF(ISNUMBER('Enter data'!$C$29),'Enter data'!$C$29,""),"")</f>
        <v/>
      </c>
      <c r="G22" s="19" t="str">
        <f aca="false">IFERROR(IF(AND(ISNUMBER(E22),ISNUMBER(F22)),E22-F22,""),"")</f>
        <v/>
      </c>
    </row>
    <row r="23" customFormat="false" ht="15" hidden="false" customHeight="false" outlineLevel="0" collapsed="false">
      <c r="B23" s="17" t="str">
        <f aca="false">IFERROR(IF(ISNUMBER('Enter data'!$B$30),'Enter data'!$A$30,""),"")</f>
        <v/>
      </c>
      <c r="C23" s="18" t="str">
        <f aca="false">IFERROR(IF(ISNUMBER('Enter data'!$B$30),'Enter data'!$B$30,""),"")</f>
        <v/>
      </c>
      <c r="D23" s="19" t="str">
        <f aca="false">IFERROR(IF(ISNUMBER('Enter data'!$B$30),('Enter data'!$B$30-$C$7)/$C$6,""),"")</f>
        <v/>
      </c>
      <c r="E23" s="19" t="str">
        <f aca="false">IFERROR(IF(ISNUMBER(D23),D23*(0.9982+0.0038*D23),""),"")</f>
        <v/>
      </c>
      <c r="F23" s="18" t="str">
        <f aca="false">IFERROR(IF(ISNUMBER('Enter data'!$C$30),'Enter data'!$C$30,""),"")</f>
        <v/>
      </c>
      <c r="G23" s="19" t="str">
        <f aca="false">IFERROR(IF(AND(ISNUMBER(E23),ISNUMBER(F23)),E23-F23,""),"")</f>
        <v/>
      </c>
    </row>
    <row r="24" customFormat="false" ht="15" hidden="false" customHeight="false" outlineLevel="0" collapsed="false">
      <c r="B24" s="17" t="str">
        <f aca="false">IFERROR(IF(ISNUMBER('Enter data'!$B$31),'Enter data'!$A$31,""),"")</f>
        <v/>
      </c>
      <c r="C24" s="18" t="str">
        <f aca="false">IFERROR(IF(ISNUMBER('Enter data'!$B$31),'Enter data'!$B$31,""),"")</f>
        <v/>
      </c>
      <c r="D24" s="19" t="str">
        <f aca="false">IFERROR(IF(ISNUMBER('Enter data'!$B$31),('Enter data'!$B$31-$C$7)/$C$6,""),"")</f>
        <v/>
      </c>
      <c r="E24" s="19" t="str">
        <f aca="false">IFERROR(IF(ISNUMBER(D24),D24*(0.9982+0.0038*D24),""),"")</f>
        <v/>
      </c>
      <c r="F24" s="18" t="str">
        <f aca="false">IFERROR(IF(ISNUMBER('Enter data'!$C$31),'Enter data'!$C$31,""),"")</f>
        <v/>
      </c>
      <c r="G24" s="19" t="str">
        <f aca="false">IFERROR(IF(AND(ISNUMBER(E24),ISNUMBER(F24)),E24-F24,""),"")</f>
        <v/>
      </c>
    </row>
    <row r="25" customFormat="false" ht="15" hidden="false" customHeight="false" outlineLevel="0" collapsed="false">
      <c r="B25" s="17" t="str">
        <f aca="false">IFERROR(IF(ISNUMBER('Enter data'!$B$32),'Enter data'!$A$32,""),"")</f>
        <v/>
      </c>
      <c r="C25" s="18" t="str">
        <f aca="false">IFERROR(IF(ISNUMBER('Enter data'!$B$32),'Enter data'!$B$32,""),"")</f>
        <v/>
      </c>
      <c r="D25" s="19" t="str">
        <f aca="false">IFERROR(IF(ISNUMBER('Enter data'!$B$32),('Enter data'!$B$32-$C$7)/$C$6,""),"")</f>
        <v/>
      </c>
      <c r="E25" s="19" t="str">
        <f aca="false">IFERROR(IF(ISNUMBER(D25),D25*(0.9982+0.0038*D25),""),"")</f>
        <v/>
      </c>
      <c r="F25" s="18" t="str">
        <f aca="false">IFERROR(IF(ISNUMBER('Enter data'!$C$32),'Enter data'!$C$32,""),"")</f>
        <v/>
      </c>
      <c r="G25" s="19" t="str">
        <f aca="false">IFERROR(IF(AND(ISNUMBER(E25),ISNUMBER(F25)),E25-F25,""),"")</f>
        <v/>
      </c>
    </row>
    <row r="26" customFormat="false" ht="15" hidden="false" customHeight="false" outlineLevel="0" collapsed="false">
      <c r="B26" s="17" t="str">
        <f aca="false">IFERROR(IF(ISNUMBER('Enter data'!$B$33),'Enter data'!$A$33,""),"")</f>
        <v/>
      </c>
      <c r="C26" s="18" t="str">
        <f aca="false">IFERROR(IF(ISNUMBER('Enter data'!$B$33),'Enter data'!$B$33,""),"")</f>
        <v/>
      </c>
      <c r="D26" s="19" t="str">
        <f aca="false">IFERROR(IF(ISNUMBER('Enter data'!$B$33),('Enter data'!$B$33-$C$7)/$C$6,""),"")</f>
        <v/>
      </c>
      <c r="E26" s="19" t="str">
        <f aca="false">IFERROR(IF(ISNUMBER(D26),D26*(0.9982+0.0038*D26),""),"")</f>
        <v/>
      </c>
      <c r="F26" s="18" t="str">
        <f aca="false">IFERROR(IF(ISNUMBER('Enter data'!$C$33),'Enter data'!$C$33,""),"")</f>
        <v/>
      </c>
      <c r="G26" s="19" t="str">
        <f aca="false">IFERROR(IF(AND(ISNUMBER(E26),ISNUMBER(F26)),E26-F26,""),"")</f>
        <v/>
      </c>
    </row>
    <row r="27" customFormat="false" ht="15" hidden="false" customHeight="false" outlineLevel="0" collapsed="false">
      <c r="B27" s="17" t="str">
        <f aca="false">IFERROR(IF(ISNUMBER('Enter data'!$B$34),'Enter data'!$A$34,""),"")</f>
        <v/>
      </c>
      <c r="C27" s="18" t="str">
        <f aca="false">IFERROR(IF(ISNUMBER('Enter data'!$B$34),'Enter data'!$B$34,""),"")</f>
        <v/>
      </c>
      <c r="D27" s="19" t="str">
        <f aca="false">IFERROR(IF(ISNUMBER('Enter data'!$B$34),('Enter data'!$B$34-$C$7)/$C$6,""),"")</f>
        <v/>
      </c>
      <c r="E27" s="19" t="str">
        <f aca="false">IFERROR(IF(ISNUMBER(D27),D27*(0.9982+0.0038*D27),""),"")</f>
        <v/>
      </c>
      <c r="F27" s="18" t="str">
        <f aca="false">IFERROR(IF(ISNUMBER('Enter data'!$C$34),'Enter data'!$C$34,""),"")</f>
        <v/>
      </c>
      <c r="G27" s="19" t="str">
        <f aca="false">IFERROR(IF(AND(ISNUMBER(E27),ISNUMBER(F27)),E27-F27,""),"")</f>
        <v/>
      </c>
    </row>
    <row r="28" customFormat="false" ht="15" hidden="false" customHeight="false" outlineLevel="0" collapsed="false">
      <c r="B28" s="17" t="str">
        <f aca="false">IFERROR(IF(ISNUMBER('Enter data'!$B$35),'Enter data'!$A$35,""),"")</f>
        <v/>
      </c>
      <c r="C28" s="18" t="str">
        <f aca="false">IFERROR(IF(ISNUMBER('Enter data'!$B$35),'Enter data'!$B$35,""),"")</f>
        <v/>
      </c>
      <c r="D28" s="19" t="str">
        <f aca="false">IFERROR(IF(ISNUMBER('Enter data'!$B$35),('Enter data'!$B$35-$C$7)/$C$6,""),"")</f>
        <v/>
      </c>
      <c r="E28" s="19" t="str">
        <f aca="false">IFERROR(IF(ISNUMBER(D28),D28*(0.9982+0.0038*D28),""),"")</f>
        <v/>
      </c>
      <c r="F28" s="18" t="str">
        <f aca="false">IFERROR(IF(ISNUMBER('Enter data'!$C$35),'Enter data'!$C$35,""),"")</f>
        <v/>
      </c>
      <c r="G28" s="19" t="str">
        <f aca="false">IFERROR(IF(AND(ISNUMBER(E28),ISNUMBER(F28)),E28-F28,""),"")</f>
        <v/>
      </c>
    </row>
    <row r="29" customFormat="false" ht="15" hidden="false" customHeight="false" outlineLevel="0" collapsed="false">
      <c r="B29" s="17" t="str">
        <f aca="false">IFERROR(IF(ISNUMBER('Enter data'!$B$36),'Enter data'!$A$36,""),"")</f>
        <v/>
      </c>
      <c r="C29" s="18" t="str">
        <f aca="false">IFERROR(IF(ISNUMBER('Enter data'!$B$36),'Enter data'!$B$36,""),"")</f>
        <v/>
      </c>
      <c r="D29" s="19" t="str">
        <f aca="false">IFERROR(IF(ISNUMBER('Enter data'!$B$36),('Enter data'!$B$36-$C$7)/$C$6,""),"")</f>
        <v/>
      </c>
      <c r="E29" s="19" t="str">
        <f aca="false">IFERROR(IF(ISNUMBER(D29),D29*(0.9982+0.0038*D29),""),"")</f>
        <v/>
      </c>
      <c r="F29" s="18" t="str">
        <f aca="false">IFERROR(IF(ISNUMBER('Enter data'!$C$36),'Enter data'!$C$36,""),"")</f>
        <v/>
      </c>
      <c r="G29" s="19" t="str">
        <f aca="false">IFERROR(IF(AND(ISNUMBER(E29),ISNUMBER(F29)),E29-F29,""),"")</f>
        <v/>
      </c>
    </row>
    <row r="30" customFormat="false" ht="15" hidden="false" customHeight="false" outlineLevel="0" collapsed="false">
      <c r="B30" s="17" t="str">
        <f aca="false">IFERROR(IF(ISNUMBER('Enter data'!$B$37),'Enter data'!$A$37,""),"")</f>
        <v/>
      </c>
      <c r="C30" s="18" t="str">
        <f aca="false">IFERROR(IF(ISNUMBER('Enter data'!$B$37),'Enter data'!$B$37,""),"")</f>
        <v/>
      </c>
      <c r="D30" s="19" t="str">
        <f aca="false">IFERROR(IF(ISNUMBER('Enter data'!$B$37),('Enter data'!$B$37-$C$7)/$C$6,""),"")</f>
        <v/>
      </c>
      <c r="E30" s="19" t="str">
        <f aca="false">IFERROR(IF(ISNUMBER(D30),D30*(0.9982+0.0038*D30),""),"")</f>
        <v/>
      </c>
      <c r="F30" s="18" t="str">
        <f aca="false">IFERROR(IF(ISNUMBER('Enter data'!$C$37),'Enter data'!$C$37,""),"")</f>
        <v/>
      </c>
      <c r="G30" s="19" t="str">
        <f aca="false">IFERROR(IF(AND(ISNUMBER(E30),ISNUMBER(F30)),E30-F30,""),"")</f>
        <v/>
      </c>
    </row>
    <row r="31" customFormat="false" ht="15" hidden="false" customHeight="false" outlineLevel="0" collapsed="false">
      <c r="B31" s="17" t="str">
        <f aca="false">IFERROR(IF(ISNUMBER('Enter data'!$B$38),'Enter data'!$A$38,""),"")</f>
        <v/>
      </c>
      <c r="C31" s="18" t="str">
        <f aca="false">IFERROR(IF(ISNUMBER('Enter data'!$B$38),'Enter data'!$B$38,""),"")</f>
        <v/>
      </c>
      <c r="D31" s="19" t="str">
        <f aca="false">IFERROR(IF(ISNUMBER('Enter data'!$B$38),('Enter data'!$B$38-$C$7)/$C$6,""),"")</f>
        <v/>
      </c>
      <c r="E31" s="19" t="str">
        <f aca="false">IFERROR(IF(ISNUMBER(D31),D31*(0.9982+0.0038*D31),""),"")</f>
        <v/>
      </c>
      <c r="F31" s="18" t="str">
        <f aca="false">IFERROR(IF(ISNUMBER('Enter data'!$C$38),'Enter data'!$C$38,""),"")</f>
        <v/>
      </c>
      <c r="G31" s="19" t="str">
        <f aca="false">IFERROR(IF(AND(ISNUMBER(E31),ISNUMBER(F31)),E31-F31,""),"")</f>
        <v/>
      </c>
    </row>
    <row r="32" customFormat="false" ht="15" hidden="false" customHeight="false" outlineLevel="0" collapsed="false">
      <c r="B32" s="17" t="str">
        <f aca="false">IFERROR(IF(ISNUMBER('Enter data'!$B$39),'Enter data'!$A$39,""),"")</f>
        <v/>
      </c>
      <c r="C32" s="18" t="str">
        <f aca="false">IFERROR(IF(ISNUMBER('Enter data'!$B$39),'Enter data'!$B$39,""),"")</f>
        <v/>
      </c>
      <c r="D32" s="19" t="str">
        <f aca="false">IFERROR(IF(ISNUMBER('Enter data'!$B$39),('Enter data'!$B$39-$C$7)/$C$6,""),"")</f>
        <v/>
      </c>
      <c r="E32" s="19" t="str">
        <f aca="false">IFERROR(IF(ISNUMBER(D32),D32*(0.9982+0.0038*D32),""),"")</f>
        <v/>
      </c>
      <c r="F32" s="18" t="str">
        <f aca="false">IFERROR(IF(ISNUMBER('Enter data'!$C$39),'Enter data'!$C$39,""),"")</f>
        <v/>
      </c>
      <c r="G32" s="19" t="str">
        <f aca="false">IFERROR(IF(AND(ISNUMBER(E32),ISNUMBER(F32)),E32-F32,""),"")</f>
        <v/>
      </c>
    </row>
    <row r="33" customFormat="false" ht="15" hidden="false" customHeight="false" outlineLevel="0" collapsed="false">
      <c r="B33" s="17" t="str">
        <f aca="false">IFERROR(IF(ISNUMBER('Enter data'!$B$40),'Enter data'!$A$40,""),"")</f>
        <v/>
      </c>
      <c r="C33" s="18" t="str">
        <f aca="false">IFERROR(IF(ISNUMBER('Enter data'!$B$40),'Enter data'!$B$40,""),"")</f>
        <v/>
      </c>
      <c r="D33" s="19" t="str">
        <f aca="false">IFERROR(IF(ISNUMBER('Enter data'!$B$40),('Enter data'!$B$40-$C$7)/$C$6,""),"")</f>
        <v/>
      </c>
      <c r="E33" s="19" t="str">
        <f aca="false">IFERROR(IF(ISNUMBER(D33),D33*(0.9982+0.0038*D33),""),"")</f>
        <v/>
      </c>
      <c r="F33" s="18" t="str">
        <f aca="false">IFERROR(IF(ISNUMBER('Enter data'!$C$40),'Enter data'!$C$40,""),"")</f>
        <v/>
      </c>
      <c r="G33" s="19" t="str">
        <f aca="false">IFERROR(IF(AND(ISNUMBER(E33),ISNUMBER(F33)),E33-F33,""),"")</f>
        <v/>
      </c>
    </row>
    <row r="34" customFormat="false" ht="15" hidden="false" customHeight="false" outlineLevel="0" collapsed="false">
      <c r="B34" s="17" t="str">
        <f aca="false">IFERROR(IF(ISNUMBER('Enter data'!$B$41),'Enter data'!$A$41,""),"")</f>
        <v/>
      </c>
      <c r="C34" s="18" t="str">
        <f aca="false">IFERROR(IF(ISNUMBER('Enter data'!$B$41),'Enter data'!$B$41,""),"")</f>
        <v/>
      </c>
      <c r="D34" s="19" t="str">
        <f aca="false">IFERROR(IF(ISNUMBER('Enter data'!$B$41),('Enter data'!$B$41-$C$7)/$C$6,""),"")</f>
        <v/>
      </c>
      <c r="E34" s="19" t="str">
        <f aca="false">IFERROR(IF(ISNUMBER(D34),D34*(0.9982+0.0038*D34),""),"")</f>
        <v/>
      </c>
      <c r="F34" s="18" t="str">
        <f aca="false">IFERROR(IF(ISNUMBER('Enter data'!$C$41),'Enter data'!$C$41,""),"")</f>
        <v/>
      </c>
      <c r="G34" s="19" t="str">
        <f aca="false">IFERROR(IF(AND(ISNUMBER(E34),ISNUMBER(F34)),E34-F34,""),"")</f>
        <v/>
      </c>
    </row>
    <row r="35" customFormat="false" ht="15" hidden="false" customHeight="false" outlineLevel="0" collapsed="false">
      <c r="B35" s="17" t="str">
        <f aca="false">IFERROR(IF(ISNUMBER('Enter data'!$B$42),'Enter data'!$A$42,""),"")</f>
        <v/>
      </c>
      <c r="C35" s="18" t="str">
        <f aca="false">IFERROR(IF(ISNUMBER('Enter data'!$B$42),'Enter data'!$B$42,""),"")</f>
        <v/>
      </c>
      <c r="D35" s="19" t="str">
        <f aca="false">IFERROR(IF(ISNUMBER('Enter data'!$B$42),('Enter data'!$B$42-$C$7)/$C$6,""),"")</f>
        <v/>
      </c>
      <c r="E35" s="19" t="str">
        <f aca="false">IFERROR(IF(ISNUMBER(D35),D35*(0.9982+0.0038*D35),""),"")</f>
        <v/>
      </c>
      <c r="F35" s="18" t="str">
        <f aca="false">IFERROR(IF(ISNUMBER('Enter data'!$C$42),'Enter data'!$C$42,""),"")</f>
        <v/>
      </c>
      <c r="G35" s="19" t="str">
        <f aca="false">IFERROR(IF(AND(ISNUMBER(E35),ISNUMBER(F35)),E35-F35,""),"")</f>
        <v/>
      </c>
    </row>
    <row r="36" customFormat="false" ht="15" hidden="false" customHeight="false" outlineLevel="0" collapsed="false">
      <c r="B36" s="17" t="str">
        <f aca="false">IFERROR(IF(ISNUMBER('Enter data'!$B$43),'Enter data'!$A$43,""),"")</f>
        <v/>
      </c>
      <c r="C36" s="18" t="str">
        <f aca="false">IFERROR(IF(ISNUMBER('Enter data'!$B$43),'Enter data'!$B$43,""),"")</f>
        <v/>
      </c>
      <c r="D36" s="19" t="str">
        <f aca="false">IFERROR(IF(ISNUMBER('Enter data'!$B$43),('Enter data'!$B$43-$C$7)/$C$6,""),"")</f>
        <v/>
      </c>
      <c r="E36" s="19" t="str">
        <f aca="false">IFERROR(IF(ISNUMBER(D36),D36*(0.9982+0.0038*D36),""),"")</f>
        <v/>
      </c>
      <c r="F36" s="18" t="str">
        <f aca="false">IFERROR(IF(ISNUMBER('Enter data'!$C$43),'Enter data'!$C$43,""),"")</f>
        <v/>
      </c>
      <c r="G36" s="19" t="str">
        <f aca="false">IFERROR(IF(AND(ISNUMBER(E36),ISNUMBER(F36)),E36-F36,""),"")</f>
        <v/>
      </c>
    </row>
    <row r="37" customFormat="false" ht="15" hidden="false" customHeight="false" outlineLevel="0" collapsed="false">
      <c r="B37" s="17" t="str">
        <f aca="false">IFERROR(IF(ISNUMBER('Enter data'!$B$44),'Enter data'!$A$44,""),"")</f>
        <v/>
      </c>
      <c r="C37" s="18" t="str">
        <f aca="false">IFERROR(IF(ISNUMBER('Enter data'!$B$44),'Enter data'!$B$44,""),"")</f>
        <v/>
      </c>
      <c r="D37" s="19" t="str">
        <f aca="false">IFERROR(IF(ISNUMBER('Enter data'!$B$44),('Enter data'!$B$44-$C$7)/$C$6,""),"")</f>
        <v/>
      </c>
      <c r="E37" s="19" t="str">
        <f aca="false">IFERROR(IF(ISNUMBER(D37),D37*(0.9982+0.0038*D37),""),"")</f>
        <v/>
      </c>
      <c r="F37" s="18" t="str">
        <f aca="false">IFERROR(IF(ISNUMBER('Enter data'!$C$44),'Enter data'!$C$44,""),"")</f>
        <v/>
      </c>
      <c r="G37" s="19" t="str">
        <f aca="false">IFERROR(IF(AND(ISNUMBER(E37),ISNUMBER(F37)),E37-F37,""),"")</f>
        <v/>
      </c>
    </row>
    <row r="38" customFormat="false" ht="15" hidden="false" customHeight="false" outlineLevel="0" collapsed="false">
      <c r="B38" s="17" t="str">
        <f aca="false">IFERROR(IF(ISNUMBER('Enter data'!$B$45),'Enter data'!$A$45,""),"")</f>
        <v/>
      </c>
      <c r="C38" s="18" t="str">
        <f aca="false">IFERROR(IF(ISNUMBER('Enter data'!$B$45),'Enter data'!$B$45,""),"")</f>
        <v/>
      </c>
      <c r="D38" s="19" t="str">
        <f aca="false">IFERROR(IF(ISNUMBER('Enter data'!$B$45),('Enter data'!$B$45-$C$7)/$C$6,""),"")</f>
        <v/>
      </c>
      <c r="E38" s="19" t="str">
        <f aca="false">IFERROR(IF(ISNUMBER(D38),D38*(0.9982+0.0038*D38),""),"")</f>
        <v/>
      </c>
      <c r="F38" s="18" t="str">
        <f aca="false">IFERROR(IF(ISNUMBER('Enter data'!$C$45),'Enter data'!$C$45,""),"")</f>
        <v/>
      </c>
      <c r="G38" s="19" t="str">
        <f aca="false">IFERROR(IF(AND(ISNUMBER(E38),ISNUMBER(F38)),E38-F38,""),"")</f>
        <v/>
      </c>
    </row>
    <row r="39" customFormat="false" ht="15" hidden="false" customHeight="false" outlineLevel="0" collapsed="false">
      <c r="B39" s="17" t="str">
        <f aca="false">IFERROR(IF(ISNUMBER('Enter data'!$B$46),'Enter data'!$A$46,""),"")</f>
        <v/>
      </c>
      <c r="C39" s="18" t="str">
        <f aca="false">IFERROR(IF(ISNUMBER('Enter data'!$B$46),'Enter data'!$B$46,""),"")</f>
        <v/>
      </c>
      <c r="D39" s="19" t="str">
        <f aca="false">IFERROR(IF(ISNUMBER('Enter data'!$B$46),('Enter data'!$B$46-$C$7)/$C$6,""),"")</f>
        <v/>
      </c>
      <c r="E39" s="19" t="str">
        <f aca="false">IFERROR(IF(ISNUMBER(D39),D39*(0.9982+0.0038*D39),""),"")</f>
        <v/>
      </c>
      <c r="F39" s="18" t="str">
        <f aca="false">IFERROR(IF(ISNUMBER('Enter data'!$C$46),'Enter data'!$C$46,""),"")</f>
        <v/>
      </c>
      <c r="G39" s="19" t="str">
        <f aca="false">IFERROR(IF(AND(ISNUMBER(E39),ISNUMBER(F39)),E39-F39,""),"")</f>
        <v/>
      </c>
    </row>
    <row r="40" customFormat="false" ht="15" hidden="false" customHeight="false" outlineLevel="0" collapsed="false">
      <c r="B40" s="17" t="str">
        <f aca="false">IFERROR(IF(ISNUMBER('Enter data'!$B$47),'Enter data'!$A$47,""),"")</f>
        <v/>
      </c>
      <c r="C40" s="18" t="str">
        <f aca="false">IFERROR(IF(ISNUMBER('Enter data'!$B$47),'Enter data'!$B$47,""),"")</f>
        <v/>
      </c>
      <c r="D40" s="19" t="str">
        <f aca="false">IFERROR(IF(ISNUMBER('Enter data'!$B$47),('Enter data'!$B$47-$C$7)/$C$6,""),"")</f>
        <v/>
      </c>
      <c r="E40" s="19" t="str">
        <f aca="false">IFERROR(IF(ISNUMBER(D40),D40*(0.9982+0.0038*D40),""),"")</f>
        <v/>
      </c>
      <c r="F40" s="18" t="str">
        <f aca="false">IFERROR(IF(ISNUMBER('Enter data'!$C$47),'Enter data'!$C$47,""),"")</f>
        <v/>
      </c>
      <c r="G40" s="19" t="str">
        <f aca="false">IFERROR(IF(AND(ISNUMBER(E40),ISNUMBER(F40)),E40-F40,""),"")</f>
        <v/>
      </c>
    </row>
    <row r="41" customFormat="false" ht="15" hidden="false" customHeight="false" outlineLevel="0" collapsed="false">
      <c r="B41" s="17" t="str">
        <f aca="false">IFERROR(IF(ISNUMBER('Enter data'!$B$48),'Enter data'!$A$48,""),"")</f>
        <v/>
      </c>
      <c r="C41" s="18" t="str">
        <f aca="false">IFERROR(IF(ISNUMBER('Enter data'!$B$48),'Enter data'!$B$48,""),"")</f>
        <v/>
      </c>
      <c r="D41" s="19" t="str">
        <f aca="false">IFERROR(IF(ISNUMBER('Enter data'!$B$48),('Enter data'!$B$48-$C$7)/$C$6,""),"")</f>
        <v/>
      </c>
      <c r="E41" s="19" t="str">
        <f aca="false">IFERROR(IF(ISNUMBER(D41),D41*(0.9982+0.0038*D41),""),"")</f>
        <v/>
      </c>
      <c r="F41" s="18" t="str">
        <f aca="false">IFERROR(IF(ISNUMBER('Enter data'!$C$48),'Enter data'!$C$48,""),"")</f>
        <v/>
      </c>
      <c r="G41" s="19" t="str">
        <f aca="false">IFERROR(IF(AND(ISNUMBER(E41),ISNUMBER(F41)),E41-F41,""),"")</f>
        <v/>
      </c>
    </row>
    <row r="42" customFormat="false" ht="15" hidden="false" customHeight="false" outlineLevel="0" collapsed="false">
      <c r="B42" s="17" t="str">
        <f aca="false">IFERROR(IF(ISNUMBER('Enter data'!$B$49),'Enter data'!$A$49,""),"")</f>
        <v/>
      </c>
      <c r="C42" s="18" t="str">
        <f aca="false">IFERROR(IF(ISNUMBER('Enter data'!$B$49),'Enter data'!$B$49,""),"")</f>
        <v/>
      </c>
      <c r="D42" s="19" t="str">
        <f aca="false">IFERROR(IF(ISNUMBER('Enter data'!$B$49),('Enter data'!$B$49-$C$7)/$C$6,""),"")</f>
        <v/>
      </c>
      <c r="E42" s="19" t="str">
        <f aca="false">IFERROR(IF(ISNUMBER(D42),D42*(0.9982+0.0038*D42),""),"")</f>
        <v/>
      </c>
      <c r="F42" s="18" t="str">
        <f aca="false">IFERROR(IF(ISNUMBER('Enter data'!$C$49),'Enter data'!$C$49,""),"")</f>
        <v/>
      </c>
      <c r="G42" s="19" t="str">
        <f aca="false">IFERROR(IF(AND(ISNUMBER(E42),ISNUMBER(F42)),E42-F42,""),"")</f>
        <v/>
      </c>
    </row>
    <row r="43" customFormat="false" ht="15" hidden="false" customHeight="false" outlineLevel="0" collapsed="false">
      <c r="B43" s="17" t="str">
        <f aca="false">IFERROR(IF(ISNUMBER('Enter data'!$B$50),'Enter data'!$A$50,""),"")</f>
        <v/>
      </c>
      <c r="C43" s="18" t="str">
        <f aca="false">IFERROR(IF(ISNUMBER('Enter data'!$B$50),'Enter data'!$B$50,""),"")</f>
        <v/>
      </c>
      <c r="D43" s="19" t="str">
        <f aca="false">IFERROR(IF(ISNUMBER('Enter data'!$B$50),('Enter data'!$B$50-$C$7)/$C$6,""),"")</f>
        <v/>
      </c>
      <c r="E43" s="19" t="str">
        <f aca="false">IFERROR(IF(ISNUMBER(D43),D43*(0.9982+0.0038*D43),""),"")</f>
        <v/>
      </c>
      <c r="F43" s="18" t="str">
        <f aca="false">IFERROR(IF(ISNUMBER('Enter data'!$C$50),'Enter data'!$C$50,""),"")</f>
        <v/>
      </c>
      <c r="G43" s="19" t="str">
        <f aca="false">IFERROR(IF(AND(ISNUMBER(E43),ISNUMBER(F43)),E43-F43,""),"")</f>
        <v/>
      </c>
    </row>
    <row r="44" customFormat="false" ht="15" hidden="false" customHeight="false" outlineLevel="0" collapsed="false">
      <c r="B44" s="17" t="str">
        <f aca="false">IFERROR(IF(ISNUMBER('Enter data'!$B$51),'Enter data'!$A$51,""),"")</f>
        <v/>
      </c>
      <c r="C44" s="18" t="str">
        <f aca="false">IFERROR(IF(ISNUMBER('Enter data'!$B$51),'Enter data'!$B$51,""),"")</f>
        <v/>
      </c>
      <c r="D44" s="19" t="str">
        <f aca="false">IFERROR(IF(ISNUMBER('Enter data'!$B$51),('Enter data'!$B$51-$C$7)/$C$6,""),"")</f>
        <v/>
      </c>
      <c r="E44" s="19" t="str">
        <f aca="false">IFERROR(IF(ISNUMBER(D44),D44*(0.9982+0.0038*D44),""),"")</f>
        <v/>
      </c>
      <c r="F44" s="18" t="str">
        <f aca="false">IFERROR(IF(ISNUMBER('Enter data'!$C$51),'Enter data'!$C$51,""),"")</f>
        <v/>
      </c>
      <c r="G44" s="19" t="str">
        <f aca="false">IFERROR(IF(AND(ISNUMBER(E44),ISNUMBER(F44)),E44-F44,""),"")</f>
        <v/>
      </c>
    </row>
    <row r="45" customFormat="false" ht="15" hidden="false" customHeight="false" outlineLevel="0" collapsed="false">
      <c r="B45" s="17" t="str">
        <f aca="false">IFERROR(IF(ISNUMBER('Enter data'!$B$52),'Enter data'!$A$52,""),"")</f>
        <v/>
      </c>
      <c r="C45" s="18" t="str">
        <f aca="false">IFERROR(IF(ISNUMBER('Enter data'!$B$52),'Enter data'!$B$52,""),"")</f>
        <v/>
      </c>
      <c r="D45" s="19" t="str">
        <f aca="false">IFERROR(IF(ISNUMBER('Enter data'!$B$52),('Enter data'!$B$52-$C$7)/$C$6,""),"")</f>
        <v/>
      </c>
      <c r="E45" s="19" t="str">
        <f aca="false">IFERROR(IF(ISNUMBER(D45),D45*(0.9982+0.0038*D45),""),"")</f>
        <v/>
      </c>
      <c r="F45" s="18" t="str">
        <f aca="false">IFERROR(IF(ISNUMBER('Enter data'!$C$52),'Enter data'!$C$52,""),"")</f>
        <v/>
      </c>
      <c r="G45" s="19" t="str">
        <f aca="false">IFERROR(IF(AND(ISNUMBER(E45),ISNUMBER(F45)),E45-F45,""),"")</f>
        <v/>
      </c>
    </row>
    <row r="46" customFormat="false" ht="15" hidden="false" customHeight="false" outlineLevel="0" collapsed="false">
      <c r="B46" s="17" t="str">
        <f aca="false">IFERROR(IF(ISNUMBER('Enter data'!$B$53),'Enter data'!$A$53,""),"")</f>
        <v/>
      </c>
      <c r="C46" s="18" t="str">
        <f aca="false">IFERROR(IF(ISNUMBER('Enter data'!$B$53),'Enter data'!$B$53,""),"")</f>
        <v/>
      </c>
      <c r="D46" s="19" t="str">
        <f aca="false">IFERROR(IF(ISNUMBER('Enter data'!$B$53),('Enter data'!$B$53-$C$7)/$C$6,""),"")</f>
        <v/>
      </c>
      <c r="E46" s="19" t="str">
        <f aca="false">IFERROR(IF(ISNUMBER(D46),D46*(0.9982+0.0038*D46),""),"")</f>
        <v/>
      </c>
      <c r="F46" s="18" t="str">
        <f aca="false">IFERROR(IF(ISNUMBER('Enter data'!$C$53),'Enter data'!$C$53,""),"")</f>
        <v/>
      </c>
      <c r="G46" s="19" t="str">
        <f aca="false">IFERROR(IF(AND(ISNUMBER(E46),ISNUMBER(F46)),E46-F46,""),"")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2026-10-01T00:29:59Z</dcterms:modified>
  <cp:revision>1</cp:revision>
  <dc:subject/>
  <dc:title>BCH-03 Sugar content of beverages by refractometry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