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<sst xmlns="http://schemas.openxmlformats.org/spreadsheetml/2006/main" count="47" uniqueCount="46">
  <si>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AP-02  Touch acuity: two-point discrimination</t>
  </si>
  <si>
    <t xml:space="preserve">Excel version of the card. It does the same calculations as the R script ap02_two_point.R.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</si>
  <si>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</si>
  <si>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</si>
  <si>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</si>
  <si>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</si>
  <si>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</si>
  <si>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</si>
  <si>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</si>
  <si>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</si>
  <si>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For each subject and region, enter the smallest spacing (mm) at which the subject reported two points on at least half of the presentations. Use randomized presentation orders with one-point catch trials.</t>
  </si>
  <si>
    <t xml:space="preserve">Use anonymous codes only. Approval for student-subject activities is assumed to have been granted, and taking part is voluntary.</t>
  </si>
  <si>
    <t xml:space="preserve">Differences from the R script on the card</t>
  </si>
  <si>
    <t xml:space="preserve">The R script fits a logistic model to every response to estimate each threshold. In Excel you enter the threshold you read from your own results, so the estimate is coarser.</t>
  </si>
  <si>
    <t xml:space="preserve">The R script uses a Friedman test across regions. Here a paired t test compares two chosen regions, and the table shows medians and quartiles of all regions.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</si>
  <si>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</si>
  <si>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</si>
  <si>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</si>
  <si>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</si>
  <si>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Thresholds (mm) by subject</t>
  </si>
  <si>
    <t xml:space="preserve">Subject code</t>
  </si>
  <si>
    <t xml:space="preserve">Fingertip</t>
  </si>
  <si>
    <t xml:space="preserve">Palm</t>
  </si>
  <si>
    <t xml:space="preserve">Back of hand</t>
  </si>
  <si>
    <t xml:space="preserve">Forearm</t>
  </si>
  <si>
    <t xml:space="preserve">S1</t>
  </si>
  <si>
    <t xml:space="preserve">2. One-point catch trials</t>
  </si>
  <si>
    <t xml:space="preserve">Catch trials given (all subjects)</t>
  </si>
  <si>
    <t xml:space="preserve">Answered 'two'</t>
  </si>
  <si>
    <t xml:space="preserve">Results</t>
  </si>
  <si>
    <t xml:space="preserve">Everything on this sheet is calculated. Change only the yellow settings.</t>
  </si>
  <si>
    <t xml:space="preserve">Thresholds by region (mm)</t>
  </si>
  <si>
    <t xml:space="preserve">Region</t>
  </si>
  <si>
    <t xml:space="preserve">Subjects</t>
  </si>
  <si>
    <t xml:space="preserve">Median</t>
  </si>
  <si>
    <t xml:space="preserve">Lower quartile</t>
  </si>
  <si>
    <t xml:space="preserve">Upper quartile</t>
  </si>
  <si>
    <t xml:space="preserve">Mean</t>
  </si>
  <si>
    <t xml:space="preserve">SD</t>
  </si>
  <si>
    <t xml:space="preserve">Fingertip versus forearm (paired t test)</t>
  </si>
  <si>
    <t xml:space="preserve">Mean difference (forearm minus fingertip, mm)</t>
  </si>
  <si>
    <t xml:space="preserve">Standard deviation of differences</t>
  </si>
  <si>
    <t xml:space="preserve">p value</t>
  </si>
  <si>
    <t xml:space="preserve">Catch trials</t>
  </si>
  <si>
    <t xml:space="preserve">False-alarm rate (%)</t>
  </si>
  <si>
    <t xml:space="preserve">A high value means subjects report two points too readily.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</si>
</sst>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1" t="s">
        <v>21</v>
      </c>
      <c r="C5" s="11" t="s">
        <v>22</v>
      </c>
      <c r="D5" s="11" t="s">
        <v>23</v>
      </c>
      <c r="E5" s="11" t="s">
        <v>24</v>
      </c>
    </row>
    <row r="6" customFormat="false" ht="15" hidden="false" customHeight="false" outlineLevel="0" collapsed="false">
      <c r="A6" s="12" t="s">
        <v>25</v>
      </c>
      <c r="B6" s="12" t="n">
        <v>3</v>
      </c>
      <c r="C6" s="12" t="n">
        <v>10</v>
      </c>
      <c r="D6" s="12" t="n">
        <v>22</v>
      </c>
      <c r="E6" s="12" t="n">
        <v>35</v>
      </c>
    </row>
    <row r="7" customFormat="false" ht="15" hidden="false" customHeight="false" outlineLevel="0" collapsed="false">
      <c r="A7" s="13"/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9" customFormat="false" ht="15" hidden="false" customHeight="false" outlineLevel="0" collapsed="false">
      <c r="A9" s="13"/>
      <c r="B9" s="13"/>
      <c r="C9" s="13"/>
      <c r="D9" s="13"/>
      <c r="E9" s="13"/>
    </row>
    <row r="10" customFormat="false" ht="15" hidden="false" customHeight="false" outlineLevel="0" collapsed="false">
      <c r="A10" s="13"/>
      <c r="B10" s="13"/>
      <c r="C10" s="13"/>
      <c r="D10" s="13"/>
      <c r="E10" s="13"/>
    </row>
    <row r="11" customFormat="false" ht="15" hidden="false" customHeight="false" outlineLevel="0" collapsed="false">
      <c r="A11" s="13"/>
      <c r="B11" s="13"/>
      <c r="C11" s="13"/>
      <c r="D11" s="13"/>
      <c r="E11" s="13"/>
    </row>
    <row r="12" customFormat="false" ht="15" hidden="false" customHeight="false" outlineLevel="0" collapsed="false">
      <c r="A12" s="13"/>
      <c r="B12" s="13"/>
      <c r="C12" s="13"/>
      <c r="D12" s="13"/>
      <c r="E12" s="13"/>
    </row>
    <row r="13" customFormat="false" ht="15" hidden="false" customHeight="false" outlineLevel="0" collapsed="false">
      <c r="A13" s="13"/>
      <c r="B13" s="13"/>
      <c r="C13" s="13"/>
      <c r="D13" s="13"/>
      <c r="E13" s="13"/>
    </row>
    <row r="14" customFormat="false" ht="15" hidden="false" customHeight="false" outlineLevel="0" collapsed="false">
      <c r="A14" s="13"/>
      <c r="B14" s="13"/>
      <c r="C14" s="13"/>
      <c r="D14" s="13"/>
      <c r="E14" s="13"/>
    </row>
    <row r="15" customFormat="false" ht="15" hidden="false" customHeight="false" outlineLevel="0" collapsed="false">
      <c r="A15" s="13"/>
      <c r="B15" s="13"/>
      <c r="C15" s="13"/>
      <c r="D15" s="13"/>
      <c r="E15" s="13"/>
    </row>
    <row r="16" customFormat="false" ht="15" hidden="false" customHeight="false" outlineLevel="0" collapsed="false">
      <c r="A16" s="13"/>
      <c r="B16" s="13"/>
      <c r="C16" s="13"/>
      <c r="D16" s="13"/>
      <c r="E16" s="13"/>
    </row>
    <row r="17" customFormat="false" ht="15" hidden="false" customHeight="false" outlineLevel="0" collapsed="false">
      <c r="A17" s="13"/>
      <c r="B17" s="13"/>
      <c r="C17" s="13"/>
      <c r="D17" s="13"/>
      <c r="E17" s="13"/>
    </row>
    <row r="18" customFormat="false" ht="15" hidden="false" customHeight="false" outlineLevel="0" collapsed="false">
      <c r="A18" s="13"/>
      <c r="B18" s="13"/>
      <c r="C18" s="13"/>
      <c r="D18" s="13"/>
      <c r="E18" s="13"/>
    </row>
    <row r="19" customFormat="false" ht="15" hidden="false" customHeight="false" outlineLevel="0" collapsed="false">
      <c r="A19" s="13"/>
      <c r="B19" s="13"/>
      <c r="C19" s="13"/>
      <c r="D19" s="13"/>
      <c r="E19" s="13"/>
    </row>
    <row r="20" customFormat="false" ht="15" hidden="false" customHeight="false" outlineLevel="0" collapsed="false">
      <c r="A20" s="13"/>
      <c r="B20" s="13"/>
      <c r="C20" s="13"/>
      <c r="D20" s="13"/>
      <c r="E20" s="13"/>
    </row>
    <row r="21" customFormat="false" ht="15" hidden="false" customHeight="false" outlineLevel="0" collapsed="false">
      <c r="A21" s="13"/>
      <c r="B21" s="13"/>
      <c r="C21" s="13"/>
      <c r="D21" s="13"/>
      <c r="E21" s="13"/>
    </row>
    <row r="22" customFormat="false" ht="15" hidden="false" customHeight="false" outlineLevel="0" collapsed="false">
      <c r="A22" s="13"/>
      <c r="B22" s="13"/>
      <c r="C22" s="13"/>
      <c r="D22" s="13"/>
      <c r="E22" s="13"/>
    </row>
    <row r="23" customFormat="false" ht="15" hidden="false" customHeight="false" outlineLevel="0" collapsed="false">
      <c r="A23" s="13"/>
      <c r="B23" s="13"/>
      <c r="C23" s="13"/>
      <c r="D23" s="13"/>
      <c r="E23" s="13"/>
    </row>
    <row r="24" customFormat="false" ht="15" hidden="false" customHeight="false" outlineLevel="0" collapsed="false">
      <c r="A24" s="13"/>
      <c r="B24" s="13"/>
      <c r="C24" s="13"/>
      <c r="D24" s="13"/>
      <c r="E24" s="13"/>
    </row>
    <row r="25" customFormat="false" ht="15" hidden="false" customHeight="false" outlineLevel="0" collapsed="false">
      <c r="A25" s="13"/>
      <c r="B25" s="13"/>
      <c r="C25" s="13"/>
      <c r="D25" s="13"/>
      <c r="E25" s="13"/>
    </row>
    <row r="26" customFormat="false" ht="15" hidden="false" customHeight="false" outlineLevel="0" collapsed="false">
      <c r="A26" s="13"/>
      <c r="B26" s="13"/>
      <c r="C26" s="13"/>
      <c r="D26" s="13"/>
      <c r="E26" s="13"/>
    </row>
    <row r="27" customFormat="false" ht="15" hidden="false" customHeight="false" outlineLevel="0" collapsed="false">
      <c r="A27" s="13"/>
      <c r="B27" s="13"/>
      <c r="C27" s="13"/>
      <c r="D27" s="13"/>
      <c r="E27" s="13"/>
    </row>
    <row r="28" customFormat="false" ht="15" hidden="false" customHeight="false" outlineLevel="0" collapsed="false">
      <c r="A28" s="13"/>
      <c r="B28" s="13"/>
      <c r="C28" s="13"/>
      <c r="D28" s="13"/>
      <c r="E28" s="13"/>
    </row>
    <row r="29" customFormat="false" ht="15" hidden="false" customHeight="false" outlineLevel="0" collapsed="false">
      <c r="A29" s="13"/>
      <c r="B29" s="13"/>
      <c r="C29" s="13"/>
      <c r="D29" s="13"/>
      <c r="E29" s="13"/>
    </row>
    <row r="30" customFormat="false" ht="15" hidden="false" customHeight="false" outlineLevel="0" collapsed="false">
      <c r="A30" s="13"/>
      <c r="B30" s="13"/>
      <c r="C30" s="13"/>
      <c r="D30" s="13"/>
      <c r="E30" s="13"/>
    </row>
    <row r="31" customFormat="false" ht="15" hidden="false" customHeight="false" outlineLevel="0" collapsed="false">
      <c r="A31" s="13"/>
      <c r="B31" s="13"/>
      <c r="C31" s="13"/>
      <c r="D31" s="13"/>
      <c r="E31" s="13"/>
    </row>
    <row r="32" customFormat="false" ht="15" hidden="false" customHeight="false" outlineLevel="0" collapsed="false">
      <c r="A32" s="13"/>
      <c r="B32" s="13"/>
      <c r="C32" s="13"/>
      <c r="D32" s="13"/>
      <c r="E32" s="13"/>
    </row>
    <row r="33" customFormat="false" ht="15" hidden="false" customHeight="false" outlineLevel="0" collapsed="false">
      <c r="A33" s="13"/>
      <c r="B33" s="13"/>
      <c r="C33" s="13"/>
      <c r="D33" s="13"/>
      <c r="E33" s="13"/>
    </row>
    <row r="34" customFormat="false" ht="15" hidden="false" customHeight="false" outlineLevel="0" collapsed="false">
      <c r="A34" s="13"/>
      <c r="B34" s="13"/>
      <c r="C34" s="13"/>
      <c r="D34" s="13"/>
      <c r="E34" s="13"/>
    </row>
    <row r="35" customFormat="false" ht="15" hidden="false" customHeight="false" outlineLevel="0" collapsed="false">
      <c r="A35" s="13"/>
      <c r="B35" s="13"/>
      <c r="C35" s="13"/>
      <c r="D35" s="13"/>
      <c r="E35" s="13"/>
    </row>
    <row r="36" customFormat="false" ht="15" hidden="false" customHeight="false" outlineLevel="0" collapsed="false">
      <c r="A36" s="13"/>
      <c r="B36" s="13"/>
      <c r="C36" s="13"/>
      <c r="D36" s="13"/>
      <c r="E36" s="13"/>
    </row>
    <row r="39" customFormat="false" ht="15" hidden="false" customHeight="false" outlineLevel="0" collapsed="false">
      <c r="A39" s="9" t="s">
        <v>26</v>
      </c>
    </row>
    <row r="40" customFormat="false" ht="31.5" hidden="false" customHeight="true" outlineLevel="0" collapsed="false">
      <c r="A40" s="10" t="s">
        <v>27</v>
      </c>
      <c r="B40" s="10" t="s">
        <v>28</v>
      </c>
    </row>
    <row r="41" customFormat="false" ht="15" hidden="false" customHeight="false" outlineLevel="0" collapsed="false">
      <c r="A41" s="12" t="n">
        <v>80</v>
      </c>
      <c r="B41" s="12" t="n">
        <v>8</v>
      </c>
    </row>
    <row r="42" customFormat="false" ht="15" hidden="false" customHeight="false" outlineLevel="0" collapsed="false">
      <c r="A42" s="13"/>
      <c r="B42" s="13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36 A42:B4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29</v>
      </c>
    </row>
    <row r="2" customFormat="false" ht="15" hidden="false" customHeight="false" outlineLevel="0" collapsed="false">
      <c r="B2" s="8" t="s">
        <v>30</v>
      </c>
    </row>
    <row r="4" customFormat="false" ht="15" hidden="false" customHeight="false" outlineLevel="0" collapsed="false">
      <c r="B4" s="9" t="s">
        <v>31</v>
      </c>
    </row>
    <row r="5" customFormat="false" ht="30" hidden="false" customHeight="true" outlineLevel="0" collapsed="false"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</row>
    <row r="6" customFormat="false" ht="15" hidden="false" customHeight="false" outlineLevel="0" collapsed="false">
      <c r="B6" s="14" t="str">
        <f aca="false">IFERROR('Enter data'!$B$5,"")</f>
        <v>Fingertip</v>
      </c>
      <c r="C6" s="15" t="n">
        <f aca="false">IFERROR(COUNT('Enter data'!$B$7:$B$36),"")</f>
        <v>0</v>
      </c>
      <c r="D6" s="16" t="str">
        <f aca="false">IFERROR(MEDIAN('Enter data'!$B$7:$B$36),"")</f>
        <v/>
      </c>
      <c r="E6" s="16" t="str">
        <f aca="false">IFERROR(QUARTILE('Enter data'!$B$7:$B$36,1),"")</f>
        <v/>
      </c>
      <c r="F6" s="16" t="str">
        <f aca="false">IFERROR(QUARTILE('Enter data'!$B$7:$B$36,3),"")</f>
        <v/>
      </c>
      <c r="G6" s="16" t="str">
        <f aca="false">IFERROR(AVERAGE('Enter data'!$B$7:$B$36),"")</f>
        <v/>
      </c>
      <c r="H6" s="16" t="str">
        <f aca="false">IFERROR(STDEV('Enter data'!$B$7:$B$36),"")</f>
        <v/>
      </c>
    </row>
    <row r="7" customFormat="false" ht="15" hidden="false" customHeight="false" outlineLevel="0" collapsed="false">
      <c r="B7" s="14" t="str">
        <f aca="false">IFERROR('Enter data'!$C$5,"")</f>
        <v>Palm</v>
      </c>
      <c r="C7" s="15" t="n">
        <f aca="false">IFERROR(COUNT('Enter data'!$C$7:$C$36),"")</f>
        <v>0</v>
      </c>
      <c r="D7" s="16" t="str">
        <f aca="false">IFERROR(MEDIAN('Enter data'!$C$7:$C$36),"")</f>
        <v/>
      </c>
      <c r="E7" s="16" t="str">
        <f aca="false">IFERROR(QUARTILE('Enter data'!$C$7:$C$36,1),"")</f>
        <v/>
      </c>
      <c r="F7" s="16" t="str">
        <f aca="false">IFERROR(QUARTILE('Enter data'!$C$7:$C$36,3),"")</f>
        <v/>
      </c>
      <c r="G7" s="16" t="str">
        <f aca="false">IFERROR(AVERAGE('Enter data'!$C$7:$C$36),"")</f>
        <v/>
      </c>
      <c r="H7" s="16" t="str">
        <f aca="false">IFERROR(STDEV('Enter data'!$C$7:$C$36),"")</f>
        <v/>
      </c>
    </row>
    <row r="8" customFormat="false" ht="15" hidden="false" customHeight="false" outlineLevel="0" collapsed="false">
      <c r="B8" s="14" t="str">
        <f aca="false">IFERROR('Enter data'!$D$5,"")</f>
        <v>Back of hand</v>
      </c>
      <c r="C8" s="15" t="n">
        <f aca="false">IFERROR(COUNT('Enter data'!$D$7:$D$36),"")</f>
        <v>0</v>
      </c>
      <c r="D8" s="16" t="str">
        <f aca="false">IFERROR(MEDIAN('Enter data'!$D$7:$D$36),"")</f>
        <v/>
      </c>
      <c r="E8" s="16" t="str">
        <f aca="false">IFERROR(QUARTILE('Enter data'!$D$7:$D$36,1),"")</f>
        <v/>
      </c>
      <c r="F8" s="16" t="str">
        <f aca="false">IFERROR(QUARTILE('Enter data'!$D$7:$D$36,3),"")</f>
        <v/>
      </c>
      <c r="G8" s="16" t="str">
        <f aca="false">IFERROR(AVERAGE('Enter data'!$D$7:$D$36),"")</f>
        <v/>
      </c>
      <c r="H8" s="16" t="str">
        <f aca="false">IFERROR(STDEV('Enter data'!$D$7:$D$36),"")</f>
        <v/>
      </c>
    </row>
    <row r="9" customFormat="false" ht="15" hidden="false" customHeight="false" outlineLevel="0" collapsed="false">
      <c r="B9" s="14" t="str">
        <f aca="false">IFERROR('Enter data'!$E$5,"")</f>
        <v>Forearm</v>
      </c>
      <c r="C9" s="15" t="n">
        <f aca="false">IFERROR(COUNT('Enter data'!$E$7:$E$36),"")</f>
        <v>0</v>
      </c>
      <c r="D9" s="16" t="str">
        <f aca="false">IFERROR(MEDIAN('Enter data'!$E$7:$E$36),"")</f>
        <v/>
      </c>
      <c r="E9" s="16" t="str">
        <f aca="false">IFERROR(QUARTILE('Enter data'!$E$7:$E$36,1),"")</f>
        <v/>
      </c>
      <c r="F9" s="16" t="str">
        <f aca="false">IFERROR(QUARTILE('Enter data'!$E$7:$E$36,3),"")</f>
        <v/>
      </c>
      <c r="G9" s="16" t="str">
        <f aca="false">IFERROR(AVERAGE('Enter data'!$E$7:$E$36),"")</f>
        <v/>
      </c>
      <c r="H9" s="16" t="str">
        <f aca="false">IFERROR(STDEV('Enter data'!$E$7:$E$36),"")</f>
        <v/>
      </c>
    </row>
    <row r="12" customFormat="false" ht="15" hidden="false" customHeight="false" outlineLevel="0" collapsed="false">
      <c r="B12" s="9" t="s">
        <v>39</v>
      </c>
    </row>
    <row r="13" customFormat="false" ht="15" hidden="false" customHeight="false" outlineLevel="0" collapsed="false">
      <c r="B13" s="17" t="s">
        <v>40</v>
      </c>
      <c r="C13" s="18" t="str">
        <f aca="false">IFERROR(AVERAGE('Enter data'!$E$7:$E$36)-AVERAGE('Enter data'!$B$7:$B$36),"")</f>
        <v/>
      </c>
    </row>
    <row r="14" customFormat="false" ht="15" hidden="false" customHeight="false" outlineLevel="0" collapsed="false">
      <c r="B14" s="17" t="s">
        <v>41</v>
      </c>
      <c r="C14" s="19" t="str">
        <f aca="false">IFERROR(SQRT((VAR('Enter data'!$E$7:$E$36)+VAR('Enter data'!$B$7:$B$36)-2*COVAR('Enter data'!$E$7:$E$36,'Enter data'!$B$7:$B$36)*COUNT('Enter data'!$B$7:$B$36)/(COUNT('Enter data'!$B$7:$B$36)-1))),"")</f>
        <v/>
      </c>
    </row>
    <row r="15" customFormat="false" ht="15" hidden="false" customHeight="false" outlineLevel="0" collapsed="false">
      <c r="B15" s="17" t="s">
        <v>33</v>
      </c>
      <c r="C15" s="20" t="n">
        <f aca="false">IFERROR(COUNT('Enter data'!$B$7:$B$36),"")</f>
        <v>0</v>
      </c>
    </row>
    <row r="16" customFormat="false" ht="15" hidden="false" customHeight="false" outlineLevel="0" collapsed="false">
      <c r="B16" s="17" t="s">
        <v>42</v>
      </c>
      <c r="C16" s="21" t="str">
        <f aca="false">IFERROR(TDIST(ABS($C$13/($C$14/SQRT($C$15))),$C$15-1,2),"")</f>
        <v/>
      </c>
    </row>
    <row r="18" customFormat="false" ht="15" hidden="false" customHeight="false" outlineLevel="0" collapsed="false">
      <c r="B18" s="9" t="s">
        <v>43</v>
      </c>
    </row>
    <row r="19" customFormat="false" ht="15" hidden="false" customHeight="false" outlineLevel="0" collapsed="false">
      <c r="B19" s="17" t="s">
        <v>44</v>
      </c>
      <c r="C19" s="18" t="str">
        <f aca="false">IFERROR(100*'Enter data'!$B$42/'Enter data'!$A$42,"")</f>
        <v/>
      </c>
      <c r="D19" s="8" t="s">
        <v>45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2026-10-01T00:30:42Z</dcterms:modified>
  <cp:revision>0</cp:revision>
  <dc:subject/>
  <dc:title>AP-02 Touch acuity: two-point discrimination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