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<sst xmlns="http://schemas.openxmlformats.org/spreadsheetml/2006/main" count="54" uniqueCount="53">
  <si>
    <t xml:space="preserve">PAR-01  Blood-film parasitemia and observer agreement</t>
  </si>
  <si>
    <t xml:space="preserve">Excel version of the card. It does the same calculations as the R script par01_parasitemia.R.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</si>
  <si>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</si>
  <si>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</si>
  <si>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</si>
  <si>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</si>
  <si>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</si>
  <si>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</si>
  <si>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</si>
  <si>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</si>
  <si>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Thin film: parasitemia % = parasitized red cells / red cells counted x 100 (exact Clopper-Pearson 95% interval). Thick film: parasites per microlitre = parasites / white cells counted x 8000 (the conventional assumed white cell count per microlitre; change it below if you know better).</t>
  </si>
  <si>
    <t xml:space="preserve">Prepared slides only; never use fresh blood in class.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</si>
  <si>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</si>
  <si>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</si>
  <si>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</si>
  <si>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</si>
  <si>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Thin films</t>
  </si>
  <si>
    <t xml:space="preserve">Slide</t>
  </si>
  <si>
    <t xml:space="preserve">Parasitized red cells (observer A)</t>
  </si>
  <si>
    <t xml:space="preserve">Red cells counted (A)</t>
  </si>
  <si>
    <t xml:space="preserve">Parasitized red cells (observer B)</t>
  </si>
  <si>
    <t xml:space="preserve">Red cells counted (B)</t>
  </si>
  <si>
    <t xml:space="preserve">A: parasitemia (%)</t>
  </si>
  <si>
    <t xml:space="preserve">A: interval lower</t>
  </si>
  <si>
    <t xml:space="preserve">A: interval upper</t>
  </si>
  <si>
    <t xml:space="preserve">B: parasitemia (%)</t>
  </si>
  <si>
    <t xml:space="preserve">B minus A (percentage points)</t>
  </si>
  <si>
    <t xml:space="preserve">S1</t>
  </si>
  <si>
    <t xml:space="preserve">2. Thick films</t>
  </si>
  <si>
    <t xml:space="preserve">Parasites (observer A)</t>
  </si>
  <si>
    <t xml:space="preserve">White cells counted (A)</t>
  </si>
  <si>
    <t xml:space="preserve">Parasites (observer B)</t>
  </si>
  <si>
    <t xml:space="preserve">White cells counted (B)</t>
  </si>
  <si>
    <t xml:space="preserve">A: per microlitre</t>
  </si>
  <si>
    <t xml:space="preserve">B: per microlitre</t>
  </si>
  <si>
    <t xml:space="preserve">T1</t>
  </si>
  <si>
    <t xml:space="preserve">Results</t>
  </si>
  <si>
    <t xml:space="preserve">Everything on this sheet is calculated. Change only the yellow settings.</t>
  </si>
  <si>
    <t xml:space="preserve">Settings</t>
  </si>
  <si>
    <t xml:space="preserve">Assumed white cells per microlitre</t>
  </si>
  <si>
    <t xml:space="preserve">Observer agreement on thin-film parasitemia (Bland-Altman)</t>
  </si>
  <si>
    <t xml:space="preserve">Slides read by both</t>
  </si>
  <si>
    <t xml:space="preserve">Mean difference, B minus A (percentage points)</t>
  </si>
  <si>
    <t xml:space="preserve">Standard deviation</t>
  </si>
  <si>
    <t xml:space="preserve">95% limit of agreement, lower</t>
  </si>
  <si>
    <t xml:space="preserve">95% limit of agreement, upper</t>
  </si>
  <si>
    <t xml:space="preserve">Correlation</t>
  </si>
  <si>
    <t xml:space="preserve">How many red cells to count? Exact 95% interval for a true 2% parasitemia</t>
  </si>
  <si>
    <t xml:space="preserve">Red cells counted</t>
  </si>
  <si>
    <t xml:space="preserve">Parasitized</t>
  </si>
  <si>
    <t xml:space="preserve">Parasitemia (%)</t>
  </si>
  <si>
    <t xml:space="preserve">Lower (%)</t>
  </si>
  <si>
    <t xml:space="preserve">Upper (%)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</si>
</sst>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"/>
    <numFmt numFmtId="167" formatCode="0"/>
    <numFmt numFmtId="168" formatCode="0.000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35.0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6" t="s">
        <v>12</v>
      </c>
    </row>
    <row r="18" customFormat="false" ht="15" hidden="false" customHeight="false" outlineLevel="0" collapsed="false">
      <c r="B18" s="2"/>
    </row>
    <row r="19" customFormat="false" ht="22.35" hidden="false" customHeight="false" outlineLevel="0" collapsed="false">
      <c r="B19" s="6" t="s">
        <v>13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14</v>
      </c>
    </row>
    <row r="2" customFormat="false" ht="15" hidden="false" customHeight="false" outlineLevel="0" collapsed="false">
      <c r="A2" s="8" t="s">
        <v>15</v>
      </c>
    </row>
    <row r="4" customFormat="false" ht="15" hidden="false" customHeight="false" outlineLevel="0" collapsed="false">
      <c r="A4" s="9" t="s">
        <v>16</v>
      </c>
    </row>
    <row r="5" customFormat="false" ht="31.5" hidden="false" customHeight="true" outlineLevel="0" collapsed="false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21</v>
      </c>
      <c r="F5" s="10" t="s">
        <v>22</v>
      </c>
      <c r="G5" s="10" t="s">
        <v>23</v>
      </c>
      <c r="H5" s="10" t="s">
        <v>24</v>
      </c>
      <c r="I5" s="10" t="s">
        <v>25</v>
      </c>
      <c r="J5" s="10" t="s">
        <v>26</v>
      </c>
    </row>
    <row r="6" customFormat="false" ht="15" hidden="false" customHeight="false" outlineLevel="0" collapsed="false">
      <c r="A6" s="11" t="s">
        <v>27</v>
      </c>
      <c r="B6" s="11" t="n">
        <v>12</v>
      </c>
      <c r="C6" s="11" t="n">
        <v>500</v>
      </c>
      <c r="D6" s="11" t="n">
        <v>14</v>
      </c>
      <c r="E6" s="11" t="n">
        <v>500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3" t="str">
        <f aca="false">IF(AND(ISNUMBER(B7),ISNUMBER(C7)),100*B7/C7,"")</f>
        <v/>
      </c>
      <c r="G7" s="13" t="str">
        <f aca="false">IF(ISNUMBER(F7),100*IF(B7=0,0,BETAINV(0.025,B7,C7-B7+1)),"")</f>
        <v/>
      </c>
      <c r="H7" s="13" t="str">
        <f aca="false">IF(ISNUMBER(F7),100*IF(B7=C7,1,BETAINV(0.975,B7+1,C7-B7)),"")</f>
        <v/>
      </c>
      <c r="I7" s="13" t="str">
        <f aca="false">IF(AND(ISNUMBER(D7),ISNUMBER(E7)),100*D7/E7,"")</f>
        <v/>
      </c>
      <c r="J7" s="13" t="str">
        <f aca="false">IF(AND(ISNUMBER(F7),ISNUMBER(I7)),I7-F7,"")</f>
        <v/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3" t="str">
        <f aca="false">IF(AND(ISNUMBER(B8),ISNUMBER(C8)),100*B8/C8,"")</f>
        <v/>
      </c>
      <c r="G8" s="13" t="str">
        <f aca="false">IF(ISNUMBER(F8),100*IF(B8=0,0,BETAINV(0.025,B8,C8-B8+1)),"")</f>
        <v/>
      </c>
      <c r="H8" s="13" t="str">
        <f aca="false">IF(ISNUMBER(F8),100*IF(B8=C8,1,BETAINV(0.975,B8+1,C8-B8)),"")</f>
        <v/>
      </c>
      <c r="I8" s="13" t="str">
        <f aca="false">IF(AND(ISNUMBER(D8),ISNUMBER(E8)),100*D8/E8,"")</f>
        <v/>
      </c>
      <c r="J8" s="13" t="str">
        <f aca="false">IF(AND(ISNUMBER(F8),ISNUMBER(I8)),I8-F8,"")</f>
        <v/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3" t="str">
        <f aca="false">IF(AND(ISNUMBER(B9),ISNUMBER(C9)),100*B9/C9,"")</f>
        <v/>
      </c>
      <c r="G9" s="13" t="str">
        <f aca="false">IF(ISNUMBER(F9),100*IF(B9=0,0,BETAINV(0.025,B9,C9-B9+1)),"")</f>
        <v/>
      </c>
      <c r="H9" s="13" t="str">
        <f aca="false">IF(ISNUMBER(F9),100*IF(B9=C9,1,BETAINV(0.975,B9+1,C9-B9)),"")</f>
        <v/>
      </c>
      <c r="I9" s="13" t="str">
        <f aca="false">IF(AND(ISNUMBER(D9),ISNUMBER(E9)),100*D9/E9,"")</f>
        <v/>
      </c>
      <c r="J9" s="13" t="str">
        <f aca="false">IF(AND(ISNUMBER(F9),ISNUMBER(I9)),I9-F9,"")</f>
        <v/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3" t="str">
        <f aca="false">IF(AND(ISNUMBER(B10),ISNUMBER(C10)),100*B10/C10,"")</f>
        <v/>
      </c>
      <c r="G10" s="13" t="str">
        <f aca="false">IF(ISNUMBER(F10),100*IF(B10=0,0,BETAINV(0.025,B10,C10-B10+1)),"")</f>
        <v/>
      </c>
      <c r="H10" s="13" t="str">
        <f aca="false">IF(ISNUMBER(F10),100*IF(B10=C10,1,BETAINV(0.975,B10+1,C10-B10)),"")</f>
        <v/>
      </c>
      <c r="I10" s="13" t="str">
        <f aca="false">IF(AND(ISNUMBER(D10),ISNUMBER(E10)),100*D10/E10,"")</f>
        <v/>
      </c>
      <c r="J10" s="13" t="str">
        <f aca="false">IF(AND(ISNUMBER(F10),ISNUMBER(I10)),I10-F10,"")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3" t="str">
        <f aca="false">IF(AND(ISNUMBER(B11),ISNUMBER(C11)),100*B11/C11,"")</f>
        <v/>
      </c>
      <c r="G11" s="13" t="str">
        <f aca="false">IF(ISNUMBER(F11),100*IF(B11=0,0,BETAINV(0.025,B11,C11-B11+1)),"")</f>
        <v/>
      </c>
      <c r="H11" s="13" t="str">
        <f aca="false">IF(ISNUMBER(F11),100*IF(B11=C11,1,BETAINV(0.975,B11+1,C11-B11)),"")</f>
        <v/>
      </c>
      <c r="I11" s="13" t="str">
        <f aca="false">IF(AND(ISNUMBER(D11),ISNUMBER(E11)),100*D11/E11,"")</f>
        <v/>
      </c>
      <c r="J11" s="13" t="str">
        <f aca="false">IF(AND(ISNUMBER(F11),ISNUMBER(I11)),I11-F11,"")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3" t="str">
        <f aca="false">IF(AND(ISNUMBER(B12),ISNUMBER(C12)),100*B12/C12,"")</f>
        <v/>
      </c>
      <c r="G12" s="13" t="str">
        <f aca="false">IF(ISNUMBER(F12),100*IF(B12=0,0,BETAINV(0.025,B12,C12-B12+1)),"")</f>
        <v/>
      </c>
      <c r="H12" s="13" t="str">
        <f aca="false">IF(ISNUMBER(F12),100*IF(B12=C12,1,BETAINV(0.975,B12+1,C12-B12)),"")</f>
        <v/>
      </c>
      <c r="I12" s="13" t="str">
        <f aca="false">IF(AND(ISNUMBER(D12),ISNUMBER(E12)),100*D12/E12,"")</f>
        <v/>
      </c>
      <c r="J12" s="13" t="str">
        <f aca="false">IF(AND(ISNUMBER(F12),ISNUMBER(I12)),I12-F12,"")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3" t="str">
        <f aca="false">IF(AND(ISNUMBER(B13),ISNUMBER(C13)),100*B13/C13,"")</f>
        <v/>
      </c>
      <c r="G13" s="13" t="str">
        <f aca="false">IF(ISNUMBER(F13),100*IF(B13=0,0,BETAINV(0.025,B13,C13-B13+1)),"")</f>
        <v/>
      </c>
      <c r="H13" s="13" t="str">
        <f aca="false">IF(ISNUMBER(F13),100*IF(B13=C13,1,BETAINV(0.975,B13+1,C13-B13)),"")</f>
        <v/>
      </c>
      <c r="I13" s="13" t="str">
        <f aca="false">IF(AND(ISNUMBER(D13),ISNUMBER(E13)),100*D13/E13,"")</f>
        <v/>
      </c>
      <c r="J13" s="13" t="str">
        <f aca="false">IF(AND(ISNUMBER(F13),ISNUMBER(I13)),I13-F13,"")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3" t="str">
        <f aca="false">IF(AND(ISNUMBER(B14),ISNUMBER(C14)),100*B14/C14,"")</f>
        <v/>
      </c>
      <c r="G14" s="13" t="str">
        <f aca="false">IF(ISNUMBER(F14),100*IF(B14=0,0,BETAINV(0.025,B14,C14-B14+1)),"")</f>
        <v/>
      </c>
      <c r="H14" s="13" t="str">
        <f aca="false">IF(ISNUMBER(F14),100*IF(B14=C14,1,BETAINV(0.975,B14+1,C14-B14)),"")</f>
        <v/>
      </c>
      <c r="I14" s="13" t="str">
        <f aca="false">IF(AND(ISNUMBER(D14),ISNUMBER(E14)),100*D14/E14,"")</f>
        <v/>
      </c>
      <c r="J14" s="13" t="str">
        <f aca="false">IF(AND(ISNUMBER(F14),ISNUMBER(I14)),I14-F14,"")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3" t="str">
        <f aca="false">IF(AND(ISNUMBER(B15),ISNUMBER(C15)),100*B15/C15,"")</f>
        <v/>
      </c>
      <c r="G15" s="13" t="str">
        <f aca="false">IF(ISNUMBER(F15),100*IF(B15=0,0,BETAINV(0.025,B15,C15-B15+1)),"")</f>
        <v/>
      </c>
      <c r="H15" s="13" t="str">
        <f aca="false">IF(ISNUMBER(F15),100*IF(B15=C15,1,BETAINV(0.975,B15+1,C15-B15)),"")</f>
        <v/>
      </c>
      <c r="I15" s="13" t="str">
        <f aca="false">IF(AND(ISNUMBER(D15),ISNUMBER(E15)),100*D15/E15,"")</f>
        <v/>
      </c>
      <c r="J15" s="13" t="str">
        <f aca="false">IF(AND(ISNUMBER(F15),ISNUMBER(I15)),I15-F15,"")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3" t="str">
        <f aca="false">IF(AND(ISNUMBER(B16),ISNUMBER(C16)),100*B16/C16,"")</f>
        <v/>
      </c>
      <c r="G16" s="13" t="str">
        <f aca="false">IF(ISNUMBER(F16),100*IF(B16=0,0,BETAINV(0.025,B16,C16-B16+1)),"")</f>
        <v/>
      </c>
      <c r="H16" s="13" t="str">
        <f aca="false">IF(ISNUMBER(F16),100*IF(B16=C16,1,BETAINV(0.975,B16+1,C16-B16)),"")</f>
        <v/>
      </c>
      <c r="I16" s="13" t="str">
        <f aca="false">IF(AND(ISNUMBER(D16),ISNUMBER(E16)),100*D16/E16,"")</f>
        <v/>
      </c>
      <c r="J16" s="13" t="str">
        <f aca="false">IF(AND(ISNUMBER(F16),ISNUMBER(I16)),I16-F16,"")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3" t="str">
        <f aca="false">IF(AND(ISNUMBER(B17),ISNUMBER(C17)),100*B17/C17,"")</f>
        <v/>
      </c>
      <c r="G17" s="13" t="str">
        <f aca="false">IF(ISNUMBER(F17),100*IF(B17=0,0,BETAINV(0.025,B17,C17-B17+1)),"")</f>
        <v/>
      </c>
      <c r="H17" s="13" t="str">
        <f aca="false">IF(ISNUMBER(F17),100*IF(B17=C17,1,BETAINV(0.975,B17+1,C17-B17)),"")</f>
        <v/>
      </c>
      <c r="I17" s="13" t="str">
        <f aca="false">IF(AND(ISNUMBER(D17),ISNUMBER(E17)),100*D17/E17,"")</f>
        <v/>
      </c>
      <c r="J17" s="13" t="str">
        <f aca="false">IF(AND(ISNUMBER(F17),ISNUMBER(I17)),I17-F17,"")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3" t="str">
        <f aca="false">IF(AND(ISNUMBER(B18),ISNUMBER(C18)),100*B18/C18,"")</f>
        <v/>
      </c>
      <c r="G18" s="13" t="str">
        <f aca="false">IF(ISNUMBER(F18),100*IF(B18=0,0,BETAINV(0.025,B18,C18-B18+1)),"")</f>
        <v/>
      </c>
      <c r="H18" s="13" t="str">
        <f aca="false">IF(ISNUMBER(F18),100*IF(B18=C18,1,BETAINV(0.975,B18+1,C18-B18)),"")</f>
        <v/>
      </c>
      <c r="I18" s="13" t="str">
        <f aca="false">IF(AND(ISNUMBER(D18),ISNUMBER(E18)),100*D18/E18,"")</f>
        <v/>
      </c>
      <c r="J18" s="13" t="str">
        <f aca="false">IF(AND(ISNUMBER(F18),ISNUMBER(I18)),I18-F18,"")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3" t="str">
        <f aca="false">IF(AND(ISNUMBER(B19),ISNUMBER(C19)),100*B19/C19,"")</f>
        <v/>
      </c>
      <c r="G19" s="13" t="str">
        <f aca="false">IF(ISNUMBER(F19),100*IF(B19=0,0,BETAINV(0.025,B19,C19-B19+1)),"")</f>
        <v/>
      </c>
      <c r="H19" s="13" t="str">
        <f aca="false">IF(ISNUMBER(F19),100*IF(B19=C19,1,BETAINV(0.975,B19+1,C19-B19)),"")</f>
        <v/>
      </c>
      <c r="I19" s="13" t="str">
        <f aca="false">IF(AND(ISNUMBER(D19),ISNUMBER(E19)),100*D19/E19,"")</f>
        <v/>
      </c>
      <c r="J19" s="13" t="str">
        <f aca="false">IF(AND(ISNUMBER(F19),ISNUMBER(I19)),I19-F19,"")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3" t="str">
        <f aca="false">IF(AND(ISNUMBER(B20),ISNUMBER(C20)),100*B20/C20,"")</f>
        <v/>
      </c>
      <c r="G20" s="13" t="str">
        <f aca="false">IF(ISNUMBER(F20),100*IF(B20=0,0,BETAINV(0.025,B20,C20-B20+1)),"")</f>
        <v/>
      </c>
      <c r="H20" s="13" t="str">
        <f aca="false">IF(ISNUMBER(F20),100*IF(B20=C20,1,BETAINV(0.975,B20+1,C20-B20)),"")</f>
        <v/>
      </c>
      <c r="I20" s="13" t="str">
        <f aca="false">IF(AND(ISNUMBER(D20),ISNUMBER(E20)),100*D20/E20,"")</f>
        <v/>
      </c>
      <c r="J20" s="13" t="str">
        <f aca="false">IF(AND(ISNUMBER(F20),ISNUMBER(I20)),I20-F20,"")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3" t="str">
        <f aca="false">IF(AND(ISNUMBER(B21),ISNUMBER(C21)),100*B21/C21,"")</f>
        <v/>
      </c>
      <c r="G21" s="13" t="str">
        <f aca="false">IF(ISNUMBER(F21),100*IF(B21=0,0,BETAINV(0.025,B21,C21-B21+1)),"")</f>
        <v/>
      </c>
      <c r="H21" s="13" t="str">
        <f aca="false">IF(ISNUMBER(F21),100*IF(B21=C21,1,BETAINV(0.975,B21+1,C21-B21)),"")</f>
        <v/>
      </c>
      <c r="I21" s="13" t="str">
        <f aca="false">IF(AND(ISNUMBER(D21),ISNUMBER(E21)),100*D21/E21,"")</f>
        <v/>
      </c>
      <c r="J21" s="13" t="str">
        <f aca="false">IF(AND(ISNUMBER(F21),ISNUMBER(I21)),I21-F21,"")</f>
        <v/>
      </c>
    </row>
    <row r="24" customFormat="false" ht="15" hidden="false" customHeight="false" outlineLevel="0" collapsed="false">
      <c r="A24" s="9" t="s">
        <v>28</v>
      </c>
    </row>
    <row r="25" customFormat="false" ht="31.5" hidden="false" customHeight="true" outlineLevel="0" collapsed="false">
      <c r="A25" s="10" t="s">
        <v>17</v>
      </c>
      <c r="B25" s="10" t="s">
        <v>29</v>
      </c>
      <c r="C25" s="10" t="s">
        <v>30</v>
      </c>
      <c r="D25" s="10" t="s">
        <v>31</v>
      </c>
      <c r="E25" s="10" t="s">
        <v>32</v>
      </c>
      <c r="F25" s="10" t="s">
        <v>33</v>
      </c>
      <c r="G25" s="10" t="s">
        <v>34</v>
      </c>
    </row>
    <row r="26" customFormat="false" ht="15" hidden="false" customHeight="false" outlineLevel="0" collapsed="false">
      <c r="A26" s="11" t="s">
        <v>35</v>
      </c>
      <c r="B26" s="11" t="n">
        <v>30</v>
      </c>
      <c r="C26" s="11" t="n">
        <v>200</v>
      </c>
      <c r="D26" s="11" t="n">
        <v>26</v>
      </c>
      <c r="E26" s="11" t="n">
        <v>200</v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4" t="str">
        <f aca="false">IF(AND(ISNUMBER(B27),ISNUMBER(C27)),B27/C27*Results!$C$5,"")</f>
        <v/>
      </c>
      <c r="G27" s="14" t="str">
        <f aca="false">IF(AND(ISNUMBER(D27),ISNUMBER(E27)),D27/E27*Results!$C$5,"")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4" t="str">
        <f aca="false">IF(AND(ISNUMBER(B28),ISNUMBER(C28)),B28/C28*Results!$C$5,"")</f>
        <v/>
      </c>
      <c r="G28" s="14" t="str">
        <f aca="false">IF(AND(ISNUMBER(D28),ISNUMBER(E28)),D28/E28*Results!$C$5,"")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4" t="str">
        <f aca="false">IF(AND(ISNUMBER(B29),ISNUMBER(C29)),B29/C29*Results!$C$5,"")</f>
        <v/>
      </c>
      <c r="G29" s="14" t="str">
        <f aca="false">IF(AND(ISNUMBER(D29),ISNUMBER(E29)),D29/E29*Results!$C$5,"")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4" t="str">
        <f aca="false">IF(AND(ISNUMBER(B30),ISNUMBER(C30)),B30/C30*Results!$C$5,"")</f>
        <v/>
      </c>
      <c r="G30" s="14" t="str">
        <f aca="false">IF(AND(ISNUMBER(D30),ISNUMBER(E30)),D30/E30*Results!$C$5,"")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4" t="str">
        <f aca="false">IF(AND(ISNUMBER(B31),ISNUMBER(C31)),B31/C31*Results!$C$5,"")</f>
        <v/>
      </c>
      <c r="G31" s="14" t="str">
        <f aca="false">IF(AND(ISNUMBER(D31),ISNUMBER(E31)),D31/E31*Results!$C$5,"")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4" t="str">
        <f aca="false">IF(AND(ISNUMBER(B32),ISNUMBER(C32)),B32/C32*Results!$C$5,"")</f>
        <v/>
      </c>
      <c r="G32" s="14" t="str">
        <f aca="false">IF(AND(ISNUMBER(D32),ISNUMBER(E32)),D32/E32*Results!$C$5,"")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4" t="str">
        <f aca="false">IF(AND(ISNUMBER(B33),ISNUMBER(C33)),B33/C33*Results!$C$5,"")</f>
        <v/>
      </c>
      <c r="G33" s="14" t="str">
        <f aca="false">IF(AND(ISNUMBER(D33),ISNUMBER(E33)),D33/E33*Results!$C$5,"")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4" t="str">
        <f aca="false">IF(AND(ISNUMBER(B34),ISNUMBER(C34)),B34/C34*Results!$C$5,"")</f>
        <v/>
      </c>
      <c r="G34" s="14" t="str">
        <f aca="false">IF(AND(ISNUMBER(D34),ISNUMBER(E34)),D34/E34*Results!$C$5,"")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4" t="str">
        <f aca="false">IF(AND(ISNUMBER(B35),ISNUMBER(C35)),B35/C35*Results!$C$5,"")</f>
        <v/>
      </c>
      <c r="G35" s="14" t="str">
        <f aca="false">IF(AND(ISNUMBER(D35),ISNUMBER(E35)),D35/E35*Results!$C$5,"")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4" t="str">
        <f aca="false">IF(AND(ISNUMBER(B36),ISNUMBER(C36)),B36/C36*Results!$C$5,"")</f>
        <v/>
      </c>
      <c r="G36" s="14" t="str">
        <f aca="false">IF(AND(ISNUMBER(D36),ISNUMBER(E36)),D36/E36*Results!$C$5,"")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E21 B27:E3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36</v>
      </c>
    </row>
    <row r="2" customFormat="false" ht="15" hidden="false" customHeight="false" outlineLevel="0" collapsed="false">
      <c r="B2" s="8" t="s">
        <v>37</v>
      </c>
    </row>
    <row r="4" customFormat="false" ht="15" hidden="false" customHeight="false" outlineLevel="0" collapsed="false">
      <c r="B4" s="9" t="s">
        <v>38</v>
      </c>
    </row>
    <row r="5" customFormat="false" ht="15" hidden="false" customHeight="false" outlineLevel="0" collapsed="false">
      <c r="B5" s="15" t="s">
        <v>39</v>
      </c>
      <c r="C5" s="12" t="n">
        <v>8000</v>
      </c>
      <c r="D5" s="8"/>
    </row>
    <row r="7" customFormat="false" ht="15" hidden="false" customHeight="false" outlineLevel="0" collapsed="false">
      <c r="B7" s="9" t="s">
        <v>40</v>
      </c>
    </row>
    <row r="8" customFormat="false" ht="15" hidden="false" customHeight="false" outlineLevel="0" collapsed="false">
      <c r="B8" s="15" t="s">
        <v>41</v>
      </c>
      <c r="C8" s="16" t="n">
        <f aca="false">IFERROR(COUNT('Enter data'!$J$7:$J$21),"")</f>
        <v>0</v>
      </c>
    </row>
    <row r="9" customFormat="false" ht="15" hidden="false" customHeight="false" outlineLevel="0" collapsed="false">
      <c r="B9" s="15" t="s">
        <v>42</v>
      </c>
      <c r="C9" s="17" t="str">
        <f aca="false">IFERROR(AVERAGE('Enter data'!$J$7:$J$21),"")</f>
        <v/>
      </c>
    </row>
    <row r="10" customFormat="false" ht="15" hidden="false" customHeight="false" outlineLevel="0" collapsed="false">
      <c r="B10" s="15" t="s">
        <v>43</v>
      </c>
      <c r="C10" s="17" t="str">
        <f aca="false">IFERROR(STDEV('Enter data'!$J$7:$J$21),"")</f>
        <v/>
      </c>
    </row>
    <row r="11" customFormat="false" ht="15" hidden="false" customHeight="false" outlineLevel="0" collapsed="false">
      <c r="B11" s="15" t="s">
        <v>44</v>
      </c>
      <c r="C11" s="17" t="str">
        <f aca="false">IFERROR($C$9-1.96*$C$10,"")</f>
        <v/>
      </c>
    </row>
    <row r="12" customFormat="false" ht="15" hidden="false" customHeight="false" outlineLevel="0" collapsed="false">
      <c r="B12" s="15" t="s">
        <v>45</v>
      </c>
      <c r="C12" s="17" t="str">
        <f aca="false">IFERROR($C$9+1.96*$C$10,"")</f>
        <v/>
      </c>
    </row>
    <row r="13" customFormat="false" ht="15" hidden="false" customHeight="false" outlineLevel="0" collapsed="false">
      <c r="B13" s="15" t="s">
        <v>46</v>
      </c>
      <c r="C13" s="18" t="str">
        <f aca="false">IFERROR(CORREL('Enter data'!$F$7:$F$21,'Enter data'!$I$7:$I$21),"")</f>
        <v/>
      </c>
    </row>
    <row r="15" customFormat="false" ht="15" hidden="false" customHeight="false" outlineLevel="0" collapsed="false">
      <c r="B15" s="9" t="s">
        <v>47</v>
      </c>
    </row>
    <row r="16" customFormat="false" ht="30" hidden="false" customHeight="true" outlineLevel="0" collapsed="false">
      <c r="B16" s="10" t="s">
        <v>48</v>
      </c>
      <c r="C16" s="10" t="s">
        <v>49</v>
      </c>
      <c r="D16" s="10" t="s">
        <v>50</v>
      </c>
      <c r="E16" s="10" t="s">
        <v>51</v>
      </c>
      <c r="F16" s="10" t="s">
        <v>52</v>
      </c>
    </row>
    <row r="17" customFormat="false" ht="15" hidden="false" customHeight="false" outlineLevel="0" collapsed="false">
      <c r="B17" s="19" t="n">
        <v>100</v>
      </c>
      <c r="C17" s="20" t="n">
        <v>2</v>
      </c>
      <c r="D17" s="21" t="n">
        <f aca="false">IFERROR(100*2/100,"")</f>
        <v>2</v>
      </c>
      <c r="E17" s="22" t="n">
        <f aca="false">IFERROR(100*IF(2=0,0,BETAINV(0.025,2,100-2+1)),"")</f>
        <v>0.243133682394254</v>
      </c>
      <c r="F17" s="22" t="n">
        <f aca="false">IFERROR(100*IF(2=100,1,BETAINV(0.975,2+1,100-2)),"")</f>
        <v>7.03839324710701</v>
      </c>
    </row>
    <row r="18" customFormat="false" ht="15" hidden="false" customHeight="false" outlineLevel="0" collapsed="false">
      <c r="B18" s="19" t="n">
        <v>200</v>
      </c>
      <c r="C18" s="20" t="n">
        <v>4</v>
      </c>
      <c r="D18" s="21" t="n">
        <f aca="false">IFERROR(100*4/200,"")</f>
        <v>2</v>
      </c>
      <c r="E18" s="22" t="n">
        <f aca="false">IFERROR(100*IF(4=0,0,BETAINV(0.025,4,200-4+1)),"")</f>
        <v>0.547556587955645</v>
      </c>
      <c r="F18" s="22" t="n">
        <f aca="false">IFERROR(100*IF(4=200,1,BETAINV(0.975,4+1,200-4)),"")</f>
        <v>5.04136090898963</v>
      </c>
    </row>
    <row r="19" customFormat="false" ht="15" hidden="false" customHeight="false" outlineLevel="0" collapsed="false">
      <c r="B19" s="19" t="n">
        <v>500</v>
      </c>
      <c r="C19" s="20" t="n">
        <v>10</v>
      </c>
      <c r="D19" s="21" t="n">
        <f aca="false">IFERROR(100*10/500,"")</f>
        <v>2</v>
      </c>
      <c r="E19" s="22" t="n">
        <f aca="false">IFERROR(100*IF(10=0,0,BETAINV(0.025,10,500-10+1)),"")</f>
        <v>0.963142958643334</v>
      </c>
      <c r="F19" s="22" t="n">
        <f aca="false">IFERROR(100*IF(10=500,1,BETAINV(0.975,10+1,500-10)),"")</f>
        <v>3.64724082922098</v>
      </c>
    </row>
    <row r="20" customFormat="false" ht="15" hidden="false" customHeight="false" outlineLevel="0" collapsed="false">
      <c r="B20" s="19" t="n">
        <v>1000</v>
      </c>
      <c r="C20" s="20" t="n">
        <v>20</v>
      </c>
      <c r="D20" s="21" t="n">
        <f aca="false">IFERROR(100*20/1000,"")</f>
        <v>2</v>
      </c>
      <c r="E20" s="22" t="n">
        <f aca="false">IFERROR(100*IF(20=0,0,BETAINV(0.025,20,1000-20+1)),"")</f>
        <v>1.22582679724063</v>
      </c>
      <c r="F20" s="22" t="n">
        <f aca="false">IFERROR(100*IF(20=1000,1,BETAINV(0.975,20+1,1000-20)),"")</f>
        <v>3.07200326826091</v>
      </c>
    </row>
    <row r="21" customFormat="false" ht="15" hidden="false" customHeight="false" outlineLevel="0" collapsed="false">
      <c r="B21" s="19" t="n">
        <v>2000</v>
      </c>
      <c r="C21" s="20" t="n">
        <v>40</v>
      </c>
      <c r="D21" s="21" t="n">
        <f aca="false">IFERROR(100*40/2000,"")</f>
        <v>2</v>
      </c>
      <c r="E21" s="22" t="n">
        <f aca="false">IFERROR(100*IF(40=0,0,BETAINV(0.025,40,2000-40+1)),"")</f>
        <v>1.43257869140669</v>
      </c>
      <c r="F21" s="22" t="n">
        <f aca="false">IFERROR(100*IF(40=2000,1,BETAINV(0.975,40+1,2000-40)),"")</f>
        <v>2.71355772686584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2026-10-01T00:31:37Z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2026-10-01T00:31:37Z</dcterms:modified>
  <cp:revision>0</cp:revision>
  <dc:subject/>
  <dc:title>PAR-01 Blood-film parasitemia and observer agreement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