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<sst xmlns="http://schemas.openxmlformats.org/spreadsheetml/2006/main" count="60" uniqueCount="60">
  <si>
    <t xml:space="preserve">ENV-03  Stream velocity and discharge by the float method</t>
  </si>
  <si>
    <t xml:space="preserve">Excel version of the card. It does the same calculations as the R script env03_float_discharge.R.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</si>
  <si>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</si>
  <si>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</si>
  <si>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</si>
  <si>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</si>
  <si>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</si>
  <si>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</si>
  <si>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</si>
  <si>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</si>
  <si>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Area by the trapezoid rule over depth stations (include 0 depth at each bank). Surface velocity = reach length / float time. Mean velocity = k x mean surface velocity. Discharge Q = k x mean surface velocity x area.</t>
  </si>
  <si>
    <t xml:space="preserve">k = 0.85 is typical for surface floats in US Geological Survey training material; other guidance gives 0.8 to 0.9, and 0.66 to 0.75 has been quoted for shallow channels. State the value you used.</t>
  </si>
  <si>
    <t xml:space="preserve">Do not enter fast or deep water; follow the safety notes on the card.</t>
  </si>
  <si>
    <t xml:space="preserve">Differences from the R script on the card</t>
  </si>
  <si>
    <t xml:space="preserve">The R script bootstraps the float times and depth errors to give an interval for Q. This workbook shows Q for several values of k instead.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</si>
  <si>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</si>
  <si>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</si>
  <si>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</si>
  <si>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</si>
  <si>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Float times over the reach</t>
  </si>
  <si>
    <t xml:space="preserve">Float</t>
  </si>
  <si>
    <t xml:space="preserve">Time (s)</t>
  </si>
  <si>
    <t xml:space="preserve">Surface velocity (m/s)</t>
  </si>
  <si>
    <t xml:space="preserve">float 1</t>
  </si>
  <si>
    <t xml:space="preserve">Float 1</t>
  </si>
  <si>
    <t xml:space="preserve">Float 2</t>
  </si>
  <si>
    <t xml:space="preserve">Float 3</t>
  </si>
  <si>
    <t xml:space="preserve">Float 4</t>
  </si>
  <si>
    <t xml:space="preserve">Float 5</t>
  </si>
  <si>
    <t xml:space="preserve">Float 6</t>
  </si>
  <si>
    <t xml:space="preserve">Float 7</t>
  </si>
  <si>
    <t xml:space="preserve">Float 8</t>
  </si>
  <si>
    <t xml:space="preserve">Float 9</t>
  </si>
  <si>
    <t xml:space="preserve">Float 10</t>
  </si>
  <si>
    <t xml:space="preserve">Float 11</t>
  </si>
  <si>
    <t xml:space="preserve">Float 12</t>
  </si>
  <si>
    <t xml:space="preserve">2. Depth stations across the channel (increasing distance from one bank)</t>
  </si>
  <si>
    <t xml:space="preserve">Distance from bank (m)</t>
  </si>
  <si>
    <t xml:space="preserve">Depth (m)</t>
  </si>
  <si>
    <t xml:space="preserve">Trapezoid area (m2)</t>
  </si>
  <si>
    <t xml:space="preserve">Results</t>
  </si>
  <si>
    <t xml:space="preserve">Everything on this sheet is calculated. Change only the yellow settings.</t>
  </si>
  <si>
    <t xml:space="preserve">Settings</t>
  </si>
  <si>
    <t xml:space="preserve">Length of the float reach (m)</t>
  </si>
  <si>
    <t xml:space="preserve">Correction coefficient k</t>
  </si>
  <si>
    <t xml:space="preserve">0.85 typical; see the notes.</t>
  </si>
  <si>
    <t xml:space="preserve">Cross-section</t>
  </si>
  <si>
    <t xml:space="preserve">Cross-section area (m2)</t>
  </si>
  <si>
    <t xml:space="preserve">Channel width (m)</t>
  </si>
  <si>
    <t xml:space="preserve">Mean depth (m)</t>
  </si>
  <si>
    <t xml:space="preserve">Velocity and discharge</t>
  </si>
  <si>
    <t xml:space="preserve">Mean surface velocity (m/s)</t>
  </si>
  <si>
    <t xml:space="preserve">Standard deviation of float velocities (m/s)</t>
  </si>
  <si>
    <t xml:space="preserve">Mean velocity, k x surface velocity (m/s)</t>
  </si>
  <si>
    <t xml:space="preserve">Discharge Q (m3/s)</t>
  </si>
  <si>
    <t xml:space="preserve">Discharge (litres per second)</t>
  </si>
  <si>
    <t xml:space="preserve">Shortest float time (s); a reach with floats over about 20 s is better</t>
  </si>
  <si>
    <t xml:space="preserve">Sensitivity to k</t>
  </si>
  <si>
    <t xml:space="preserve">k</t>
  </si>
  <si>
    <t xml:space="preserve">Discharge (m3/s)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</si>
</sst>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  <c r="C5" s="10" t="s">
        <v>22</v>
      </c>
    </row>
    <row r="6" customFormat="false" ht="15" hidden="false" customHeight="false" outlineLevel="0" collapsed="false">
      <c r="A6" s="11" t="s">
        <v>23</v>
      </c>
      <c r="B6" s="11" t="n">
        <v>26.3</v>
      </c>
    </row>
    <row r="7" customFormat="false" ht="15" hidden="false" customHeight="false" outlineLevel="0" collapsed="false">
      <c r="A7" s="12" t="s">
        <v>24</v>
      </c>
      <c r="B7" s="13"/>
      <c r="C7" s="14" t="str">
        <f aca="false">IF(ISNUMBER(B7),Results!$C$5/B7,"")</f>
        <v/>
      </c>
    </row>
    <row r="8" customFormat="false" ht="15" hidden="false" customHeight="false" outlineLevel="0" collapsed="false">
      <c r="A8" s="12" t="s">
        <v>25</v>
      </c>
      <c r="B8" s="13"/>
      <c r="C8" s="14" t="str">
        <f aca="false">IF(ISNUMBER(B8),Results!$C$5/B8,"")</f>
        <v/>
      </c>
    </row>
    <row r="9" customFormat="false" ht="15" hidden="false" customHeight="false" outlineLevel="0" collapsed="false">
      <c r="A9" s="12" t="s">
        <v>26</v>
      </c>
      <c r="B9" s="13"/>
      <c r="C9" s="14" t="str">
        <f aca="false">IF(ISNUMBER(B9),Results!$C$5/B9,"")</f>
        <v/>
      </c>
    </row>
    <row r="10" customFormat="false" ht="15" hidden="false" customHeight="false" outlineLevel="0" collapsed="false">
      <c r="A10" s="12" t="s">
        <v>27</v>
      </c>
      <c r="B10" s="13"/>
      <c r="C10" s="14" t="str">
        <f aca="false">IF(ISNUMBER(B10),Results!$C$5/B10,"")</f>
        <v/>
      </c>
    </row>
    <row r="11" customFormat="false" ht="15" hidden="false" customHeight="false" outlineLevel="0" collapsed="false">
      <c r="A11" s="12" t="s">
        <v>28</v>
      </c>
      <c r="B11" s="13"/>
      <c r="C11" s="14" t="str">
        <f aca="false">IF(ISNUMBER(B11),Results!$C$5/B11,"")</f>
        <v/>
      </c>
    </row>
    <row r="12" customFormat="false" ht="15" hidden="false" customHeight="false" outlineLevel="0" collapsed="false">
      <c r="A12" s="12" t="s">
        <v>29</v>
      </c>
      <c r="B12" s="13"/>
      <c r="C12" s="14" t="str">
        <f aca="false">IF(ISNUMBER(B12),Results!$C$5/B12,"")</f>
        <v/>
      </c>
    </row>
    <row r="13" customFormat="false" ht="15" hidden="false" customHeight="false" outlineLevel="0" collapsed="false">
      <c r="A13" s="12" t="s">
        <v>30</v>
      </c>
      <c r="B13" s="13"/>
      <c r="C13" s="14" t="str">
        <f aca="false">IF(ISNUMBER(B13),Results!$C$5/B13,"")</f>
        <v/>
      </c>
    </row>
    <row r="14" customFormat="false" ht="15" hidden="false" customHeight="false" outlineLevel="0" collapsed="false">
      <c r="A14" s="12" t="s">
        <v>31</v>
      </c>
      <c r="B14" s="13"/>
      <c r="C14" s="14" t="str">
        <f aca="false">IF(ISNUMBER(B14),Results!$C$5/B14,"")</f>
        <v/>
      </c>
    </row>
    <row r="15" customFormat="false" ht="15" hidden="false" customHeight="false" outlineLevel="0" collapsed="false">
      <c r="A15" s="12" t="s">
        <v>32</v>
      </c>
      <c r="B15" s="13"/>
      <c r="C15" s="14" t="str">
        <f aca="false">IF(ISNUMBER(B15),Results!$C$5/B15,"")</f>
        <v/>
      </c>
    </row>
    <row r="16" customFormat="false" ht="15" hidden="false" customHeight="false" outlineLevel="0" collapsed="false">
      <c r="A16" s="12" t="s">
        <v>33</v>
      </c>
      <c r="B16" s="13"/>
      <c r="C16" s="14" t="str">
        <f aca="false">IF(ISNUMBER(B16),Results!$C$5/B16,"")</f>
        <v/>
      </c>
    </row>
    <row r="17" customFormat="false" ht="15" hidden="false" customHeight="false" outlineLevel="0" collapsed="false">
      <c r="A17" s="12" t="s">
        <v>34</v>
      </c>
      <c r="B17" s="13"/>
      <c r="C17" s="14" t="str">
        <f aca="false">IF(ISNUMBER(B17),Results!$C$5/B17,"")</f>
        <v/>
      </c>
    </row>
    <row r="18" customFormat="false" ht="15" hidden="false" customHeight="false" outlineLevel="0" collapsed="false">
      <c r="A18" s="12" t="s">
        <v>35</v>
      </c>
      <c r="B18" s="13"/>
      <c r="C18" s="14" t="str">
        <f aca="false">IF(ISNUMBER(B18),Results!$C$5/B18,"")</f>
        <v/>
      </c>
    </row>
    <row r="21" customFormat="false" ht="15" hidden="false" customHeight="false" outlineLevel="0" collapsed="false">
      <c r="A21" s="9" t="s">
        <v>36</v>
      </c>
    </row>
    <row r="22" customFormat="false" ht="31.5" hidden="false" customHeight="true" outlineLevel="0" collapsed="false">
      <c r="A22" s="10" t="s">
        <v>37</v>
      </c>
      <c r="B22" s="10" t="s">
        <v>38</v>
      </c>
      <c r="C22" s="10" t="s">
        <v>39</v>
      </c>
    </row>
    <row r="23" customFormat="false" ht="15" hidden="false" customHeight="false" outlineLevel="0" collapsed="false">
      <c r="A23" s="11" t="n">
        <v>1</v>
      </c>
      <c r="B23" s="11" t="n">
        <v>0.22</v>
      </c>
    </row>
    <row r="24" customFormat="false" ht="15" hidden="false" customHeight="false" outlineLevel="0" collapsed="false">
      <c r="A24" s="13"/>
      <c r="B24" s="13"/>
      <c r="C24" s="14" t="str">
        <f aca="false">IF(AND(ISNUMBER(A24),ISNUMBER(A25),ISNUMBER(B24),ISNUMBER(B25)),(A25-A24)*(B24+B25)/2,"")</f>
        <v/>
      </c>
    </row>
    <row r="25" customFormat="false" ht="15" hidden="false" customHeight="false" outlineLevel="0" collapsed="false">
      <c r="A25" s="13"/>
      <c r="B25" s="13"/>
      <c r="C25" s="14" t="str">
        <f aca="false">IF(AND(ISNUMBER(A25),ISNUMBER(A26),ISNUMBER(B25),ISNUMBER(B26)),(A26-A25)*(B25+B26)/2,"")</f>
        <v/>
      </c>
    </row>
    <row r="26" customFormat="false" ht="15" hidden="false" customHeight="false" outlineLevel="0" collapsed="false">
      <c r="A26" s="13"/>
      <c r="B26" s="13"/>
      <c r="C26" s="14" t="str">
        <f aca="false">IF(AND(ISNUMBER(A26),ISNUMBER(A27),ISNUMBER(B26),ISNUMBER(B27)),(A27-A26)*(B26+B27)/2,"")</f>
        <v/>
      </c>
    </row>
    <row r="27" customFormat="false" ht="15" hidden="false" customHeight="false" outlineLevel="0" collapsed="false">
      <c r="A27" s="13"/>
      <c r="B27" s="13"/>
      <c r="C27" s="14" t="str">
        <f aca="false">IF(AND(ISNUMBER(A27),ISNUMBER(A28),ISNUMBER(B27),ISNUMBER(B28)),(A28-A27)*(B27+B28)/2,"")</f>
        <v/>
      </c>
    </row>
    <row r="28" customFormat="false" ht="15" hidden="false" customHeight="false" outlineLevel="0" collapsed="false">
      <c r="A28" s="13"/>
      <c r="B28" s="13"/>
      <c r="C28" s="14" t="str">
        <f aca="false">IF(AND(ISNUMBER(A28),ISNUMBER(A29),ISNUMBER(B28),ISNUMBER(B29)),(A29-A28)*(B28+B29)/2,"")</f>
        <v/>
      </c>
    </row>
    <row r="29" customFormat="false" ht="15" hidden="false" customHeight="false" outlineLevel="0" collapsed="false">
      <c r="A29" s="13"/>
      <c r="B29" s="13"/>
      <c r="C29" s="14" t="str">
        <f aca="false">IF(AND(ISNUMBER(A29),ISNUMBER(A30),ISNUMBER(B29),ISNUMBER(B30)),(A30-A29)*(B29+B30)/2,"")</f>
        <v/>
      </c>
    </row>
    <row r="30" customFormat="false" ht="15" hidden="false" customHeight="false" outlineLevel="0" collapsed="false">
      <c r="A30" s="13"/>
      <c r="B30" s="13"/>
      <c r="C30" s="14" t="str">
        <f aca="false">IF(AND(ISNUMBER(A30),ISNUMBER(A31),ISNUMBER(B30),ISNUMBER(B31)),(A31-A30)*(B30+B31)/2,"")</f>
        <v/>
      </c>
    </row>
    <row r="31" customFormat="false" ht="15" hidden="false" customHeight="false" outlineLevel="0" collapsed="false">
      <c r="A31" s="13"/>
      <c r="B31" s="13"/>
      <c r="C31" s="14" t="str">
        <f aca="false">IF(AND(ISNUMBER(A31),ISNUMBER(A32),ISNUMBER(B31),ISNUMBER(B32)),(A32-A31)*(B31+B32)/2,"")</f>
        <v/>
      </c>
    </row>
    <row r="32" customFormat="false" ht="15" hidden="false" customHeight="false" outlineLevel="0" collapsed="false">
      <c r="A32" s="13"/>
      <c r="B32" s="13"/>
      <c r="C32" s="14" t="str">
        <f aca="false">IF(AND(ISNUMBER(A32),ISNUMBER(A33),ISNUMBER(B32),ISNUMBER(B33)),(A33-A32)*(B32+B33)/2,"")</f>
        <v/>
      </c>
    </row>
    <row r="33" customFormat="false" ht="15" hidden="false" customHeight="false" outlineLevel="0" collapsed="false">
      <c r="A33" s="13"/>
      <c r="B33" s="13"/>
      <c r="C33" s="14" t="str">
        <f aca="false">IF(AND(ISNUMBER(A33),ISNUMBER(A34),ISNUMBER(B33),ISNUMBER(B34)),(A34-A33)*(B33+B34)/2,"")</f>
        <v/>
      </c>
    </row>
    <row r="34" customFormat="false" ht="15" hidden="false" customHeight="false" outlineLevel="0" collapsed="false">
      <c r="A34" s="13"/>
      <c r="B34" s="13"/>
      <c r="C34" s="14" t="str">
        <f aca="false">IF(AND(ISNUMBER(A34),ISNUMBER(A35),ISNUMBER(B34),ISNUMBER(B35)),(A35-A34)*(B34+B35)/2,"")</f>
        <v/>
      </c>
    </row>
    <row r="35" customFormat="false" ht="15" hidden="false" customHeight="false" outlineLevel="0" collapsed="false">
      <c r="A35" s="13"/>
      <c r="B35" s="13"/>
      <c r="C35" s="14" t="str">
        <f aca="false">IF(AND(ISNUMBER(A35),ISNUMBER(A36),ISNUMBER(B35),ISNUMBER(B36)),(A36-A35)*(B35+B36)/2,"")</f>
        <v/>
      </c>
    </row>
    <row r="36" customFormat="false" ht="15" hidden="false" customHeight="false" outlineLevel="0" collapsed="false">
      <c r="A36" s="13"/>
      <c r="B36" s="13"/>
      <c r="C36" s="14" t="str">
        <f aca="false">IF(AND(ISNUMBER(A36),ISNUMBER(A37),ISNUMBER(B36),ISNUMBER(B37)),(A37-A36)*(B36+B37)/2,"")</f>
        <v/>
      </c>
    </row>
    <row r="37" customFormat="false" ht="15" hidden="false" customHeight="false" outlineLevel="0" collapsed="false">
      <c r="A37" s="13"/>
      <c r="B37" s="13"/>
      <c r="C37" s="14" t="str">
        <f aca="false">IF(AND(ISNUMBER(A37),ISNUMBER(A38),ISNUMBER(B37),ISNUMBER(B38)),(A38-A37)*(B37+B38)/2,"")</f>
        <v/>
      </c>
    </row>
    <row r="38" customFormat="false" ht="15" hidden="false" customHeight="false" outlineLevel="0" collapsed="false">
      <c r="A38" s="13"/>
      <c r="B38" s="13"/>
      <c r="C38" s="14" t="str">
        <f aca="false">IF(AND(ISNUMBER(A38),ISNUMBER(A39),ISNUMBER(B38),ISNUMBER(B39)),(A39-A38)*(B38+B39)/2,"")</f>
        <v/>
      </c>
    </row>
    <row r="39" customFormat="false" ht="15" hidden="false" customHeight="false" outlineLevel="0" collapsed="false">
      <c r="A39" s="13"/>
      <c r="B39" s="13"/>
      <c r="C39" s="14" t="str">
        <f aca="false">IF(AND(ISNUMBER(A39),ISNUMBER(A40),ISNUMBER(B39),ISNUMBER(B40)),(A40-A39)*(B39+B40)/2,"")</f>
        <v/>
      </c>
    </row>
    <row r="40" customFormat="false" ht="15" hidden="false" customHeight="false" outlineLevel="0" collapsed="false">
      <c r="A40" s="13"/>
      <c r="B40" s="13"/>
      <c r="C40" s="14" t="str">
        <f aca="false">IF(AND(ISNUMBER(A40),ISNUMBER(A41),ISNUMBER(B40),ISNUMBER(B41)),(A41-A40)*(B40+B41)/2,"")</f>
        <v/>
      </c>
    </row>
    <row r="41" customFormat="false" ht="15" hidden="false" customHeight="false" outlineLevel="0" collapsed="false">
      <c r="A41" s="13"/>
      <c r="B41" s="13"/>
      <c r="C41" s="14" t="str">
        <f aca="false">IF(AND(ISNUMBER(A41),ISNUMBER(A42),ISNUMBER(B41),ISNUMBER(B42)),(A42-A41)*(B41+B42)/2,"")</f>
        <v/>
      </c>
    </row>
    <row r="42" customFormat="false" ht="15" hidden="false" customHeight="false" outlineLevel="0" collapsed="false">
      <c r="A42" s="13"/>
      <c r="B42" s="13"/>
      <c r="C42" s="14" t="str">
        <f aca="false">IF(AND(ISNUMBER(A42),ISNUMBER(A43),ISNUMBER(B42),ISNUMBER(B43)),(A43-A42)*(B42+B43)/2,"")</f>
        <v/>
      </c>
    </row>
    <row r="43" customFormat="false" ht="15" hidden="false" customHeight="false" outlineLevel="0" collapsed="false">
      <c r="A43" s="13"/>
      <c r="B43" s="13"/>
      <c r="C43" s="14" t="str">
        <f aca="false">IF(AND(ISNUMBER(A43),ISNUMBER(A44),ISNUMBER(B43),ISNUMBER(B44)),(A44-A43)*(B43+B44)/2,"")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B18 A24:B43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40</v>
      </c>
    </row>
    <row r="2" customFormat="false" ht="15" hidden="false" customHeight="false" outlineLevel="0" collapsed="false">
      <c r="B2" s="8" t="s">
        <v>41</v>
      </c>
    </row>
    <row r="4" customFormat="false" ht="15" hidden="false" customHeight="false" outlineLevel="0" collapsed="false">
      <c r="B4" s="9" t="s">
        <v>42</v>
      </c>
    </row>
    <row r="5" customFormat="false" ht="15" hidden="false" customHeight="false" outlineLevel="0" collapsed="false">
      <c r="B5" s="15" t="s">
        <v>43</v>
      </c>
      <c r="C5" s="13" t="n">
        <v>20</v>
      </c>
      <c r="D5" s="8"/>
    </row>
    <row r="6" customFormat="false" ht="15" hidden="false" customHeight="false" outlineLevel="0" collapsed="false">
      <c r="B6" s="15" t="s">
        <v>44</v>
      </c>
      <c r="C6" s="13" t="n">
        <v>0.85</v>
      </c>
      <c r="D6" s="8" t="s">
        <v>45</v>
      </c>
    </row>
    <row r="8" customFormat="false" ht="15" hidden="false" customHeight="false" outlineLevel="0" collapsed="false">
      <c r="B8" s="9" t="s">
        <v>46</v>
      </c>
    </row>
    <row r="9" customFormat="false" ht="15" hidden="false" customHeight="false" outlineLevel="0" collapsed="false">
      <c r="B9" s="15" t="s">
        <v>47</v>
      </c>
      <c r="C9" s="16" t="n">
        <f aca="false">IFERROR(SUM('Enter data'!$C$24:$C$43),"")</f>
        <v>0</v>
      </c>
    </row>
    <row r="10" customFormat="false" ht="15" hidden="false" customHeight="false" outlineLevel="0" collapsed="false">
      <c r="B10" s="15" t="s">
        <v>48</v>
      </c>
      <c r="C10" s="17" t="n">
        <f aca="false">IFERROR(MAX('Enter data'!$A$24:$A$43)-MIN('Enter data'!$A$24:$A$43),"")</f>
        <v>0</v>
      </c>
    </row>
    <row r="11" customFormat="false" ht="15" hidden="false" customHeight="false" outlineLevel="0" collapsed="false">
      <c r="B11" s="15" t="s">
        <v>49</v>
      </c>
      <c r="C11" s="16" t="str">
        <f aca="false">IFERROR($C$9/$C$10,"")</f>
        <v/>
      </c>
    </row>
    <row r="13" customFormat="false" ht="15" hidden="false" customHeight="false" outlineLevel="0" collapsed="false">
      <c r="B13" s="9" t="s">
        <v>50</v>
      </c>
    </row>
    <row r="14" customFormat="false" ht="15" hidden="false" customHeight="false" outlineLevel="0" collapsed="false">
      <c r="B14" s="15" t="s">
        <v>51</v>
      </c>
      <c r="C14" s="18" t="str">
        <f aca="false">IFERROR(AVERAGE('Enter data'!$C$7:$C$18),"")</f>
        <v/>
      </c>
    </row>
    <row r="15" customFormat="false" ht="15" hidden="false" customHeight="false" outlineLevel="0" collapsed="false">
      <c r="B15" s="15" t="s">
        <v>52</v>
      </c>
      <c r="C15" s="18" t="str">
        <f aca="false">IFERROR(STDEV('Enter data'!$C$7:$C$18),"")</f>
        <v/>
      </c>
    </row>
    <row r="16" customFormat="false" ht="15" hidden="false" customHeight="false" outlineLevel="0" collapsed="false">
      <c r="B16" s="15" t="s">
        <v>53</v>
      </c>
      <c r="C16" s="18" t="str">
        <f aca="false">IFERROR(Results!$C$6*$C$14,"")</f>
        <v/>
      </c>
    </row>
    <row r="17" customFormat="false" ht="15" hidden="false" customHeight="false" outlineLevel="0" collapsed="false">
      <c r="B17" s="15" t="s">
        <v>54</v>
      </c>
      <c r="C17" s="18" t="str">
        <f aca="false">IFERROR($C$16*$C$9,"")</f>
        <v/>
      </c>
    </row>
    <row r="18" customFormat="false" ht="15" hidden="false" customHeight="false" outlineLevel="0" collapsed="false">
      <c r="B18" s="15" t="s">
        <v>55</v>
      </c>
      <c r="C18" s="19" t="str">
        <f aca="false">IFERROR(1000*$C$17,"")</f>
        <v/>
      </c>
    </row>
    <row r="19" customFormat="false" ht="15" hidden="false" customHeight="false" outlineLevel="0" collapsed="false">
      <c r="B19" s="15" t="s">
        <v>56</v>
      </c>
      <c r="C19" s="17" t="n">
        <f aca="false">IFERROR(MIN('Enter data'!$B$7:$B$18),"")</f>
        <v>0</v>
      </c>
    </row>
    <row r="21" customFormat="false" ht="15" hidden="false" customHeight="false" outlineLevel="0" collapsed="false">
      <c r="B21" s="9" t="s">
        <v>57</v>
      </c>
    </row>
    <row r="22" customFormat="false" ht="30" hidden="false" customHeight="true" outlineLevel="0" collapsed="false">
      <c r="B22" s="10" t="s">
        <v>58</v>
      </c>
      <c r="C22" s="10" t="s">
        <v>59</v>
      </c>
    </row>
    <row r="23" customFormat="false" ht="15" hidden="false" customHeight="false" outlineLevel="0" collapsed="false">
      <c r="B23" s="20" t="n">
        <v>0.66</v>
      </c>
      <c r="C23" s="21" t="str">
        <f aca="false">IFERROR(B23*$C$14*$C$9,"")</f>
        <v/>
      </c>
    </row>
    <row r="24" customFormat="false" ht="15" hidden="false" customHeight="false" outlineLevel="0" collapsed="false">
      <c r="B24" s="20" t="n">
        <v>0.75</v>
      </c>
      <c r="C24" s="21" t="str">
        <f aca="false">IFERROR(B24*$C$14*$C$9,"")</f>
        <v/>
      </c>
    </row>
    <row r="25" customFormat="false" ht="15" hidden="false" customHeight="false" outlineLevel="0" collapsed="false">
      <c r="B25" s="20" t="n">
        <v>0.85</v>
      </c>
      <c r="C25" s="21" t="str">
        <f aca="false">IFERROR(B25*$C$14*$C$9,"")</f>
        <v/>
      </c>
    </row>
    <row r="26" customFormat="false" ht="15" hidden="false" customHeight="false" outlineLevel="0" collapsed="false">
      <c r="B26" s="20" t="n">
        <v>0.9</v>
      </c>
      <c r="C26" s="21" t="str">
        <f aca="false">IFERROR(B26*$C$14*$C$9,"")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2026-10-01T00:30:43Z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2026-10-01T00:30:43Z</dcterms:modified>
  <cp:revision>0</cp:revision>
  <dc:subject/>
  <dc:title>ENV-03 Stream velocity and discharge by the float method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