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<sst xmlns="http://schemas.openxmlformats.org/spreadsheetml/2006/main" count="74" uniqueCount="69">
  <si>
    <t xml:space="preserve">ECO-05  Comparing biodiversity from abundance records</t>
  </si>
  <si>
    <t xml:space="preserve">Excel version of the card. It does the same calculations as the R script eco05_biodiversity.R.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</si>
  <si>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</si>
  <si>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</si>
  <si>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</si>
  <si>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</si>
  <si>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</si>
  <si>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</si>
  <si>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</si>
  <si>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</si>
  <si>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One row per site; one column per species (type species names in the header cells). Enter the number of records of each species at each site.</t>
  </si>
  <si>
    <t xml:space="preserve">Shannon H = -sum(p ln p); Gini-Simpson = 1 - sum(p^2); Chao1 = S + f1^2 / (2 f2) (S + f1 (f1 - 1) / 2 when there are no doubletons), with f1 and f2 the numbers of species seen once and twice.</t>
  </si>
  <si>
    <t xml:space="preserve">Rarefied richness = expected species in a random sample of m records (Hurlbert 1971); m defaults to the smallest number of records at any site, so sites are compared at equal effort.</t>
  </si>
  <si>
    <t xml:space="preserve">Differences from the R script on the card</t>
  </si>
  <si>
    <t xml:space="preserve">The R script also gives bootstrap intervals for Shannon diversity and a species accumulation curve; those are not repeated here.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</si>
  <si>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</si>
  <si>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</si>
  <si>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</si>
  <si>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</si>
  <si>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Abundance by site and species (type site names in column 1 and species names in the header cells)</t>
  </si>
  <si>
    <t xml:space="preserve">Site</t>
  </si>
  <si>
    <t xml:space="preserve">species 1</t>
  </si>
  <si>
    <t xml:space="preserve">species 2</t>
  </si>
  <si>
    <t xml:space="preserve">species 3</t>
  </si>
  <si>
    <t xml:space="preserve">species 4</t>
  </si>
  <si>
    <t xml:space="preserve">species 5</t>
  </si>
  <si>
    <t xml:space="preserve">species 6</t>
  </si>
  <si>
    <t xml:space="preserve">species 7</t>
  </si>
  <si>
    <t xml:space="preserve">species 8</t>
  </si>
  <si>
    <t xml:space="preserve">species 9</t>
  </si>
  <si>
    <t xml:space="preserve">species 10</t>
  </si>
  <si>
    <t xml:space="preserve">species 11</t>
  </si>
  <si>
    <t xml:space="preserve">species 12</t>
  </si>
  <si>
    <t xml:space="preserve">species 13</t>
  </si>
  <si>
    <t xml:space="preserve">species 14</t>
  </si>
  <si>
    <t xml:space="preserve">species 15</t>
  </si>
  <si>
    <t xml:space="preserve">species 16</t>
  </si>
  <si>
    <t xml:space="preserve">species 17</t>
  </si>
  <si>
    <t xml:space="preserve">species 18</t>
  </si>
  <si>
    <t xml:space="preserve">species 19</t>
  </si>
  <si>
    <t xml:space="preserve">species 20</t>
  </si>
  <si>
    <t xml:space="preserve">species 21</t>
  </si>
  <si>
    <t xml:space="preserve">species 22</t>
  </si>
  <si>
    <t xml:space="preserve">species 23</t>
  </si>
  <si>
    <t xml:space="preserve">species 24</t>
  </si>
  <si>
    <t xml:space="preserve">species 25</t>
  </si>
  <si>
    <t xml:space="preserve">species 26</t>
  </si>
  <si>
    <t xml:space="preserve">species 27</t>
  </si>
  <si>
    <t xml:space="preserve">species 28</t>
  </si>
  <si>
    <t xml:space="preserve">species 29</t>
  </si>
  <si>
    <t xml:space="preserve">species 30</t>
  </si>
  <si>
    <t xml:space="preserve">Records N</t>
  </si>
  <si>
    <t xml:space="preserve">Richness S</t>
  </si>
  <si>
    <t xml:space="preserve">Shannon H</t>
  </si>
  <si>
    <t xml:space="preserve">Gini-Simpson</t>
  </si>
  <si>
    <t xml:space="preserve">Singletons f1</t>
  </si>
  <si>
    <t xml:space="preserve">Doubletons f2</t>
  </si>
  <si>
    <t xml:space="preserve">Chao1</t>
  </si>
  <si>
    <t xml:space="preserve">Rarefied richness</t>
  </si>
  <si>
    <t xml:space="preserve">site A</t>
  </si>
  <si>
    <t xml:space="preserve">Results</t>
  </si>
  <si>
    <t xml:space="preserve">Everything on this sheet is calculated. Change only the yellow settings.</t>
  </si>
  <si>
    <t xml:space="preserve">Sample size for rarefaction</t>
  </si>
  <si>
    <t xml:space="preserve">Records used for rarefaction (default: smallest N)</t>
  </si>
  <si>
    <t xml:space="preserve">Smallest number of records among sites that have records.</t>
  </si>
  <si>
    <t xml:space="preserve">Diversity by site</t>
  </si>
  <si>
    <t xml:space="preserve">Records</t>
  </si>
  <si>
    <t xml:space="preserve">Observed richness</t>
  </si>
  <si>
    <t xml:space="preserve">Singletons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</si>
</sst>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0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1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28</v>
      </c>
      <c r="J5" s="11" t="s">
        <v>29</v>
      </c>
      <c r="K5" s="11" t="s">
        <v>30</v>
      </c>
      <c r="L5" s="11" t="s">
        <v>31</v>
      </c>
      <c r="M5" s="11" t="s">
        <v>32</v>
      </c>
      <c r="N5" s="11" t="s">
        <v>33</v>
      </c>
      <c r="O5" s="11" t="s">
        <v>34</v>
      </c>
      <c r="P5" s="11" t="s">
        <v>35</v>
      </c>
      <c r="Q5" s="11" t="s">
        <v>36</v>
      </c>
      <c r="R5" s="11" t="s">
        <v>37</v>
      </c>
      <c r="S5" s="11" t="s">
        <v>38</v>
      </c>
      <c r="T5" s="11" t="s">
        <v>39</v>
      </c>
      <c r="U5" s="11" t="s">
        <v>40</v>
      </c>
      <c r="V5" s="11" t="s">
        <v>41</v>
      </c>
      <c r="W5" s="11" t="s">
        <v>42</v>
      </c>
      <c r="X5" s="11" t="s">
        <v>43</v>
      </c>
      <c r="Y5" s="11" t="s">
        <v>44</v>
      </c>
      <c r="Z5" s="11" t="s">
        <v>45</v>
      </c>
      <c r="AA5" s="11" t="s">
        <v>46</v>
      </c>
      <c r="AB5" s="11" t="s">
        <v>47</v>
      </c>
      <c r="AC5" s="11" t="s">
        <v>48</v>
      </c>
      <c r="AD5" s="11" t="s">
        <v>49</v>
      </c>
      <c r="AE5" s="11" t="s">
        <v>50</v>
      </c>
      <c r="AF5" s="10" t="s">
        <v>51</v>
      </c>
      <c r="AG5" s="10" t="s">
        <v>52</v>
      </c>
      <c r="AH5" s="10" t="s">
        <v>53</v>
      </c>
      <c r="AI5" s="10" t="s">
        <v>54</v>
      </c>
      <c r="AJ5" s="10" t="s">
        <v>55</v>
      </c>
      <c r="AK5" s="10" t="s">
        <v>56</v>
      </c>
      <c r="AL5" s="10" t="s">
        <v>57</v>
      </c>
      <c r="AM5" s="10" t="s">
        <v>58</v>
      </c>
    </row>
    <row r="6" customFormat="false" ht="15" hidden="false" customHeight="false" outlineLevel="0" collapsed="false">
      <c r="A6" s="12" t="s">
        <v>59</v>
      </c>
      <c r="B6" s="12" t="n">
        <v>10</v>
      </c>
      <c r="C6" s="12" t="n">
        <v>10</v>
      </c>
      <c r="D6" s="12" t="n">
        <v>10</v>
      </c>
      <c r="E6" s="12" t="n">
        <v>10</v>
      </c>
      <c r="F6" s="12" t="n">
        <v>10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 t="n">
        <f aca="false">SUM(B7:AE7)</f>
        <v>0</v>
      </c>
      <c r="AG7" s="14" t="str">
        <f aca="false">IF(AF7&gt;0,COUNTIF(B7:AE7,"&gt;0"),"")</f>
        <v/>
      </c>
      <c r="AH7" s="15" t="str">
        <f aca="false">IF(AF7&gt;0,-SUMPRODUCT((B7:AE7&gt;0)*B7:AE7/AF7*LN((B7:AE7+(B7:AE7=0))/AF7)),"")</f>
        <v/>
      </c>
      <c r="AI7" s="16" t="str">
        <f aca="false">IF(AF7&gt;0,1-SUMPRODUCT((B7:AE7/AF7)^2),"")</f>
        <v/>
      </c>
      <c r="AJ7" s="14" t="str">
        <f aca="false">IF(AF7&gt;0,COUNTIF(B7:AE7,1),"")</f>
        <v/>
      </c>
      <c r="AK7" s="14" t="str">
        <f aca="false">IF(AF7&gt;0,COUNTIF(B7:AE7,2),"")</f>
        <v/>
      </c>
      <c r="AL7" s="17" t="str">
        <f aca="false">IF(AF7&gt;0,AG7+IF(AK7&gt;0,AJ7^2/(2*AK7),AJ7*(AJ7-1)/2),"")</f>
        <v/>
      </c>
      <c r="AM7" s="17" t="str">
        <f aca="false">IF(AF7&gt;0,SUMPRODUCT((B7:AE7&gt;0)*(((AF7-B7:AE7-Results!$C$5+1)&lt;=0)+((AF7-B7:AE7-Results!$C$5+1)&gt;0)*(1-EXP(GAMMALN(AF7-B7:AE7+1)-GAMMALN((AF7-B7:AE7-Results!$C$5+1)*((AF7-B7:AE7-Results!$C$5+1)&gt;0)+((AF7-B7:AE7-Results!$C$5+1)&lt;=0))-(GAMMALN(AF7+1)-GAMMALN(AF7-Results!$C$5+1)))))),"")</f>
        <v/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4" t="n">
        <f aca="false">SUM(B8:AE8)</f>
        <v>0</v>
      </c>
      <c r="AG8" s="14" t="str">
        <f aca="false">IF(AF8&gt;0,COUNTIF(B8:AE8,"&gt;0"),"")</f>
        <v/>
      </c>
      <c r="AH8" s="15" t="str">
        <f aca="false">IF(AF8&gt;0,-SUMPRODUCT((B8:AE8&gt;0)*B8:AE8/AF8*LN((B8:AE8+(B8:AE8=0))/AF8)),"")</f>
        <v/>
      </c>
      <c r="AI8" s="16" t="str">
        <f aca="false">IF(AF8&gt;0,1-SUMPRODUCT((B8:AE8/AF8)^2),"")</f>
        <v/>
      </c>
      <c r="AJ8" s="14" t="str">
        <f aca="false">IF(AF8&gt;0,COUNTIF(B8:AE8,1),"")</f>
        <v/>
      </c>
      <c r="AK8" s="14" t="str">
        <f aca="false">IF(AF8&gt;0,COUNTIF(B8:AE8,2),"")</f>
        <v/>
      </c>
      <c r="AL8" s="17" t="str">
        <f aca="false">IF(AF8&gt;0,AG8+IF(AK8&gt;0,AJ8^2/(2*AK8),AJ8*(AJ8-1)/2),"")</f>
        <v/>
      </c>
      <c r="AM8" s="17" t="str">
        <f aca="false">IF(AF8&gt;0,SUMPRODUCT((B8:AE8&gt;0)*(((AF8-B8:AE8-Results!$C$5+1)&lt;=0)+((AF8-B8:AE8-Results!$C$5+1)&gt;0)*(1-EXP(GAMMALN(AF8-B8:AE8+1)-GAMMALN((AF8-B8:AE8-Results!$C$5+1)*((AF8-B8:AE8-Results!$C$5+1)&gt;0)+((AF8-B8:AE8-Results!$C$5+1)&lt;=0))-(GAMMALN(AF8+1)-GAMMALN(AF8-Results!$C$5+1)))))),"")</f>
        <v/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4" t="n">
        <f aca="false">SUM(B9:AE9)</f>
        <v>0</v>
      </c>
      <c r="AG9" s="14" t="str">
        <f aca="false">IF(AF9&gt;0,COUNTIF(B9:AE9,"&gt;0"),"")</f>
        <v/>
      </c>
      <c r="AH9" s="15" t="str">
        <f aca="false">IF(AF9&gt;0,-SUMPRODUCT((B9:AE9&gt;0)*B9:AE9/AF9*LN((B9:AE9+(B9:AE9=0))/AF9)),"")</f>
        <v/>
      </c>
      <c r="AI9" s="16" t="str">
        <f aca="false">IF(AF9&gt;0,1-SUMPRODUCT((B9:AE9/AF9)^2),"")</f>
        <v/>
      </c>
      <c r="AJ9" s="14" t="str">
        <f aca="false">IF(AF9&gt;0,COUNTIF(B9:AE9,1),"")</f>
        <v/>
      </c>
      <c r="AK9" s="14" t="str">
        <f aca="false">IF(AF9&gt;0,COUNTIF(B9:AE9,2),"")</f>
        <v/>
      </c>
      <c r="AL9" s="17" t="str">
        <f aca="false">IF(AF9&gt;0,AG9+IF(AK9&gt;0,AJ9^2/(2*AK9),AJ9*(AJ9-1)/2),"")</f>
        <v/>
      </c>
      <c r="AM9" s="17" t="str">
        <f aca="false">IF(AF9&gt;0,SUMPRODUCT((B9:AE9&gt;0)*(((AF9-B9:AE9-Results!$C$5+1)&lt;=0)+((AF9-B9:AE9-Results!$C$5+1)&gt;0)*(1-EXP(GAMMALN(AF9-B9:AE9+1)-GAMMALN((AF9-B9:AE9-Results!$C$5+1)*((AF9-B9:AE9-Results!$C$5+1)&gt;0)+((AF9-B9:AE9-Results!$C$5+1)&lt;=0))-(GAMMALN(AF9+1)-GAMMALN(AF9-Results!$C$5+1)))))),""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4" t="n">
        <f aca="false">SUM(B10:AE10)</f>
        <v>0</v>
      </c>
      <c r="AG10" s="14" t="str">
        <f aca="false">IF(AF10&gt;0,COUNTIF(B10:AE10,"&gt;0"),"")</f>
        <v/>
      </c>
      <c r="AH10" s="15" t="str">
        <f aca="false">IF(AF10&gt;0,-SUMPRODUCT((B10:AE10&gt;0)*B10:AE10/AF10*LN((B10:AE10+(B10:AE10=0))/AF10)),"")</f>
        <v/>
      </c>
      <c r="AI10" s="16" t="str">
        <f aca="false">IF(AF10&gt;0,1-SUMPRODUCT((B10:AE10/AF10)^2),"")</f>
        <v/>
      </c>
      <c r="AJ10" s="14" t="str">
        <f aca="false">IF(AF10&gt;0,COUNTIF(B10:AE10,1),"")</f>
        <v/>
      </c>
      <c r="AK10" s="14" t="str">
        <f aca="false">IF(AF10&gt;0,COUNTIF(B10:AE10,2),"")</f>
        <v/>
      </c>
      <c r="AL10" s="17" t="str">
        <f aca="false">IF(AF10&gt;0,AG10+IF(AK10&gt;0,AJ10^2/(2*AK10),AJ10*(AJ10-1)/2),"")</f>
        <v/>
      </c>
      <c r="AM10" s="17" t="str">
        <f aca="false">IF(AF10&gt;0,SUMPRODUCT((B10:AE10&gt;0)*(((AF10-B10:AE10-Results!$C$5+1)&lt;=0)+((AF10-B10:AE10-Results!$C$5+1)&gt;0)*(1-EXP(GAMMALN(AF10-B10:AE10+1)-GAMMALN((AF10-B10:AE10-Results!$C$5+1)*((AF10-B10:AE10-Results!$C$5+1)&gt;0)+((AF10-B10:AE10-Results!$C$5+1)&lt;=0))-(GAMMALN(AF10+1)-GAMMALN(AF10-Results!$C$5+1)))))),""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4" t="n">
        <f aca="false">SUM(B11:AE11)</f>
        <v>0</v>
      </c>
      <c r="AG11" s="14" t="str">
        <f aca="false">IF(AF11&gt;0,COUNTIF(B11:AE11,"&gt;0"),"")</f>
        <v/>
      </c>
      <c r="AH11" s="15" t="str">
        <f aca="false">IF(AF11&gt;0,-SUMPRODUCT((B11:AE11&gt;0)*B11:AE11/AF11*LN((B11:AE11+(B11:AE11=0))/AF11)),"")</f>
        <v/>
      </c>
      <c r="AI11" s="16" t="str">
        <f aca="false">IF(AF11&gt;0,1-SUMPRODUCT((B11:AE11/AF11)^2),"")</f>
        <v/>
      </c>
      <c r="AJ11" s="14" t="str">
        <f aca="false">IF(AF11&gt;0,COUNTIF(B11:AE11,1),"")</f>
        <v/>
      </c>
      <c r="AK11" s="14" t="str">
        <f aca="false">IF(AF11&gt;0,COUNTIF(B11:AE11,2),"")</f>
        <v/>
      </c>
      <c r="AL11" s="17" t="str">
        <f aca="false">IF(AF11&gt;0,AG11+IF(AK11&gt;0,AJ11^2/(2*AK11),AJ11*(AJ11-1)/2),"")</f>
        <v/>
      </c>
      <c r="AM11" s="17" t="str">
        <f aca="false">IF(AF11&gt;0,SUMPRODUCT((B11:AE11&gt;0)*(((AF11-B11:AE11-Results!$C$5+1)&lt;=0)+((AF11-B11:AE11-Results!$C$5+1)&gt;0)*(1-EXP(GAMMALN(AF11-B11:AE11+1)-GAMMALN((AF11-B11:AE11-Results!$C$5+1)*((AF11-B11:AE11-Results!$C$5+1)&gt;0)+((AF11-B11:AE11-Results!$C$5+1)&lt;=0))-(GAMMALN(AF11+1)-GAMMALN(AF11-Results!$C$5+1)))))),""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 t="n">
        <f aca="false">SUM(B12:AE12)</f>
        <v>0</v>
      </c>
      <c r="AG12" s="14" t="str">
        <f aca="false">IF(AF12&gt;0,COUNTIF(B12:AE12,"&gt;0"),"")</f>
        <v/>
      </c>
      <c r="AH12" s="15" t="str">
        <f aca="false">IF(AF12&gt;0,-SUMPRODUCT((B12:AE12&gt;0)*B12:AE12/AF12*LN((B12:AE12+(B12:AE12=0))/AF12)),"")</f>
        <v/>
      </c>
      <c r="AI12" s="16" t="str">
        <f aca="false">IF(AF12&gt;0,1-SUMPRODUCT((B12:AE12/AF12)^2),"")</f>
        <v/>
      </c>
      <c r="AJ12" s="14" t="str">
        <f aca="false">IF(AF12&gt;0,COUNTIF(B12:AE12,1),"")</f>
        <v/>
      </c>
      <c r="AK12" s="14" t="str">
        <f aca="false">IF(AF12&gt;0,COUNTIF(B12:AE12,2),"")</f>
        <v/>
      </c>
      <c r="AL12" s="17" t="str">
        <f aca="false">IF(AF12&gt;0,AG12+IF(AK12&gt;0,AJ12^2/(2*AK12),AJ12*(AJ12-1)/2),"")</f>
        <v/>
      </c>
      <c r="AM12" s="17" t="str">
        <f aca="false">IF(AF12&gt;0,SUMPRODUCT((B12:AE12&gt;0)*(((AF12-B12:AE12-Results!$C$5+1)&lt;=0)+((AF12-B12:AE12-Results!$C$5+1)&gt;0)*(1-EXP(GAMMALN(AF12-B12:AE12+1)-GAMMALN((AF12-B12:AE12-Results!$C$5+1)*((AF12-B12:AE12-Results!$C$5+1)&gt;0)+((AF12-B12:AE12-Results!$C$5+1)&lt;=0))-(GAMMALN(AF12+1)-GAMMALN(AF12-Results!$C$5+1)))))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AE1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60</v>
      </c>
    </row>
    <row r="2" customFormat="false" ht="15" hidden="false" customHeight="false" outlineLevel="0" collapsed="false">
      <c r="B2" s="8" t="s">
        <v>61</v>
      </c>
    </row>
    <row r="4" customFormat="false" ht="15" hidden="false" customHeight="false" outlineLevel="0" collapsed="false">
      <c r="B4" s="9" t="s">
        <v>62</v>
      </c>
    </row>
    <row r="5" customFormat="false" ht="15" hidden="false" customHeight="false" outlineLevel="0" collapsed="false">
      <c r="B5" s="18" t="s">
        <v>63</v>
      </c>
      <c r="C5" s="19" t="str">
        <f aca="false">IFERROR(SMALL('Enter data'!$AF$7:$AF$12,COUNTIF('Enter data'!$AF$7:$AF$12,0)+1),"")</f>
        <v/>
      </c>
      <c r="D5" s="8" t="s">
        <v>64</v>
      </c>
    </row>
    <row r="7" customFormat="false" ht="15" hidden="false" customHeight="false" outlineLevel="0" collapsed="false">
      <c r="B7" s="9" t="s">
        <v>65</v>
      </c>
    </row>
    <row r="8" customFormat="false" ht="30" hidden="false" customHeight="true" outlineLevel="0" collapsed="false">
      <c r="B8" s="10" t="s">
        <v>20</v>
      </c>
      <c r="C8" s="10" t="s">
        <v>66</v>
      </c>
      <c r="D8" s="10" t="s">
        <v>67</v>
      </c>
      <c r="E8" s="10" t="s">
        <v>53</v>
      </c>
      <c r="F8" s="10" t="s">
        <v>54</v>
      </c>
      <c r="G8" s="10" t="s">
        <v>68</v>
      </c>
      <c r="H8" s="10" t="s">
        <v>58</v>
      </c>
      <c r="I8" s="10" t="s">
        <v>57</v>
      </c>
    </row>
    <row r="9" customFormat="false" ht="15" hidden="false" customHeight="false" outlineLevel="0" collapsed="false">
      <c r="B9" s="20" t="str">
        <f aca="false">IFERROR(IF('Enter data'!$A$7="","",'Enter data'!$A$7),"")</f>
        <v/>
      </c>
      <c r="C9" s="21" t="n">
        <f aca="false">IFERROR(IF(ISNUMBER('Enter data'!$AF$7),'Enter data'!$AF$7,""),"")</f>
        <v>0</v>
      </c>
      <c r="D9" s="21" t="str">
        <f aca="false">IFERROR(IF(ISNUMBER('Enter data'!$AG$7),'Enter data'!$AG$7,""),"")</f>
        <v/>
      </c>
      <c r="E9" s="22" t="str">
        <f aca="false">IFERROR(IF(ISNUMBER('Enter data'!$AH$7),'Enter data'!$AH$7,""),"")</f>
        <v/>
      </c>
      <c r="F9" s="23" t="str">
        <f aca="false">IFERROR(IF(ISNUMBER('Enter data'!$AI$7),'Enter data'!$AI$7,""),"")</f>
        <v/>
      </c>
      <c r="G9" s="21" t="str">
        <f aca="false">IFERROR(IF(ISNUMBER('Enter data'!$AJ$7),'Enter data'!$AJ$7,""),"")</f>
        <v/>
      </c>
      <c r="H9" s="24" t="str">
        <f aca="false">IFERROR(IF(ISNUMBER('Enter data'!$AM$7),'Enter data'!$AM$7,""),"")</f>
        <v/>
      </c>
      <c r="I9" s="24" t="str">
        <f aca="false">IFERROR(IF(ISNUMBER('Enter data'!$AL$7),'Enter data'!$AL$7,""),"")</f>
        <v/>
      </c>
    </row>
    <row r="10" customFormat="false" ht="15" hidden="false" customHeight="false" outlineLevel="0" collapsed="false">
      <c r="B10" s="20" t="str">
        <f aca="false">IFERROR(IF('Enter data'!$A$8="","",'Enter data'!$A$8),"")</f>
        <v/>
      </c>
      <c r="C10" s="21" t="n">
        <f aca="false">IFERROR(IF(ISNUMBER('Enter data'!$AF$8),'Enter data'!$AF$8,""),"")</f>
        <v>0</v>
      </c>
      <c r="D10" s="21" t="str">
        <f aca="false">IFERROR(IF(ISNUMBER('Enter data'!$AG$8),'Enter data'!$AG$8,""),"")</f>
        <v/>
      </c>
      <c r="E10" s="22" t="str">
        <f aca="false">IFERROR(IF(ISNUMBER('Enter data'!$AH$8),'Enter data'!$AH$8,""),"")</f>
        <v/>
      </c>
      <c r="F10" s="23" t="str">
        <f aca="false">IFERROR(IF(ISNUMBER('Enter data'!$AI$8),'Enter data'!$AI$8,""),"")</f>
        <v/>
      </c>
      <c r="G10" s="21" t="str">
        <f aca="false">IFERROR(IF(ISNUMBER('Enter data'!$AJ$8),'Enter data'!$AJ$8,""),"")</f>
        <v/>
      </c>
      <c r="H10" s="24" t="str">
        <f aca="false">IFERROR(IF(ISNUMBER('Enter data'!$AM$8),'Enter data'!$AM$8,""),"")</f>
        <v/>
      </c>
      <c r="I10" s="24" t="str">
        <f aca="false">IFERROR(IF(ISNUMBER('Enter data'!$AL$8),'Enter data'!$AL$8,""),"")</f>
        <v/>
      </c>
    </row>
    <row r="11" customFormat="false" ht="15" hidden="false" customHeight="false" outlineLevel="0" collapsed="false">
      <c r="B11" s="20" t="str">
        <f aca="false">IFERROR(IF('Enter data'!$A$9="","",'Enter data'!$A$9),"")</f>
        <v/>
      </c>
      <c r="C11" s="21" t="n">
        <f aca="false">IFERROR(IF(ISNUMBER('Enter data'!$AF$9),'Enter data'!$AF$9,""),"")</f>
        <v>0</v>
      </c>
      <c r="D11" s="21" t="str">
        <f aca="false">IFERROR(IF(ISNUMBER('Enter data'!$AG$9),'Enter data'!$AG$9,""),"")</f>
        <v/>
      </c>
      <c r="E11" s="22" t="str">
        <f aca="false">IFERROR(IF(ISNUMBER('Enter data'!$AH$9),'Enter data'!$AH$9,""),"")</f>
        <v/>
      </c>
      <c r="F11" s="23" t="str">
        <f aca="false">IFERROR(IF(ISNUMBER('Enter data'!$AI$9),'Enter data'!$AI$9,""),"")</f>
        <v/>
      </c>
      <c r="G11" s="21" t="str">
        <f aca="false">IFERROR(IF(ISNUMBER('Enter data'!$AJ$9),'Enter data'!$AJ$9,""),"")</f>
        <v/>
      </c>
      <c r="H11" s="24" t="str">
        <f aca="false">IFERROR(IF(ISNUMBER('Enter data'!$AM$9),'Enter data'!$AM$9,""),"")</f>
        <v/>
      </c>
      <c r="I11" s="24" t="str">
        <f aca="false">IFERROR(IF(ISNUMBER('Enter data'!$AL$9),'Enter data'!$AL$9,""),"")</f>
        <v/>
      </c>
    </row>
    <row r="12" customFormat="false" ht="15" hidden="false" customHeight="false" outlineLevel="0" collapsed="false">
      <c r="B12" s="20" t="str">
        <f aca="false">IFERROR(IF('Enter data'!$A$10="","",'Enter data'!$A$10),"")</f>
        <v/>
      </c>
      <c r="C12" s="21" t="n">
        <f aca="false">IFERROR(IF(ISNUMBER('Enter data'!$AF$10),'Enter data'!$AF$10,""),"")</f>
        <v>0</v>
      </c>
      <c r="D12" s="21" t="str">
        <f aca="false">IFERROR(IF(ISNUMBER('Enter data'!$AG$10),'Enter data'!$AG$10,""),"")</f>
        <v/>
      </c>
      <c r="E12" s="22" t="str">
        <f aca="false">IFERROR(IF(ISNUMBER('Enter data'!$AH$10),'Enter data'!$AH$10,""),"")</f>
        <v/>
      </c>
      <c r="F12" s="23" t="str">
        <f aca="false">IFERROR(IF(ISNUMBER('Enter data'!$AI$10),'Enter data'!$AI$10,""),"")</f>
        <v/>
      </c>
      <c r="G12" s="21" t="str">
        <f aca="false">IFERROR(IF(ISNUMBER('Enter data'!$AJ$10),'Enter data'!$AJ$10,""),"")</f>
        <v/>
      </c>
      <c r="H12" s="24" t="str">
        <f aca="false">IFERROR(IF(ISNUMBER('Enter data'!$AM$10),'Enter data'!$AM$10,""),"")</f>
        <v/>
      </c>
      <c r="I12" s="24" t="str">
        <f aca="false">IFERROR(IF(ISNUMBER('Enter data'!$AL$10),'Enter data'!$AL$10,""),"")</f>
        <v/>
      </c>
    </row>
    <row r="13" customFormat="false" ht="15" hidden="false" customHeight="false" outlineLevel="0" collapsed="false">
      <c r="B13" s="20" t="str">
        <f aca="false">IFERROR(IF('Enter data'!$A$11="","",'Enter data'!$A$11),"")</f>
        <v/>
      </c>
      <c r="C13" s="21" t="n">
        <f aca="false">IFERROR(IF(ISNUMBER('Enter data'!$AF$11),'Enter data'!$AF$11,""),"")</f>
        <v>0</v>
      </c>
      <c r="D13" s="21" t="str">
        <f aca="false">IFERROR(IF(ISNUMBER('Enter data'!$AG$11),'Enter data'!$AG$11,""),"")</f>
        <v/>
      </c>
      <c r="E13" s="22" t="str">
        <f aca="false">IFERROR(IF(ISNUMBER('Enter data'!$AH$11),'Enter data'!$AH$11,""),"")</f>
        <v/>
      </c>
      <c r="F13" s="23" t="str">
        <f aca="false">IFERROR(IF(ISNUMBER('Enter data'!$AI$11),'Enter data'!$AI$11,""),"")</f>
        <v/>
      </c>
      <c r="G13" s="21" t="str">
        <f aca="false">IFERROR(IF(ISNUMBER('Enter data'!$AJ$11),'Enter data'!$AJ$11,""),"")</f>
        <v/>
      </c>
      <c r="H13" s="24" t="str">
        <f aca="false">IFERROR(IF(ISNUMBER('Enter data'!$AM$11),'Enter data'!$AM$11,""),"")</f>
        <v/>
      </c>
      <c r="I13" s="24" t="str">
        <f aca="false">IFERROR(IF(ISNUMBER('Enter data'!$AL$11),'Enter data'!$AL$11,""),"")</f>
        <v/>
      </c>
    </row>
    <row r="14" customFormat="false" ht="15" hidden="false" customHeight="false" outlineLevel="0" collapsed="false">
      <c r="B14" s="20" t="str">
        <f aca="false">IFERROR(IF('Enter data'!$A$12="","",'Enter data'!$A$12),"")</f>
        <v/>
      </c>
      <c r="C14" s="21" t="n">
        <f aca="false">IFERROR(IF(ISNUMBER('Enter data'!$AF$12),'Enter data'!$AF$12,""),"")</f>
        <v>0</v>
      </c>
      <c r="D14" s="21" t="str">
        <f aca="false">IFERROR(IF(ISNUMBER('Enter data'!$AG$12),'Enter data'!$AG$12,""),"")</f>
        <v/>
      </c>
      <c r="E14" s="22" t="str">
        <f aca="false">IFERROR(IF(ISNUMBER('Enter data'!$AH$12),'Enter data'!$AH$12,""),"")</f>
        <v/>
      </c>
      <c r="F14" s="23" t="str">
        <f aca="false">IFERROR(IF(ISNUMBER('Enter data'!$AI$12),'Enter data'!$AI$12,""),"")</f>
        <v/>
      </c>
      <c r="G14" s="21" t="str">
        <f aca="false">IFERROR(IF(ISNUMBER('Enter data'!$AJ$12),'Enter data'!$AJ$12,""),"")</f>
        <v/>
      </c>
      <c r="H14" s="24" t="str">
        <f aca="false">IFERROR(IF(ISNUMBER('Enter data'!$AM$12),'Enter data'!$AM$12,""),"")</f>
        <v/>
      </c>
      <c r="I14" s="24" t="str">
        <f aca="false">IFERROR(IF(ISNUMBER('Enter data'!$AL$12),'Enter data'!$AL$12,""),"")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2026-10-01T00:33:01Z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2026-10-01T00:33:01Z</dcterms:modified>
  <cp:revision>0</cp:revision>
  <dc:subject/>
  <dc:title>ECO-05 Comparing biodiversity from abundance records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