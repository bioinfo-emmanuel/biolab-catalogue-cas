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<sst xmlns="http://schemas.openxmlformats.org/spreadsheetml/2006/main" count="57" uniqueCount="51">
  <si>
    <t xml:space="preserve">BOT-06 / PAR-02  Testing an identification key: accuracy and scorer agreement</t>
  </si>
  <si>
    <t xml:space="preserve">Excel version of the cards BOT-06 and PAR-02. It does the same calculations as the R script bot06_key_test.R.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</si>
  <si>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</si>
  <si>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</si>
  <si>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</si>
  <si>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</si>
  <si>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</si>
  <si>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</si>
  <si>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</si>
  <si>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</si>
  <si>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Accuracy = correct identifications / total, with an exact (Clopper-Pearson) 95% interval. Keys are compared with a chi-square test of the numbers correct.</t>
  </si>
  <si>
    <t xml:space="preserve">Scorer agreement on a character uses Cohen's kappa from the 2 x 2 table of two scorers' yes or no scores.</t>
  </si>
  <si>
    <t xml:space="preserve">Differences from the R script on the card</t>
  </si>
  <si>
    <t xml:space="preserve">The R script also lists the species that fail most often and the commonest mix-ups. Filter the table (Data &gt; Filter) on the 'Correct' column to see them here.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</si>
  <si>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</si>
  <si>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</si>
  <si>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</si>
  <si>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</si>
  <si>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Key names</t>
  </si>
  <si>
    <t xml:space="preserve">Key 1</t>
  </si>
  <si>
    <t xml:space="preserve">Key 2</t>
  </si>
  <si>
    <t xml:space="preserve">Key 3</t>
  </si>
  <si>
    <t xml:space="preserve">2. Identification tests (one row per specimen identified by a tester who did not write the key)</t>
  </si>
  <si>
    <t xml:space="preserve">Key</t>
  </si>
  <si>
    <t xml:space="preserve">Tester</t>
  </si>
  <si>
    <t xml:space="preserve">True species</t>
  </si>
  <si>
    <t xml:space="preserve">Identified as</t>
  </si>
  <si>
    <t xml:space="preserve">Tested</t>
  </si>
  <si>
    <t xml:space="preserve">Correct</t>
  </si>
  <si>
    <t xml:space="preserve">T1</t>
  </si>
  <si>
    <t xml:space="preserve">species A</t>
  </si>
  <si>
    <t xml:space="preserve">3. Scorer agreement on one character (yes or no for each specimen)</t>
  </si>
  <si>
    <t xml:space="preserve">Scorer A</t>
  </si>
  <si>
    <t xml:space="preserve">Scorer B</t>
  </si>
  <si>
    <t xml:space="preserve">yes</t>
  </si>
  <si>
    <t xml:space="preserve">Results</t>
  </si>
  <si>
    <t xml:space="preserve">Everything on this sheet is calculated. Change only the yellow settings.</t>
  </si>
  <si>
    <t xml:space="preserve">Accuracy by key</t>
  </si>
  <si>
    <t xml:space="preserve">Accuracy</t>
  </si>
  <si>
    <t xml:space="preserve">95% lower</t>
  </si>
  <si>
    <t xml:space="preserve">95% upper</t>
  </si>
  <si>
    <t xml:space="preserve">Do the keys differ? (chi-square on correct versus wrong)</t>
  </si>
  <si>
    <t xml:space="preserve">Tested in all</t>
  </si>
  <si>
    <t xml:space="preserve">Correct in all</t>
  </si>
  <si>
    <t xml:space="preserve">Chi-square (2 df)</t>
  </si>
  <si>
    <t xml:space="preserve">p value</t>
  </si>
  <si>
    <t xml:space="preserve">Scorer agreement (Cohen's kappa)</t>
  </si>
  <si>
    <t xml:space="preserve">Specimens scored by both</t>
  </si>
  <si>
    <t xml:space="preserve">Observed agreement</t>
  </si>
  <si>
    <t xml:space="preserve">Agreement expected by chance</t>
  </si>
  <si>
    <t xml:space="preserve">Cohen's kappa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</si>
</sst>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;\-0.000;;@"/>
    <numFmt numFmtId="166" formatCode="General"/>
    <numFmt numFmtId="167" formatCode="0"/>
    <numFmt numFmtId="168" formatCode="0.00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</row>
    <row r="6" customFormat="false" ht="15" hidden="false" customHeight="false" outlineLevel="0" collapsed="false">
      <c r="A6" s="11"/>
      <c r="B6" s="11"/>
      <c r="C6" s="11"/>
    </row>
    <row r="9" customFormat="false" ht="15" hidden="false" customHeight="false" outlineLevel="0" collapsed="false">
      <c r="A9" s="9" t="s">
        <v>22</v>
      </c>
    </row>
    <row r="10" customFormat="false" ht="31.5" hidden="false" customHeight="true" outlineLevel="0" collapsed="false">
      <c r="A10" s="10" t="s">
        <v>23</v>
      </c>
      <c r="B10" s="10" t="s">
        <v>24</v>
      </c>
      <c r="C10" s="10" t="s">
        <v>25</v>
      </c>
      <c r="D10" s="10" t="s">
        <v>26</v>
      </c>
      <c r="E10" s="10" t="s">
        <v>27</v>
      </c>
      <c r="F10" s="10" t="s">
        <v>28</v>
      </c>
    </row>
    <row r="11" customFormat="false" ht="15" hidden="false" customHeight="false" outlineLevel="0" collapsed="false">
      <c r="A11" s="12" t="s">
        <v>19</v>
      </c>
      <c r="B11" s="12" t="s">
        <v>29</v>
      </c>
      <c r="C11" s="12" t="s">
        <v>30</v>
      </c>
      <c r="D11" s="12" t="s">
        <v>30</v>
      </c>
    </row>
    <row r="12" customFormat="false" ht="15" hidden="false" customHeight="false" outlineLevel="0" collapsed="false">
      <c r="A12" s="11"/>
      <c r="B12" s="11"/>
      <c r="C12" s="11"/>
      <c r="D12" s="11"/>
      <c r="E12" s="13" t="n">
        <f aca="false">IF(AND(C12&lt;&gt;"",D12&lt;&gt;""),1,0)</f>
        <v>0</v>
      </c>
      <c r="F12" s="13" t="n">
        <f aca="false">IF(AND(C12&lt;&gt;"",D12&lt;&gt;""),IF(C12=D12,1,0),0)</f>
        <v>0</v>
      </c>
    </row>
    <row r="13" customFormat="false" ht="15" hidden="false" customHeight="false" outlineLevel="0" collapsed="false">
      <c r="A13" s="11"/>
      <c r="B13" s="11"/>
      <c r="C13" s="11"/>
      <c r="D13" s="11"/>
      <c r="E13" s="13" t="n">
        <f aca="false">IF(AND(C13&lt;&gt;"",D13&lt;&gt;""),1,0)</f>
        <v>0</v>
      </c>
      <c r="F13" s="13" t="n">
        <f aca="false">IF(AND(C13&lt;&gt;"",D13&lt;&gt;""),IF(C13=D13,1,0),0)</f>
        <v>0</v>
      </c>
    </row>
    <row r="14" customFormat="false" ht="15" hidden="false" customHeight="false" outlineLevel="0" collapsed="false">
      <c r="A14" s="11"/>
      <c r="B14" s="11"/>
      <c r="C14" s="11"/>
      <c r="D14" s="11"/>
      <c r="E14" s="13" t="n">
        <f aca="false">IF(AND(C14&lt;&gt;"",D14&lt;&gt;""),1,0)</f>
        <v>0</v>
      </c>
      <c r="F14" s="13" t="n">
        <f aca="false">IF(AND(C14&lt;&gt;"",D14&lt;&gt;""),IF(C14=D14,1,0),0)</f>
        <v>0</v>
      </c>
    </row>
    <row r="15" customFormat="false" ht="15" hidden="false" customHeight="false" outlineLevel="0" collapsed="false">
      <c r="A15" s="11"/>
      <c r="B15" s="11"/>
      <c r="C15" s="11"/>
      <c r="D15" s="11"/>
      <c r="E15" s="13" t="n">
        <f aca="false">IF(AND(C15&lt;&gt;"",D15&lt;&gt;""),1,0)</f>
        <v>0</v>
      </c>
      <c r="F15" s="13" t="n">
        <f aca="false">IF(AND(C15&lt;&gt;"",D15&lt;&gt;""),IF(C15=D15,1,0),0)</f>
        <v>0</v>
      </c>
    </row>
    <row r="16" customFormat="false" ht="15" hidden="false" customHeight="false" outlineLevel="0" collapsed="false">
      <c r="A16" s="11"/>
      <c r="B16" s="11"/>
      <c r="C16" s="11"/>
      <c r="D16" s="11"/>
      <c r="E16" s="13" t="n">
        <f aca="false">IF(AND(C16&lt;&gt;"",D16&lt;&gt;""),1,0)</f>
        <v>0</v>
      </c>
      <c r="F16" s="13" t="n">
        <f aca="false">IF(AND(C16&lt;&gt;"",D16&lt;&gt;""),IF(C16=D16,1,0),0)</f>
        <v>0</v>
      </c>
    </row>
    <row r="17" customFormat="false" ht="15" hidden="false" customHeight="false" outlineLevel="0" collapsed="false">
      <c r="A17" s="11"/>
      <c r="B17" s="11"/>
      <c r="C17" s="11"/>
      <c r="D17" s="11"/>
      <c r="E17" s="13" t="n">
        <f aca="false">IF(AND(C17&lt;&gt;"",D17&lt;&gt;""),1,0)</f>
        <v>0</v>
      </c>
      <c r="F17" s="13" t="n">
        <f aca="false">IF(AND(C17&lt;&gt;"",D17&lt;&gt;""),IF(C17=D17,1,0),0)</f>
        <v>0</v>
      </c>
    </row>
    <row r="18" customFormat="false" ht="15" hidden="false" customHeight="false" outlineLevel="0" collapsed="false">
      <c r="A18" s="11"/>
      <c r="B18" s="11"/>
      <c r="C18" s="11"/>
      <c r="D18" s="11"/>
      <c r="E18" s="13" t="n">
        <f aca="false">IF(AND(C18&lt;&gt;"",D18&lt;&gt;""),1,0)</f>
        <v>0</v>
      </c>
      <c r="F18" s="13" t="n">
        <f aca="false">IF(AND(C18&lt;&gt;"",D18&lt;&gt;""),IF(C18=D18,1,0),0)</f>
        <v>0</v>
      </c>
    </row>
    <row r="19" customFormat="false" ht="15" hidden="false" customHeight="false" outlineLevel="0" collapsed="false">
      <c r="A19" s="11"/>
      <c r="B19" s="11"/>
      <c r="C19" s="11"/>
      <c r="D19" s="11"/>
      <c r="E19" s="13" t="n">
        <f aca="false">IF(AND(C19&lt;&gt;"",D19&lt;&gt;""),1,0)</f>
        <v>0</v>
      </c>
      <c r="F19" s="13" t="n">
        <f aca="false">IF(AND(C19&lt;&gt;"",D19&lt;&gt;""),IF(C19=D19,1,0),0)</f>
        <v>0</v>
      </c>
    </row>
    <row r="20" customFormat="false" ht="15" hidden="false" customHeight="false" outlineLevel="0" collapsed="false">
      <c r="A20" s="11"/>
      <c r="B20" s="11"/>
      <c r="C20" s="11"/>
      <c r="D20" s="11"/>
      <c r="E20" s="13" t="n">
        <f aca="false">IF(AND(C20&lt;&gt;"",D20&lt;&gt;""),1,0)</f>
        <v>0</v>
      </c>
      <c r="F20" s="13" t="n">
        <f aca="false">IF(AND(C20&lt;&gt;"",D20&lt;&gt;""),IF(C20=D20,1,0),0)</f>
        <v>0</v>
      </c>
    </row>
    <row r="21" customFormat="false" ht="15" hidden="false" customHeight="false" outlineLevel="0" collapsed="false">
      <c r="A21" s="11"/>
      <c r="B21" s="11"/>
      <c r="C21" s="11"/>
      <c r="D21" s="11"/>
      <c r="E21" s="13" t="n">
        <f aca="false">IF(AND(C21&lt;&gt;"",D21&lt;&gt;""),1,0)</f>
        <v>0</v>
      </c>
      <c r="F21" s="13" t="n">
        <f aca="false">IF(AND(C21&lt;&gt;"",D21&lt;&gt;""),IF(C21=D21,1,0),0)</f>
        <v>0</v>
      </c>
    </row>
    <row r="22" customFormat="false" ht="15" hidden="false" customHeight="false" outlineLevel="0" collapsed="false">
      <c r="A22" s="11"/>
      <c r="B22" s="11"/>
      <c r="C22" s="11"/>
      <c r="D22" s="11"/>
      <c r="E22" s="13" t="n">
        <f aca="false">IF(AND(C22&lt;&gt;"",D22&lt;&gt;""),1,0)</f>
        <v>0</v>
      </c>
      <c r="F22" s="13" t="n">
        <f aca="false">IF(AND(C22&lt;&gt;"",D22&lt;&gt;""),IF(C22=D22,1,0),0)</f>
        <v>0</v>
      </c>
    </row>
    <row r="23" customFormat="false" ht="15" hidden="false" customHeight="false" outlineLevel="0" collapsed="false">
      <c r="A23" s="11"/>
      <c r="B23" s="11"/>
      <c r="C23" s="11"/>
      <c r="D23" s="11"/>
      <c r="E23" s="13" t="n">
        <f aca="false">IF(AND(C23&lt;&gt;"",D23&lt;&gt;""),1,0)</f>
        <v>0</v>
      </c>
      <c r="F23" s="13" t="n">
        <f aca="false">IF(AND(C23&lt;&gt;"",D23&lt;&gt;""),IF(C23=D23,1,0),0)</f>
        <v>0</v>
      </c>
    </row>
    <row r="24" customFormat="false" ht="15" hidden="false" customHeight="false" outlineLevel="0" collapsed="false">
      <c r="A24" s="11"/>
      <c r="B24" s="11"/>
      <c r="C24" s="11"/>
      <c r="D24" s="11"/>
      <c r="E24" s="13" t="n">
        <f aca="false">IF(AND(C24&lt;&gt;"",D24&lt;&gt;""),1,0)</f>
        <v>0</v>
      </c>
      <c r="F24" s="13" t="n">
        <f aca="false">IF(AND(C24&lt;&gt;"",D24&lt;&gt;""),IF(C24=D24,1,0),0)</f>
        <v>0</v>
      </c>
    </row>
    <row r="25" customFormat="false" ht="15" hidden="false" customHeight="false" outlineLevel="0" collapsed="false">
      <c r="A25" s="11"/>
      <c r="B25" s="11"/>
      <c r="C25" s="11"/>
      <c r="D25" s="11"/>
      <c r="E25" s="13" t="n">
        <f aca="false">IF(AND(C25&lt;&gt;"",D25&lt;&gt;""),1,0)</f>
        <v>0</v>
      </c>
      <c r="F25" s="13" t="n">
        <f aca="false">IF(AND(C25&lt;&gt;"",D25&lt;&gt;""),IF(C25=D25,1,0),0)</f>
        <v>0</v>
      </c>
    </row>
    <row r="26" customFormat="false" ht="15" hidden="false" customHeight="false" outlineLevel="0" collapsed="false">
      <c r="A26" s="11"/>
      <c r="B26" s="11"/>
      <c r="C26" s="11"/>
      <c r="D26" s="11"/>
      <c r="E26" s="13" t="n">
        <f aca="false">IF(AND(C26&lt;&gt;"",D26&lt;&gt;""),1,0)</f>
        <v>0</v>
      </c>
      <c r="F26" s="13" t="n">
        <f aca="false">IF(AND(C26&lt;&gt;"",D26&lt;&gt;""),IF(C26=D26,1,0),0)</f>
        <v>0</v>
      </c>
    </row>
    <row r="27" customFormat="false" ht="15" hidden="false" customHeight="false" outlineLevel="0" collapsed="false">
      <c r="A27" s="11"/>
      <c r="B27" s="11"/>
      <c r="C27" s="11"/>
      <c r="D27" s="11"/>
      <c r="E27" s="13" t="n">
        <f aca="false">IF(AND(C27&lt;&gt;"",D27&lt;&gt;""),1,0)</f>
        <v>0</v>
      </c>
      <c r="F27" s="13" t="n">
        <f aca="false">IF(AND(C27&lt;&gt;"",D27&lt;&gt;""),IF(C27=D27,1,0),0)</f>
        <v>0</v>
      </c>
    </row>
    <row r="28" customFormat="false" ht="15" hidden="false" customHeight="false" outlineLevel="0" collapsed="false">
      <c r="A28" s="11"/>
      <c r="B28" s="11"/>
      <c r="C28" s="11"/>
      <c r="D28" s="11"/>
      <c r="E28" s="13" t="n">
        <f aca="false">IF(AND(C28&lt;&gt;"",D28&lt;&gt;""),1,0)</f>
        <v>0</v>
      </c>
      <c r="F28" s="13" t="n">
        <f aca="false">IF(AND(C28&lt;&gt;"",D28&lt;&gt;""),IF(C28=D28,1,0),0)</f>
        <v>0</v>
      </c>
    </row>
    <row r="29" customFormat="false" ht="15" hidden="false" customHeight="false" outlineLevel="0" collapsed="false">
      <c r="A29" s="11"/>
      <c r="B29" s="11"/>
      <c r="C29" s="11"/>
      <c r="D29" s="11"/>
      <c r="E29" s="13" t="n">
        <f aca="false">IF(AND(C29&lt;&gt;"",D29&lt;&gt;""),1,0)</f>
        <v>0</v>
      </c>
      <c r="F29" s="13" t="n">
        <f aca="false">IF(AND(C29&lt;&gt;"",D29&lt;&gt;""),IF(C29=D29,1,0),0)</f>
        <v>0</v>
      </c>
    </row>
    <row r="30" customFormat="false" ht="15" hidden="false" customHeight="false" outlineLevel="0" collapsed="false">
      <c r="A30" s="11"/>
      <c r="B30" s="11"/>
      <c r="C30" s="11"/>
      <c r="D30" s="11"/>
      <c r="E30" s="13" t="n">
        <f aca="false">IF(AND(C30&lt;&gt;"",D30&lt;&gt;""),1,0)</f>
        <v>0</v>
      </c>
      <c r="F30" s="13" t="n">
        <f aca="false">IF(AND(C30&lt;&gt;"",D30&lt;&gt;""),IF(C30=D30,1,0),0)</f>
        <v>0</v>
      </c>
    </row>
    <row r="31" customFormat="false" ht="15" hidden="false" customHeight="false" outlineLevel="0" collapsed="false">
      <c r="A31" s="11"/>
      <c r="B31" s="11"/>
      <c r="C31" s="11"/>
      <c r="D31" s="11"/>
      <c r="E31" s="13" t="n">
        <f aca="false">IF(AND(C31&lt;&gt;"",D31&lt;&gt;""),1,0)</f>
        <v>0</v>
      </c>
      <c r="F31" s="13" t="n">
        <f aca="false">IF(AND(C31&lt;&gt;"",D31&lt;&gt;""),IF(C31=D31,1,0),0)</f>
        <v>0</v>
      </c>
    </row>
    <row r="32" customFormat="false" ht="15" hidden="false" customHeight="false" outlineLevel="0" collapsed="false">
      <c r="A32" s="11"/>
      <c r="B32" s="11"/>
      <c r="C32" s="11"/>
      <c r="D32" s="11"/>
      <c r="E32" s="13" t="n">
        <f aca="false">IF(AND(C32&lt;&gt;"",D32&lt;&gt;""),1,0)</f>
        <v>0</v>
      </c>
      <c r="F32" s="13" t="n">
        <f aca="false">IF(AND(C32&lt;&gt;"",D32&lt;&gt;""),IF(C32=D32,1,0),0)</f>
        <v>0</v>
      </c>
    </row>
    <row r="33" customFormat="false" ht="15" hidden="false" customHeight="false" outlineLevel="0" collapsed="false">
      <c r="A33" s="11"/>
      <c r="B33" s="11"/>
      <c r="C33" s="11"/>
      <c r="D33" s="11"/>
      <c r="E33" s="13" t="n">
        <f aca="false">IF(AND(C33&lt;&gt;"",D33&lt;&gt;""),1,0)</f>
        <v>0</v>
      </c>
      <c r="F33" s="13" t="n">
        <f aca="false">IF(AND(C33&lt;&gt;"",D33&lt;&gt;""),IF(C33=D33,1,0),0)</f>
        <v>0</v>
      </c>
    </row>
    <row r="34" customFormat="false" ht="15" hidden="false" customHeight="false" outlineLevel="0" collapsed="false">
      <c r="A34" s="11"/>
      <c r="B34" s="11"/>
      <c r="C34" s="11"/>
      <c r="D34" s="11"/>
      <c r="E34" s="13" t="n">
        <f aca="false">IF(AND(C34&lt;&gt;"",D34&lt;&gt;""),1,0)</f>
        <v>0</v>
      </c>
      <c r="F34" s="13" t="n">
        <f aca="false">IF(AND(C34&lt;&gt;"",D34&lt;&gt;""),IF(C34=D34,1,0),0)</f>
        <v>0</v>
      </c>
    </row>
    <row r="35" customFormat="false" ht="15" hidden="false" customHeight="false" outlineLevel="0" collapsed="false">
      <c r="A35" s="11"/>
      <c r="B35" s="11"/>
      <c r="C35" s="11"/>
      <c r="D35" s="11"/>
      <c r="E35" s="13" t="n">
        <f aca="false">IF(AND(C35&lt;&gt;"",D35&lt;&gt;""),1,0)</f>
        <v>0</v>
      </c>
      <c r="F35" s="13" t="n">
        <f aca="false">IF(AND(C35&lt;&gt;"",D35&lt;&gt;""),IF(C35=D35,1,0),0)</f>
        <v>0</v>
      </c>
    </row>
    <row r="36" customFormat="false" ht="15" hidden="false" customHeight="false" outlineLevel="0" collapsed="false">
      <c r="A36" s="11"/>
      <c r="B36" s="11"/>
      <c r="C36" s="11"/>
      <c r="D36" s="11"/>
      <c r="E36" s="13" t="n">
        <f aca="false">IF(AND(C36&lt;&gt;"",D36&lt;&gt;""),1,0)</f>
        <v>0</v>
      </c>
      <c r="F36" s="13" t="n">
        <f aca="false">IF(AND(C36&lt;&gt;"",D36&lt;&gt;""),IF(C36=D36,1,0),0)</f>
        <v>0</v>
      </c>
    </row>
    <row r="37" customFormat="false" ht="15" hidden="false" customHeight="false" outlineLevel="0" collapsed="false">
      <c r="A37" s="11"/>
      <c r="B37" s="11"/>
      <c r="C37" s="11"/>
      <c r="D37" s="11"/>
      <c r="E37" s="13" t="n">
        <f aca="false">IF(AND(C37&lt;&gt;"",D37&lt;&gt;""),1,0)</f>
        <v>0</v>
      </c>
      <c r="F37" s="13" t="n">
        <f aca="false">IF(AND(C37&lt;&gt;"",D37&lt;&gt;""),IF(C37=D37,1,0),0)</f>
        <v>0</v>
      </c>
    </row>
    <row r="38" customFormat="false" ht="15" hidden="false" customHeight="false" outlineLevel="0" collapsed="false">
      <c r="A38" s="11"/>
      <c r="B38" s="11"/>
      <c r="C38" s="11"/>
      <c r="D38" s="11"/>
      <c r="E38" s="13" t="n">
        <f aca="false">IF(AND(C38&lt;&gt;"",D38&lt;&gt;""),1,0)</f>
        <v>0</v>
      </c>
      <c r="F38" s="13" t="n">
        <f aca="false">IF(AND(C38&lt;&gt;"",D38&lt;&gt;""),IF(C38=D38,1,0),0)</f>
        <v>0</v>
      </c>
    </row>
    <row r="39" customFormat="false" ht="15" hidden="false" customHeight="false" outlineLevel="0" collapsed="false">
      <c r="A39" s="11"/>
      <c r="B39" s="11"/>
      <c r="C39" s="11"/>
      <c r="D39" s="11"/>
      <c r="E39" s="13" t="n">
        <f aca="false">IF(AND(C39&lt;&gt;"",D39&lt;&gt;""),1,0)</f>
        <v>0</v>
      </c>
      <c r="F39" s="13" t="n">
        <f aca="false">IF(AND(C39&lt;&gt;"",D39&lt;&gt;""),IF(C39=D39,1,0),0)</f>
        <v>0</v>
      </c>
    </row>
    <row r="40" customFormat="false" ht="15" hidden="false" customHeight="false" outlineLevel="0" collapsed="false">
      <c r="A40" s="11"/>
      <c r="B40" s="11"/>
      <c r="C40" s="11"/>
      <c r="D40" s="11"/>
      <c r="E40" s="13" t="n">
        <f aca="false">IF(AND(C40&lt;&gt;"",D40&lt;&gt;""),1,0)</f>
        <v>0</v>
      </c>
      <c r="F40" s="13" t="n">
        <f aca="false">IF(AND(C40&lt;&gt;"",D40&lt;&gt;""),IF(C40=D40,1,0),0)</f>
        <v>0</v>
      </c>
    </row>
    <row r="41" customFormat="false" ht="15" hidden="false" customHeight="false" outlineLevel="0" collapsed="false">
      <c r="A41" s="11"/>
      <c r="B41" s="11"/>
      <c r="C41" s="11"/>
      <c r="D41" s="11"/>
      <c r="E41" s="13" t="n">
        <f aca="false">IF(AND(C41&lt;&gt;"",D41&lt;&gt;""),1,0)</f>
        <v>0</v>
      </c>
      <c r="F41" s="13" t="n">
        <f aca="false">IF(AND(C41&lt;&gt;"",D41&lt;&gt;""),IF(C41=D41,1,0),0)</f>
        <v>0</v>
      </c>
    </row>
    <row r="42" customFormat="false" ht="15" hidden="false" customHeight="false" outlineLevel="0" collapsed="false">
      <c r="A42" s="11"/>
      <c r="B42" s="11"/>
      <c r="C42" s="11"/>
      <c r="D42" s="11"/>
      <c r="E42" s="13" t="n">
        <f aca="false">IF(AND(C42&lt;&gt;"",D42&lt;&gt;""),1,0)</f>
        <v>0</v>
      </c>
      <c r="F42" s="13" t="n">
        <f aca="false">IF(AND(C42&lt;&gt;"",D42&lt;&gt;""),IF(C42=D42,1,0),0)</f>
        <v>0</v>
      </c>
    </row>
    <row r="43" customFormat="false" ht="15" hidden="false" customHeight="false" outlineLevel="0" collapsed="false">
      <c r="A43" s="11"/>
      <c r="B43" s="11"/>
      <c r="C43" s="11"/>
      <c r="D43" s="11"/>
      <c r="E43" s="13" t="n">
        <f aca="false">IF(AND(C43&lt;&gt;"",D43&lt;&gt;""),1,0)</f>
        <v>0</v>
      </c>
      <c r="F43" s="13" t="n">
        <f aca="false">IF(AND(C43&lt;&gt;"",D43&lt;&gt;""),IF(C43=D43,1,0),0)</f>
        <v>0</v>
      </c>
    </row>
    <row r="44" customFormat="false" ht="15" hidden="false" customHeight="false" outlineLevel="0" collapsed="false">
      <c r="A44" s="11"/>
      <c r="B44" s="11"/>
      <c r="C44" s="11"/>
      <c r="D44" s="11"/>
      <c r="E44" s="13" t="n">
        <f aca="false">IF(AND(C44&lt;&gt;"",D44&lt;&gt;""),1,0)</f>
        <v>0</v>
      </c>
      <c r="F44" s="13" t="n">
        <f aca="false">IF(AND(C44&lt;&gt;"",D44&lt;&gt;""),IF(C44=D44,1,0),0)</f>
        <v>0</v>
      </c>
    </row>
    <row r="45" customFormat="false" ht="15" hidden="false" customHeight="false" outlineLevel="0" collapsed="false">
      <c r="A45" s="11"/>
      <c r="B45" s="11"/>
      <c r="C45" s="11"/>
      <c r="D45" s="11"/>
      <c r="E45" s="13" t="n">
        <f aca="false">IF(AND(C45&lt;&gt;"",D45&lt;&gt;""),1,0)</f>
        <v>0</v>
      </c>
      <c r="F45" s="13" t="n">
        <f aca="false">IF(AND(C45&lt;&gt;"",D45&lt;&gt;""),IF(C45=D45,1,0),0)</f>
        <v>0</v>
      </c>
    </row>
    <row r="46" customFormat="false" ht="15" hidden="false" customHeight="false" outlineLevel="0" collapsed="false">
      <c r="A46" s="11"/>
      <c r="B46" s="11"/>
      <c r="C46" s="11"/>
      <c r="D46" s="11"/>
      <c r="E46" s="13" t="n">
        <f aca="false">IF(AND(C46&lt;&gt;"",D46&lt;&gt;""),1,0)</f>
        <v>0</v>
      </c>
      <c r="F46" s="13" t="n">
        <f aca="false">IF(AND(C46&lt;&gt;"",D46&lt;&gt;""),IF(C46=D46,1,0),0)</f>
        <v>0</v>
      </c>
    </row>
    <row r="47" customFormat="false" ht="15" hidden="false" customHeight="false" outlineLevel="0" collapsed="false">
      <c r="A47" s="11"/>
      <c r="B47" s="11"/>
      <c r="C47" s="11"/>
      <c r="D47" s="11"/>
      <c r="E47" s="13" t="n">
        <f aca="false">IF(AND(C47&lt;&gt;"",D47&lt;&gt;""),1,0)</f>
        <v>0</v>
      </c>
      <c r="F47" s="13" t="n">
        <f aca="false">IF(AND(C47&lt;&gt;"",D47&lt;&gt;""),IF(C47=D47,1,0),0)</f>
        <v>0</v>
      </c>
    </row>
    <row r="48" customFormat="false" ht="15" hidden="false" customHeight="false" outlineLevel="0" collapsed="false">
      <c r="A48" s="11"/>
      <c r="B48" s="11"/>
      <c r="C48" s="11"/>
      <c r="D48" s="11"/>
      <c r="E48" s="13" t="n">
        <f aca="false">IF(AND(C48&lt;&gt;"",D48&lt;&gt;""),1,0)</f>
        <v>0</v>
      </c>
      <c r="F48" s="13" t="n">
        <f aca="false">IF(AND(C48&lt;&gt;"",D48&lt;&gt;""),IF(C48=D48,1,0),0)</f>
        <v>0</v>
      </c>
    </row>
    <row r="49" customFormat="false" ht="15" hidden="false" customHeight="false" outlineLevel="0" collapsed="false">
      <c r="A49" s="11"/>
      <c r="B49" s="11"/>
      <c r="C49" s="11"/>
      <c r="D49" s="11"/>
      <c r="E49" s="13" t="n">
        <f aca="false">IF(AND(C49&lt;&gt;"",D49&lt;&gt;""),1,0)</f>
        <v>0</v>
      </c>
      <c r="F49" s="13" t="n">
        <f aca="false">IF(AND(C49&lt;&gt;"",D49&lt;&gt;""),IF(C49=D49,1,0),0)</f>
        <v>0</v>
      </c>
    </row>
    <row r="50" customFormat="false" ht="15" hidden="false" customHeight="false" outlineLevel="0" collapsed="false">
      <c r="A50" s="11"/>
      <c r="B50" s="11"/>
      <c r="C50" s="11"/>
      <c r="D50" s="11"/>
      <c r="E50" s="13" t="n">
        <f aca="false">IF(AND(C50&lt;&gt;"",D50&lt;&gt;""),1,0)</f>
        <v>0</v>
      </c>
      <c r="F50" s="13" t="n">
        <f aca="false">IF(AND(C50&lt;&gt;"",D50&lt;&gt;""),IF(C50=D50,1,0),0)</f>
        <v>0</v>
      </c>
    </row>
    <row r="51" customFormat="false" ht="15" hidden="false" customHeight="false" outlineLevel="0" collapsed="false">
      <c r="A51" s="11"/>
      <c r="B51" s="11"/>
      <c r="C51" s="11"/>
      <c r="D51" s="11"/>
      <c r="E51" s="13" t="n">
        <f aca="false">IF(AND(C51&lt;&gt;"",D51&lt;&gt;""),1,0)</f>
        <v>0</v>
      </c>
      <c r="F51" s="13" t="n">
        <f aca="false">IF(AND(C51&lt;&gt;"",D51&lt;&gt;""),IF(C51=D51,1,0),0)</f>
        <v>0</v>
      </c>
    </row>
    <row r="52" customFormat="false" ht="15" hidden="false" customHeight="false" outlineLevel="0" collapsed="false">
      <c r="A52" s="11"/>
      <c r="B52" s="11"/>
      <c r="C52" s="11"/>
      <c r="D52" s="11"/>
      <c r="E52" s="13" t="n">
        <f aca="false">IF(AND(C52&lt;&gt;"",D52&lt;&gt;""),1,0)</f>
        <v>0</v>
      </c>
      <c r="F52" s="13" t="n">
        <f aca="false">IF(AND(C52&lt;&gt;"",D52&lt;&gt;""),IF(C52=D52,1,0),0)</f>
        <v>0</v>
      </c>
    </row>
    <row r="53" customFormat="false" ht="15" hidden="false" customHeight="false" outlineLevel="0" collapsed="false">
      <c r="A53" s="11"/>
      <c r="B53" s="11"/>
      <c r="C53" s="11"/>
      <c r="D53" s="11"/>
      <c r="E53" s="13" t="n">
        <f aca="false">IF(AND(C53&lt;&gt;"",D53&lt;&gt;""),1,0)</f>
        <v>0</v>
      </c>
      <c r="F53" s="13" t="n">
        <f aca="false">IF(AND(C53&lt;&gt;"",D53&lt;&gt;""),IF(C53=D53,1,0),0)</f>
        <v>0</v>
      </c>
    </row>
    <row r="54" customFormat="false" ht="15" hidden="false" customHeight="false" outlineLevel="0" collapsed="false">
      <c r="A54" s="11"/>
      <c r="B54" s="11"/>
      <c r="C54" s="11"/>
      <c r="D54" s="11"/>
      <c r="E54" s="13" t="n">
        <f aca="false">IF(AND(C54&lt;&gt;"",D54&lt;&gt;""),1,0)</f>
        <v>0</v>
      </c>
      <c r="F54" s="13" t="n">
        <f aca="false">IF(AND(C54&lt;&gt;"",D54&lt;&gt;""),IF(C54=D54,1,0),0)</f>
        <v>0</v>
      </c>
    </row>
    <row r="55" customFormat="false" ht="15" hidden="false" customHeight="false" outlineLevel="0" collapsed="false">
      <c r="A55" s="11"/>
      <c r="B55" s="11"/>
      <c r="C55" s="11"/>
      <c r="D55" s="11"/>
      <c r="E55" s="13" t="n">
        <f aca="false">IF(AND(C55&lt;&gt;"",D55&lt;&gt;""),1,0)</f>
        <v>0</v>
      </c>
      <c r="F55" s="13" t="n">
        <f aca="false">IF(AND(C55&lt;&gt;"",D55&lt;&gt;""),IF(C55=D55,1,0),0)</f>
        <v>0</v>
      </c>
    </row>
    <row r="56" customFormat="false" ht="15" hidden="false" customHeight="false" outlineLevel="0" collapsed="false">
      <c r="A56" s="11"/>
      <c r="B56" s="11"/>
      <c r="C56" s="11"/>
      <c r="D56" s="11"/>
      <c r="E56" s="13" t="n">
        <f aca="false">IF(AND(C56&lt;&gt;"",D56&lt;&gt;""),1,0)</f>
        <v>0</v>
      </c>
      <c r="F56" s="13" t="n">
        <f aca="false">IF(AND(C56&lt;&gt;"",D56&lt;&gt;""),IF(C56=D56,1,0),0)</f>
        <v>0</v>
      </c>
    </row>
    <row r="57" customFormat="false" ht="15" hidden="false" customHeight="false" outlineLevel="0" collapsed="false">
      <c r="A57" s="11"/>
      <c r="B57" s="11"/>
      <c r="C57" s="11"/>
      <c r="D57" s="11"/>
      <c r="E57" s="13" t="n">
        <f aca="false">IF(AND(C57&lt;&gt;"",D57&lt;&gt;""),1,0)</f>
        <v>0</v>
      </c>
      <c r="F57" s="13" t="n">
        <f aca="false">IF(AND(C57&lt;&gt;"",D57&lt;&gt;""),IF(C57=D57,1,0),0)</f>
        <v>0</v>
      </c>
    </row>
    <row r="58" customFormat="false" ht="15" hidden="false" customHeight="false" outlineLevel="0" collapsed="false">
      <c r="A58" s="11"/>
      <c r="B58" s="11"/>
      <c r="C58" s="11"/>
      <c r="D58" s="11"/>
      <c r="E58" s="13" t="n">
        <f aca="false">IF(AND(C58&lt;&gt;"",D58&lt;&gt;""),1,0)</f>
        <v>0</v>
      </c>
      <c r="F58" s="13" t="n">
        <f aca="false">IF(AND(C58&lt;&gt;"",D58&lt;&gt;""),IF(C58=D58,1,0),0)</f>
        <v>0</v>
      </c>
    </row>
    <row r="59" customFormat="false" ht="15" hidden="false" customHeight="false" outlineLevel="0" collapsed="false">
      <c r="A59" s="11"/>
      <c r="B59" s="11"/>
      <c r="C59" s="11"/>
      <c r="D59" s="11"/>
      <c r="E59" s="13" t="n">
        <f aca="false">IF(AND(C59&lt;&gt;"",D59&lt;&gt;""),1,0)</f>
        <v>0</v>
      </c>
      <c r="F59" s="13" t="n">
        <f aca="false">IF(AND(C59&lt;&gt;"",D59&lt;&gt;""),IF(C59=D59,1,0),0)</f>
        <v>0</v>
      </c>
    </row>
    <row r="60" customFormat="false" ht="15" hidden="false" customHeight="false" outlineLevel="0" collapsed="false">
      <c r="A60" s="11"/>
      <c r="B60" s="11"/>
      <c r="C60" s="11"/>
      <c r="D60" s="11"/>
      <c r="E60" s="13" t="n">
        <f aca="false">IF(AND(C60&lt;&gt;"",D60&lt;&gt;""),1,0)</f>
        <v>0</v>
      </c>
      <c r="F60" s="13" t="n">
        <f aca="false">IF(AND(C60&lt;&gt;"",D60&lt;&gt;""),IF(C60=D60,1,0),0)</f>
        <v>0</v>
      </c>
    </row>
    <row r="61" customFormat="false" ht="15" hidden="false" customHeight="false" outlineLevel="0" collapsed="false">
      <c r="A61" s="11"/>
      <c r="B61" s="11"/>
      <c r="C61" s="11"/>
      <c r="D61" s="11"/>
      <c r="E61" s="13" t="n">
        <f aca="false">IF(AND(C61&lt;&gt;"",D61&lt;&gt;""),1,0)</f>
        <v>0</v>
      </c>
      <c r="F61" s="13" t="n">
        <f aca="false">IF(AND(C61&lt;&gt;"",D61&lt;&gt;""),IF(C61=D61,1,0),0)</f>
        <v>0</v>
      </c>
    </row>
    <row r="62" customFormat="false" ht="15" hidden="false" customHeight="false" outlineLevel="0" collapsed="false">
      <c r="A62" s="11"/>
      <c r="B62" s="11"/>
      <c r="C62" s="11"/>
      <c r="D62" s="11"/>
      <c r="E62" s="13" t="n">
        <f aca="false">IF(AND(C62&lt;&gt;"",D62&lt;&gt;""),1,0)</f>
        <v>0</v>
      </c>
      <c r="F62" s="13" t="n">
        <f aca="false">IF(AND(C62&lt;&gt;"",D62&lt;&gt;""),IF(C62=D62,1,0),0)</f>
        <v>0</v>
      </c>
    </row>
    <row r="63" customFormat="false" ht="15" hidden="false" customHeight="false" outlineLevel="0" collapsed="false">
      <c r="A63" s="11"/>
      <c r="B63" s="11"/>
      <c r="C63" s="11"/>
      <c r="D63" s="11"/>
      <c r="E63" s="13" t="n">
        <f aca="false">IF(AND(C63&lt;&gt;"",D63&lt;&gt;""),1,0)</f>
        <v>0</v>
      </c>
      <c r="F63" s="13" t="n">
        <f aca="false">IF(AND(C63&lt;&gt;"",D63&lt;&gt;""),IF(C63=D63,1,0),0)</f>
        <v>0</v>
      </c>
    </row>
    <row r="64" customFormat="false" ht="15" hidden="false" customHeight="false" outlineLevel="0" collapsed="false">
      <c r="A64" s="11"/>
      <c r="B64" s="11"/>
      <c r="C64" s="11"/>
      <c r="D64" s="11"/>
      <c r="E64" s="13" t="n">
        <f aca="false">IF(AND(C64&lt;&gt;"",D64&lt;&gt;""),1,0)</f>
        <v>0</v>
      </c>
      <c r="F64" s="13" t="n">
        <f aca="false">IF(AND(C64&lt;&gt;"",D64&lt;&gt;""),IF(C64=D64,1,0),0)</f>
        <v>0</v>
      </c>
    </row>
    <row r="65" customFormat="false" ht="15" hidden="false" customHeight="false" outlineLevel="0" collapsed="false">
      <c r="A65" s="11"/>
      <c r="B65" s="11"/>
      <c r="C65" s="11"/>
      <c r="D65" s="11"/>
      <c r="E65" s="13" t="n">
        <f aca="false">IF(AND(C65&lt;&gt;"",D65&lt;&gt;""),1,0)</f>
        <v>0</v>
      </c>
      <c r="F65" s="13" t="n">
        <f aca="false">IF(AND(C65&lt;&gt;"",D65&lt;&gt;""),IF(C65=D65,1,0),0)</f>
        <v>0</v>
      </c>
    </row>
    <row r="66" customFormat="false" ht="15" hidden="false" customHeight="false" outlineLevel="0" collapsed="false">
      <c r="A66" s="11"/>
      <c r="B66" s="11"/>
      <c r="C66" s="11"/>
      <c r="D66" s="11"/>
      <c r="E66" s="13" t="n">
        <f aca="false">IF(AND(C66&lt;&gt;"",D66&lt;&gt;""),1,0)</f>
        <v>0</v>
      </c>
      <c r="F66" s="13" t="n">
        <f aca="false">IF(AND(C66&lt;&gt;"",D66&lt;&gt;""),IF(C66=D66,1,0),0)</f>
        <v>0</v>
      </c>
    </row>
    <row r="67" customFormat="false" ht="15" hidden="false" customHeight="false" outlineLevel="0" collapsed="false">
      <c r="A67" s="11"/>
      <c r="B67" s="11"/>
      <c r="C67" s="11"/>
      <c r="D67" s="11"/>
      <c r="E67" s="13" t="n">
        <f aca="false">IF(AND(C67&lt;&gt;"",D67&lt;&gt;""),1,0)</f>
        <v>0</v>
      </c>
      <c r="F67" s="13" t="n">
        <f aca="false">IF(AND(C67&lt;&gt;"",D67&lt;&gt;""),IF(C67=D67,1,0),0)</f>
        <v>0</v>
      </c>
    </row>
    <row r="68" customFormat="false" ht="15" hidden="false" customHeight="false" outlineLevel="0" collapsed="false">
      <c r="A68" s="11"/>
      <c r="B68" s="11"/>
      <c r="C68" s="11"/>
      <c r="D68" s="11"/>
      <c r="E68" s="13" t="n">
        <f aca="false">IF(AND(C68&lt;&gt;"",D68&lt;&gt;""),1,0)</f>
        <v>0</v>
      </c>
      <c r="F68" s="13" t="n">
        <f aca="false">IF(AND(C68&lt;&gt;"",D68&lt;&gt;""),IF(C68=D68,1,0),0)</f>
        <v>0</v>
      </c>
    </row>
    <row r="69" customFormat="false" ht="15" hidden="false" customHeight="false" outlineLevel="0" collapsed="false">
      <c r="A69" s="11"/>
      <c r="B69" s="11"/>
      <c r="C69" s="11"/>
      <c r="D69" s="11"/>
      <c r="E69" s="13" t="n">
        <f aca="false">IF(AND(C69&lt;&gt;"",D69&lt;&gt;""),1,0)</f>
        <v>0</v>
      </c>
      <c r="F69" s="13" t="n">
        <f aca="false">IF(AND(C69&lt;&gt;"",D69&lt;&gt;""),IF(C69=D69,1,0),0)</f>
        <v>0</v>
      </c>
    </row>
    <row r="70" customFormat="false" ht="15" hidden="false" customHeight="false" outlineLevel="0" collapsed="false">
      <c r="A70" s="11"/>
      <c r="B70" s="11"/>
      <c r="C70" s="11"/>
      <c r="D70" s="11"/>
      <c r="E70" s="13" t="n">
        <f aca="false">IF(AND(C70&lt;&gt;"",D70&lt;&gt;""),1,0)</f>
        <v>0</v>
      </c>
      <c r="F70" s="13" t="n">
        <f aca="false">IF(AND(C70&lt;&gt;"",D70&lt;&gt;""),IF(C70=D70,1,0),0)</f>
        <v>0</v>
      </c>
    </row>
    <row r="71" customFormat="false" ht="15" hidden="false" customHeight="false" outlineLevel="0" collapsed="false">
      <c r="A71" s="11"/>
      <c r="B71" s="11"/>
      <c r="C71" s="11"/>
      <c r="D71" s="11"/>
      <c r="E71" s="13" t="n">
        <f aca="false">IF(AND(C71&lt;&gt;"",D71&lt;&gt;""),1,0)</f>
        <v>0</v>
      </c>
      <c r="F71" s="13" t="n">
        <f aca="false">IF(AND(C71&lt;&gt;"",D71&lt;&gt;""),IF(C71=D71,1,0),0)</f>
        <v>0</v>
      </c>
    </row>
    <row r="72" customFormat="false" ht="15" hidden="false" customHeight="false" outlineLevel="0" collapsed="false">
      <c r="A72" s="11"/>
      <c r="B72" s="11"/>
      <c r="C72" s="11"/>
      <c r="D72" s="11"/>
      <c r="E72" s="13" t="n">
        <f aca="false">IF(AND(C72&lt;&gt;"",D72&lt;&gt;""),1,0)</f>
        <v>0</v>
      </c>
      <c r="F72" s="13" t="n">
        <f aca="false">IF(AND(C72&lt;&gt;"",D72&lt;&gt;""),IF(C72=D72,1,0),0)</f>
        <v>0</v>
      </c>
    </row>
    <row r="73" customFormat="false" ht="15" hidden="false" customHeight="false" outlineLevel="0" collapsed="false">
      <c r="A73" s="11"/>
      <c r="B73" s="11"/>
      <c r="C73" s="11"/>
      <c r="D73" s="11"/>
      <c r="E73" s="13" t="n">
        <f aca="false">IF(AND(C73&lt;&gt;"",D73&lt;&gt;""),1,0)</f>
        <v>0</v>
      </c>
      <c r="F73" s="13" t="n">
        <f aca="false">IF(AND(C73&lt;&gt;"",D73&lt;&gt;""),IF(C73=D73,1,0),0)</f>
        <v>0</v>
      </c>
    </row>
    <row r="74" customFormat="false" ht="15" hidden="false" customHeight="false" outlineLevel="0" collapsed="false">
      <c r="A74" s="11"/>
      <c r="B74" s="11"/>
      <c r="C74" s="11"/>
      <c r="D74" s="11"/>
      <c r="E74" s="13" t="n">
        <f aca="false">IF(AND(C74&lt;&gt;"",D74&lt;&gt;""),1,0)</f>
        <v>0</v>
      </c>
      <c r="F74" s="13" t="n">
        <f aca="false">IF(AND(C74&lt;&gt;"",D74&lt;&gt;""),IF(C74=D74,1,0),0)</f>
        <v>0</v>
      </c>
    </row>
    <row r="75" customFormat="false" ht="15" hidden="false" customHeight="false" outlineLevel="0" collapsed="false">
      <c r="A75" s="11"/>
      <c r="B75" s="11"/>
      <c r="C75" s="11"/>
      <c r="D75" s="11"/>
      <c r="E75" s="13" t="n">
        <f aca="false">IF(AND(C75&lt;&gt;"",D75&lt;&gt;""),1,0)</f>
        <v>0</v>
      </c>
      <c r="F75" s="13" t="n">
        <f aca="false">IF(AND(C75&lt;&gt;"",D75&lt;&gt;""),IF(C75=D75,1,0),0)</f>
        <v>0</v>
      </c>
    </row>
    <row r="76" customFormat="false" ht="15" hidden="false" customHeight="false" outlineLevel="0" collapsed="false">
      <c r="A76" s="11"/>
      <c r="B76" s="11"/>
      <c r="C76" s="11"/>
      <c r="D76" s="11"/>
      <c r="E76" s="13" t="n">
        <f aca="false">IF(AND(C76&lt;&gt;"",D76&lt;&gt;""),1,0)</f>
        <v>0</v>
      </c>
      <c r="F76" s="13" t="n">
        <f aca="false">IF(AND(C76&lt;&gt;"",D76&lt;&gt;""),IF(C76=D76,1,0),0)</f>
        <v>0</v>
      </c>
    </row>
    <row r="77" customFormat="false" ht="15" hidden="false" customHeight="false" outlineLevel="0" collapsed="false">
      <c r="A77" s="11"/>
      <c r="B77" s="11"/>
      <c r="C77" s="11"/>
      <c r="D77" s="11"/>
      <c r="E77" s="13" t="n">
        <f aca="false">IF(AND(C77&lt;&gt;"",D77&lt;&gt;""),1,0)</f>
        <v>0</v>
      </c>
      <c r="F77" s="13" t="n">
        <f aca="false">IF(AND(C77&lt;&gt;"",D77&lt;&gt;""),IF(C77=D77,1,0),0)</f>
        <v>0</v>
      </c>
    </row>
    <row r="78" customFormat="false" ht="15" hidden="false" customHeight="false" outlineLevel="0" collapsed="false">
      <c r="A78" s="11"/>
      <c r="B78" s="11"/>
      <c r="C78" s="11"/>
      <c r="D78" s="11"/>
      <c r="E78" s="13" t="n">
        <f aca="false">IF(AND(C78&lt;&gt;"",D78&lt;&gt;""),1,0)</f>
        <v>0</v>
      </c>
      <c r="F78" s="13" t="n">
        <f aca="false">IF(AND(C78&lt;&gt;"",D78&lt;&gt;""),IF(C78=D78,1,0),0)</f>
        <v>0</v>
      </c>
    </row>
    <row r="79" customFormat="false" ht="15" hidden="false" customHeight="false" outlineLevel="0" collapsed="false">
      <c r="A79" s="11"/>
      <c r="B79" s="11"/>
      <c r="C79" s="11"/>
      <c r="D79" s="11"/>
      <c r="E79" s="13" t="n">
        <f aca="false">IF(AND(C79&lt;&gt;"",D79&lt;&gt;""),1,0)</f>
        <v>0</v>
      </c>
      <c r="F79" s="13" t="n">
        <f aca="false">IF(AND(C79&lt;&gt;"",D79&lt;&gt;""),IF(C79=D79,1,0),0)</f>
        <v>0</v>
      </c>
    </row>
    <row r="80" customFormat="false" ht="15" hidden="false" customHeight="false" outlineLevel="0" collapsed="false">
      <c r="A80" s="11"/>
      <c r="B80" s="11"/>
      <c r="C80" s="11"/>
      <c r="D80" s="11"/>
      <c r="E80" s="13" t="n">
        <f aca="false">IF(AND(C80&lt;&gt;"",D80&lt;&gt;""),1,0)</f>
        <v>0</v>
      </c>
      <c r="F80" s="13" t="n">
        <f aca="false">IF(AND(C80&lt;&gt;"",D80&lt;&gt;""),IF(C80=D80,1,0),0)</f>
        <v>0</v>
      </c>
    </row>
    <row r="81" customFormat="false" ht="15" hidden="false" customHeight="false" outlineLevel="0" collapsed="false">
      <c r="A81" s="11"/>
      <c r="B81" s="11"/>
      <c r="C81" s="11"/>
      <c r="D81" s="11"/>
      <c r="E81" s="13" t="n">
        <f aca="false">IF(AND(C81&lt;&gt;"",D81&lt;&gt;""),1,0)</f>
        <v>0</v>
      </c>
      <c r="F81" s="13" t="n">
        <f aca="false">IF(AND(C81&lt;&gt;"",D81&lt;&gt;""),IF(C81=D81,1,0),0)</f>
        <v>0</v>
      </c>
    </row>
    <row r="82" customFormat="false" ht="15" hidden="false" customHeight="false" outlineLevel="0" collapsed="false">
      <c r="A82" s="11"/>
      <c r="B82" s="11"/>
      <c r="C82" s="11"/>
      <c r="D82" s="11"/>
      <c r="E82" s="13" t="n">
        <f aca="false">IF(AND(C82&lt;&gt;"",D82&lt;&gt;""),1,0)</f>
        <v>0</v>
      </c>
      <c r="F82" s="13" t="n">
        <f aca="false">IF(AND(C82&lt;&gt;"",D82&lt;&gt;""),IF(C82=D82,1,0),0)</f>
        <v>0</v>
      </c>
    </row>
    <row r="83" customFormat="false" ht="15" hidden="false" customHeight="false" outlineLevel="0" collapsed="false">
      <c r="A83" s="11"/>
      <c r="B83" s="11"/>
      <c r="C83" s="11"/>
      <c r="D83" s="11"/>
      <c r="E83" s="13" t="n">
        <f aca="false">IF(AND(C83&lt;&gt;"",D83&lt;&gt;""),1,0)</f>
        <v>0</v>
      </c>
      <c r="F83" s="13" t="n">
        <f aca="false">IF(AND(C83&lt;&gt;"",D83&lt;&gt;""),IF(C83=D83,1,0),0)</f>
        <v>0</v>
      </c>
    </row>
    <row r="84" customFormat="false" ht="15" hidden="false" customHeight="false" outlineLevel="0" collapsed="false">
      <c r="A84" s="11"/>
      <c r="B84" s="11"/>
      <c r="C84" s="11"/>
      <c r="D84" s="11"/>
      <c r="E84" s="13" t="n">
        <f aca="false">IF(AND(C84&lt;&gt;"",D84&lt;&gt;""),1,0)</f>
        <v>0</v>
      </c>
      <c r="F84" s="13" t="n">
        <f aca="false">IF(AND(C84&lt;&gt;"",D84&lt;&gt;""),IF(C84=D84,1,0),0)</f>
        <v>0</v>
      </c>
    </row>
    <row r="85" customFormat="false" ht="15" hidden="false" customHeight="false" outlineLevel="0" collapsed="false">
      <c r="A85" s="11"/>
      <c r="B85" s="11"/>
      <c r="C85" s="11"/>
      <c r="D85" s="11"/>
      <c r="E85" s="13" t="n">
        <f aca="false">IF(AND(C85&lt;&gt;"",D85&lt;&gt;""),1,0)</f>
        <v>0</v>
      </c>
      <c r="F85" s="13" t="n">
        <f aca="false">IF(AND(C85&lt;&gt;"",D85&lt;&gt;""),IF(C85=D85,1,0),0)</f>
        <v>0</v>
      </c>
    </row>
    <row r="86" customFormat="false" ht="15" hidden="false" customHeight="false" outlineLevel="0" collapsed="false">
      <c r="A86" s="11"/>
      <c r="B86" s="11"/>
      <c r="C86" s="11"/>
      <c r="D86" s="11"/>
      <c r="E86" s="13" t="n">
        <f aca="false">IF(AND(C86&lt;&gt;"",D86&lt;&gt;""),1,0)</f>
        <v>0</v>
      </c>
      <c r="F86" s="13" t="n">
        <f aca="false">IF(AND(C86&lt;&gt;"",D86&lt;&gt;""),IF(C86=D86,1,0),0)</f>
        <v>0</v>
      </c>
    </row>
    <row r="87" customFormat="false" ht="15" hidden="false" customHeight="false" outlineLevel="0" collapsed="false">
      <c r="A87" s="11"/>
      <c r="B87" s="11"/>
      <c r="C87" s="11"/>
      <c r="D87" s="11"/>
      <c r="E87" s="13" t="n">
        <f aca="false">IF(AND(C87&lt;&gt;"",D87&lt;&gt;""),1,0)</f>
        <v>0</v>
      </c>
      <c r="F87" s="13" t="n">
        <f aca="false">IF(AND(C87&lt;&gt;"",D87&lt;&gt;""),IF(C87=D87,1,0),0)</f>
        <v>0</v>
      </c>
    </row>
    <row r="88" customFormat="false" ht="15" hidden="false" customHeight="false" outlineLevel="0" collapsed="false">
      <c r="A88" s="11"/>
      <c r="B88" s="11"/>
      <c r="C88" s="11"/>
      <c r="D88" s="11"/>
      <c r="E88" s="13" t="n">
        <f aca="false">IF(AND(C88&lt;&gt;"",D88&lt;&gt;""),1,0)</f>
        <v>0</v>
      </c>
      <c r="F88" s="13" t="n">
        <f aca="false">IF(AND(C88&lt;&gt;"",D88&lt;&gt;""),IF(C88=D88,1,0),0)</f>
        <v>0</v>
      </c>
    </row>
    <row r="89" customFormat="false" ht="15" hidden="false" customHeight="false" outlineLevel="0" collapsed="false">
      <c r="A89" s="11"/>
      <c r="B89" s="11"/>
      <c r="C89" s="11"/>
      <c r="D89" s="11"/>
      <c r="E89" s="13" t="n">
        <f aca="false">IF(AND(C89&lt;&gt;"",D89&lt;&gt;""),1,0)</f>
        <v>0</v>
      </c>
      <c r="F89" s="13" t="n">
        <f aca="false">IF(AND(C89&lt;&gt;"",D89&lt;&gt;""),IF(C89=D89,1,0),0)</f>
        <v>0</v>
      </c>
    </row>
    <row r="90" customFormat="false" ht="15" hidden="false" customHeight="false" outlineLevel="0" collapsed="false">
      <c r="A90" s="11"/>
      <c r="B90" s="11"/>
      <c r="C90" s="11"/>
      <c r="D90" s="11"/>
      <c r="E90" s="13" t="n">
        <f aca="false">IF(AND(C90&lt;&gt;"",D90&lt;&gt;""),1,0)</f>
        <v>0</v>
      </c>
      <c r="F90" s="13" t="n">
        <f aca="false">IF(AND(C90&lt;&gt;"",D90&lt;&gt;""),IF(C90=D90,1,0),0)</f>
        <v>0</v>
      </c>
    </row>
    <row r="91" customFormat="false" ht="15" hidden="false" customHeight="false" outlineLevel="0" collapsed="false">
      <c r="A91" s="11"/>
      <c r="B91" s="11"/>
      <c r="C91" s="11"/>
      <c r="D91" s="11"/>
      <c r="E91" s="13" t="n">
        <f aca="false">IF(AND(C91&lt;&gt;"",D91&lt;&gt;""),1,0)</f>
        <v>0</v>
      </c>
      <c r="F91" s="13" t="n">
        <f aca="false">IF(AND(C91&lt;&gt;"",D91&lt;&gt;""),IF(C91=D91,1,0),0)</f>
        <v>0</v>
      </c>
    </row>
    <row r="92" customFormat="false" ht="15" hidden="false" customHeight="false" outlineLevel="0" collapsed="false">
      <c r="A92" s="11"/>
      <c r="B92" s="11"/>
      <c r="C92" s="11"/>
      <c r="D92" s="11"/>
      <c r="E92" s="13" t="n">
        <f aca="false">IF(AND(C92&lt;&gt;"",D92&lt;&gt;""),1,0)</f>
        <v>0</v>
      </c>
      <c r="F92" s="13" t="n">
        <f aca="false">IF(AND(C92&lt;&gt;"",D92&lt;&gt;""),IF(C92=D92,1,0),0)</f>
        <v>0</v>
      </c>
    </row>
    <row r="93" customFormat="false" ht="15" hidden="false" customHeight="false" outlineLevel="0" collapsed="false">
      <c r="A93" s="11"/>
      <c r="B93" s="11"/>
      <c r="C93" s="11"/>
      <c r="D93" s="11"/>
      <c r="E93" s="13" t="n">
        <f aca="false">IF(AND(C93&lt;&gt;"",D93&lt;&gt;""),1,0)</f>
        <v>0</v>
      </c>
      <c r="F93" s="13" t="n">
        <f aca="false">IF(AND(C93&lt;&gt;"",D93&lt;&gt;""),IF(C93=D93,1,0),0)</f>
        <v>0</v>
      </c>
    </row>
    <row r="94" customFormat="false" ht="15" hidden="false" customHeight="false" outlineLevel="0" collapsed="false">
      <c r="A94" s="11"/>
      <c r="B94" s="11"/>
      <c r="C94" s="11"/>
      <c r="D94" s="11"/>
      <c r="E94" s="13" t="n">
        <f aca="false">IF(AND(C94&lt;&gt;"",D94&lt;&gt;""),1,0)</f>
        <v>0</v>
      </c>
      <c r="F94" s="13" t="n">
        <f aca="false">IF(AND(C94&lt;&gt;"",D94&lt;&gt;""),IF(C94=D94,1,0),0)</f>
        <v>0</v>
      </c>
    </row>
    <row r="95" customFormat="false" ht="15" hidden="false" customHeight="false" outlineLevel="0" collapsed="false">
      <c r="A95" s="11"/>
      <c r="B95" s="11"/>
      <c r="C95" s="11"/>
      <c r="D95" s="11"/>
      <c r="E95" s="13" t="n">
        <f aca="false">IF(AND(C95&lt;&gt;"",D95&lt;&gt;""),1,0)</f>
        <v>0</v>
      </c>
      <c r="F95" s="13" t="n">
        <f aca="false">IF(AND(C95&lt;&gt;"",D95&lt;&gt;""),IF(C95=D95,1,0),0)</f>
        <v>0</v>
      </c>
    </row>
    <row r="96" customFormat="false" ht="15" hidden="false" customHeight="false" outlineLevel="0" collapsed="false">
      <c r="A96" s="11"/>
      <c r="B96" s="11"/>
      <c r="C96" s="11"/>
      <c r="D96" s="11"/>
      <c r="E96" s="13" t="n">
        <f aca="false">IF(AND(C96&lt;&gt;"",D96&lt;&gt;""),1,0)</f>
        <v>0</v>
      </c>
      <c r="F96" s="13" t="n">
        <f aca="false">IF(AND(C96&lt;&gt;"",D96&lt;&gt;""),IF(C96=D96,1,0),0)</f>
        <v>0</v>
      </c>
    </row>
    <row r="97" customFormat="false" ht="15" hidden="false" customHeight="false" outlineLevel="0" collapsed="false">
      <c r="A97" s="11"/>
      <c r="B97" s="11"/>
      <c r="C97" s="11"/>
      <c r="D97" s="11"/>
      <c r="E97" s="13" t="n">
        <f aca="false">IF(AND(C97&lt;&gt;"",D97&lt;&gt;""),1,0)</f>
        <v>0</v>
      </c>
      <c r="F97" s="13" t="n">
        <f aca="false">IF(AND(C97&lt;&gt;"",D97&lt;&gt;""),IF(C97=D97,1,0),0)</f>
        <v>0</v>
      </c>
    </row>
    <row r="98" customFormat="false" ht="15" hidden="false" customHeight="false" outlineLevel="0" collapsed="false">
      <c r="A98" s="11"/>
      <c r="B98" s="11"/>
      <c r="C98" s="11"/>
      <c r="D98" s="11"/>
      <c r="E98" s="13" t="n">
        <f aca="false">IF(AND(C98&lt;&gt;"",D98&lt;&gt;""),1,0)</f>
        <v>0</v>
      </c>
      <c r="F98" s="13" t="n">
        <f aca="false">IF(AND(C98&lt;&gt;"",D98&lt;&gt;""),IF(C98=D98,1,0),0)</f>
        <v>0</v>
      </c>
    </row>
    <row r="99" customFormat="false" ht="15" hidden="false" customHeight="false" outlineLevel="0" collapsed="false">
      <c r="A99" s="11"/>
      <c r="B99" s="11"/>
      <c r="C99" s="11"/>
      <c r="D99" s="11"/>
      <c r="E99" s="13" t="n">
        <f aca="false">IF(AND(C99&lt;&gt;"",D99&lt;&gt;""),1,0)</f>
        <v>0</v>
      </c>
      <c r="F99" s="13" t="n">
        <f aca="false">IF(AND(C99&lt;&gt;"",D99&lt;&gt;""),IF(C99=D99,1,0),0)</f>
        <v>0</v>
      </c>
    </row>
    <row r="100" customFormat="false" ht="15" hidden="false" customHeight="false" outlineLevel="0" collapsed="false">
      <c r="A100" s="11"/>
      <c r="B100" s="11"/>
      <c r="C100" s="11"/>
      <c r="D100" s="11"/>
      <c r="E100" s="13" t="n">
        <f aca="false">IF(AND(C100&lt;&gt;"",D100&lt;&gt;""),1,0)</f>
        <v>0</v>
      </c>
      <c r="F100" s="13" t="n">
        <f aca="false">IF(AND(C100&lt;&gt;"",D100&lt;&gt;""),IF(C100=D100,1,0),0)</f>
        <v>0</v>
      </c>
    </row>
    <row r="101" customFormat="false" ht="15" hidden="false" customHeight="false" outlineLevel="0" collapsed="false">
      <c r="A101" s="11"/>
      <c r="B101" s="11"/>
      <c r="C101" s="11"/>
      <c r="D101" s="11"/>
      <c r="E101" s="13" t="n">
        <f aca="false">IF(AND(C101&lt;&gt;"",D101&lt;&gt;""),1,0)</f>
        <v>0</v>
      </c>
      <c r="F101" s="13" t="n">
        <f aca="false">IF(AND(C101&lt;&gt;"",D101&lt;&gt;""),IF(C101=D101,1,0),0)</f>
        <v>0</v>
      </c>
    </row>
    <row r="102" customFormat="false" ht="15" hidden="false" customHeight="false" outlineLevel="0" collapsed="false">
      <c r="A102" s="11"/>
      <c r="B102" s="11"/>
      <c r="C102" s="11"/>
      <c r="D102" s="11"/>
      <c r="E102" s="13" t="n">
        <f aca="false">IF(AND(C102&lt;&gt;"",D102&lt;&gt;""),1,0)</f>
        <v>0</v>
      </c>
      <c r="F102" s="13" t="n">
        <f aca="false">IF(AND(C102&lt;&gt;"",D102&lt;&gt;""),IF(C102=D102,1,0),0)</f>
        <v>0</v>
      </c>
    </row>
    <row r="103" customFormat="false" ht="15" hidden="false" customHeight="false" outlineLevel="0" collapsed="false">
      <c r="A103" s="11"/>
      <c r="B103" s="11"/>
      <c r="C103" s="11"/>
      <c r="D103" s="11"/>
      <c r="E103" s="13" t="n">
        <f aca="false">IF(AND(C103&lt;&gt;"",D103&lt;&gt;""),1,0)</f>
        <v>0</v>
      </c>
      <c r="F103" s="13" t="n">
        <f aca="false">IF(AND(C103&lt;&gt;"",D103&lt;&gt;""),IF(C103=D103,1,0),0)</f>
        <v>0</v>
      </c>
    </row>
    <row r="104" customFormat="false" ht="15" hidden="false" customHeight="false" outlineLevel="0" collapsed="false">
      <c r="A104" s="11"/>
      <c r="B104" s="11"/>
      <c r="C104" s="11"/>
      <c r="D104" s="11"/>
      <c r="E104" s="13" t="n">
        <f aca="false">IF(AND(C104&lt;&gt;"",D104&lt;&gt;""),1,0)</f>
        <v>0</v>
      </c>
      <c r="F104" s="13" t="n">
        <f aca="false">IF(AND(C104&lt;&gt;"",D104&lt;&gt;""),IF(C104=D104,1,0),0)</f>
        <v>0</v>
      </c>
    </row>
    <row r="105" customFormat="false" ht="15" hidden="false" customHeight="false" outlineLevel="0" collapsed="false">
      <c r="A105" s="11"/>
      <c r="B105" s="11"/>
      <c r="C105" s="11"/>
      <c r="D105" s="11"/>
      <c r="E105" s="13" t="n">
        <f aca="false">IF(AND(C105&lt;&gt;"",D105&lt;&gt;""),1,0)</f>
        <v>0</v>
      </c>
      <c r="F105" s="13" t="n">
        <f aca="false">IF(AND(C105&lt;&gt;"",D105&lt;&gt;""),IF(C105=D105,1,0),0)</f>
        <v>0</v>
      </c>
    </row>
    <row r="106" customFormat="false" ht="15" hidden="false" customHeight="false" outlineLevel="0" collapsed="false">
      <c r="A106" s="11"/>
      <c r="B106" s="11"/>
      <c r="C106" s="11"/>
      <c r="D106" s="11"/>
      <c r="E106" s="13" t="n">
        <f aca="false">IF(AND(C106&lt;&gt;"",D106&lt;&gt;""),1,0)</f>
        <v>0</v>
      </c>
      <c r="F106" s="13" t="n">
        <f aca="false">IF(AND(C106&lt;&gt;"",D106&lt;&gt;""),IF(C106=D106,1,0),0)</f>
        <v>0</v>
      </c>
    </row>
    <row r="107" customFormat="false" ht="15" hidden="false" customHeight="false" outlineLevel="0" collapsed="false">
      <c r="A107" s="11"/>
      <c r="B107" s="11"/>
      <c r="C107" s="11"/>
      <c r="D107" s="11"/>
      <c r="E107" s="13" t="n">
        <f aca="false">IF(AND(C107&lt;&gt;"",D107&lt;&gt;""),1,0)</f>
        <v>0</v>
      </c>
      <c r="F107" s="13" t="n">
        <f aca="false">IF(AND(C107&lt;&gt;"",D107&lt;&gt;""),IF(C107=D107,1,0),0)</f>
        <v>0</v>
      </c>
    </row>
    <row r="108" customFormat="false" ht="15" hidden="false" customHeight="false" outlineLevel="0" collapsed="false">
      <c r="A108" s="11"/>
      <c r="B108" s="11"/>
      <c r="C108" s="11"/>
      <c r="D108" s="11"/>
      <c r="E108" s="13" t="n">
        <f aca="false">IF(AND(C108&lt;&gt;"",D108&lt;&gt;""),1,0)</f>
        <v>0</v>
      </c>
      <c r="F108" s="13" t="n">
        <f aca="false">IF(AND(C108&lt;&gt;"",D108&lt;&gt;""),IF(C108=D108,1,0),0)</f>
        <v>0</v>
      </c>
    </row>
    <row r="109" customFormat="false" ht="15" hidden="false" customHeight="false" outlineLevel="0" collapsed="false">
      <c r="A109" s="11"/>
      <c r="B109" s="11"/>
      <c r="C109" s="11"/>
      <c r="D109" s="11"/>
      <c r="E109" s="13" t="n">
        <f aca="false">IF(AND(C109&lt;&gt;"",D109&lt;&gt;""),1,0)</f>
        <v>0</v>
      </c>
      <c r="F109" s="13" t="n">
        <f aca="false">IF(AND(C109&lt;&gt;"",D109&lt;&gt;""),IF(C109=D109,1,0),0)</f>
        <v>0</v>
      </c>
    </row>
    <row r="110" customFormat="false" ht="15" hidden="false" customHeight="false" outlineLevel="0" collapsed="false">
      <c r="A110" s="11"/>
      <c r="B110" s="11"/>
      <c r="C110" s="11"/>
      <c r="D110" s="11"/>
      <c r="E110" s="13" t="n">
        <f aca="false">IF(AND(C110&lt;&gt;"",D110&lt;&gt;""),1,0)</f>
        <v>0</v>
      </c>
      <c r="F110" s="13" t="n">
        <f aca="false">IF(AND(C110&lt;&gt;"",D110&lt;&gt;""),IF(C110=D110,1,0),0)</f>
        <v>0</v>
      </c>
    </row>
    <row r="111" customFormat="false" ht="15" hidden="false" customHeight="false" outlineLevel="0" collapsed="false">
      <c r="A111" s="11"/>
      <c r="B111" s="11"/>
      <c r="C111" s="11"/>
      <c r="D111" s="11"/>
      <c r="E111" s="13" t="n">
        <f aca="false">IF(AND(C111&lt;&gt;"",D111&lt;&gt;""),1,0)</f>
        <v>0</v>
      </c>
      <c r="F111" s="13" t="n">
        <f aca="false">IF(AND(C111&lt;&gt;"",D111&lt;&gt;""),IF(C111=D111,1,0),0)</f>
        <v>0</v>
      </c>
    </row>
    <row r="112" customFormat="false" ht="15" hidden="false" customHeight="false" outlineLevel="0" collapsed="false">
      <c r="A112" s="11"/>
      <c r="B112" s="11"/>
      <c r="C112" s="11"/>
      <c r="D112" s="11"/>
      <c r="E112" s="13" t="n">
        <f aca="false">IF(AND(C112&lt;&gt;"",D112&lt;&gt;""),1,0)</f>
        <v>0</v>
      </c>
      <c r="F112" s="13" t="n">
        <f aca="false">IF(AND(C112&lt;&gt;"",D112&lt;&gt;""),IF(C112=D112,1,0),0)</f>
        <v>0</v>
      </c>
    </row>
    <row r="113" customFormat="false" ht="15" hidden="false" customHeight="false" outlineLevel="0" collapsed="false">
      <c r="A113" s="11"/>
      <c r="B113" s="11"/>
      <c r="C113" s="11"/>
      <c r="D113" s="11"/>
      <c r="E113" s="13" t="n">
        <f aca="false">IF(AND(C113&lt;&gt;"",D113&lt;&gt;""),1,0)</f>
        <v>0</v>
      </c>
      <c r="F113" s="13" t="n">
        <f aca="false">IF(AND(C113&lt;&gt;"",D113&lt;&gt;""),IF(C113=D113,1,0),0)</f>
        <v>0</v>
      </c>
    </row>
    <row r="114" customFormat="false" ht="15" hidden="false" customHeight="false" outlineLevel="0" collapsed="false">
      <c r="A114" s="11"/>
      <c r="B114" s="11"/>
      <c r="C114" s="11"/>
      <c r="D114" s="11"/>
      <c r="E114" s="13" t="n">
        <f aca="false">IF(AND(C114&lt;&gt;"",D114&lt;&gt;""),1,0)</f>
        <v>0</v>
      </c>
      <c r="F114" s="13" t="n">
        <f aca="false">IF(AND(C114&lt;&gt;"",D114&lt;&gt;""),IF(C114=D114,1,0),0)</f>
        <v>0</v>
      </c>
    </row>
    <row r="115" customFormat="false" ht="15" hidden="false" customHeight="false" outlineLevel="0" collapsed="false">
      <c r="A115" s="11"/>
      <c r="B115" s="11"/>
      <c r="C115" s="11"/>
      <c r="D115" s="11"/>
      <c r="E115" s="13" t="n">
        <f aca="false">IF(AND(C115&lt;&gt;"",D115&lt;&gt;""),1,0)</f>
        <v>0</v>
      </c>
      <c r="F115" s="13" t="n">
        <f aca="false">IF(AND(C115&lt;&gt;"",D115&lt;&gt;""),IF(C115=D115,1,0),0)</f>
        <v>0</v>
      </c>
    </row>
    <row r="116" customFormat="false" ht="15" hidden="false" customHeight="false" outlineLevel="0" collapsed="false">
      <c r="A116" s="11"/>
      <c r="B116" s="11"/>
      <c r="C116" s="11"/>
      <c r="D116" s="11"/>
      <c r="E116" s="13" t="n">
        <f aca="false">IF(AND(C116&lt;&gt;"",D116&lt;&gt;""),1,0)</f>
        <v>0</v>
      </c>
      <c r="F116" s="13" t="n">
        <f aca="false">IF(AND(C116&lt;&gt;"",D116&lt;&gt;""),IF(C116=D116,1,0),0)</f>
        <v>0</v>
      </c>
    </row>
    <row r="117" customFormat="false" ht="15" hidden="false" customHeight="false" outlineLevel="0" collapsed="false">
      <c r="A117" s="11"/>
      <c r="B117" s="11"/>
      <c r="C117" s="11"/>
      <c r="D117" s="11"/>
      <c r="E117" s="13" t="n">
        <f aca="false">IF(AND(C117&lt;&gt;"",D117&lt;&gt;""),1,0)</f>
        <v>0</v>
      </c>
      <c r="F117" s="13" t="n">
        <f aca="false">IF(AND(C117&lt;&gt;"",D117&lt;&gt;""),IF(C117=D117,1,0),0)</f>
        <v>0</v>
      </c>
    </row>
    <row r="118" customFormat="false" ht="15" hidden="false" customHeight="false" outlineLevel="0" collapsed="false">
      <c r="A118" s="11"/>
      <c r="B118" s="11"/>
      <c r="C118" s="11"/>
      <c r="D118" s="11"/>
      <c r="E118" s="13" t="n">
        <f aca="false">IF(AND(C118&lt;&gt;"",D118&lt;&gt;""),1,0)</f>
        <v>0</v>
      </c>
      <c r="F118" s="13" t="n">
        <f aca="false">IF(AND(C118&lt;&gt;"",D118&lt;&gt;""),IF(C118=D118,1,0),0)</f>
        <v>0</v>
      </c>
    </row>
    <row r="119" customFormat="false" ht="15" hidden="false" customHeight="false" outlineLevel="0" collapsed="false">
      <c r="A119" s="11"/>
      <c r="B119" s="11"/>
      <c r="C119" s="11"/>
      <c r="D119" s="11"/>
      <c r="E119" s="13" t="n">
        <f aca="false">IF(AND(C119&lt;&gt;"",D119&lt;&gt;""),1,0)</f>
        <v>0</v>
      </c>
      <c r="F119" s="13" t="n">
        <f aca="false">IF(AND(C119&lt;&gt;"",D119&lt;&gt;""),IF(C119=D119,1,0),0)</f>
        <v>0</v>
      </c>
    </row>
    <row r="120" customFormat="false" ht="15" hidden="false" customHeight="false" outlineLevel="0" collapsed="false">
      <c r="A120" s="11"/>
      <c r="B120" s="11"/>
      <c r="C120" s="11"/>
      <c r="D120" s="11"/>
      <c r="E120" s="13" t="n">
        <f aca="false">IF(AND(C120&lt;&gt;"",D120&lt;&gt;""),1,0)</f>
        <v>0</v>
      </c>
      <c r="F120" s="13" t="n">
        <f aca="false">IF(AND(C120&lt;&gt;"",D120&lt;&gt;""),IF(C120=D120,1,0),0)</f>
        <v>0</v>
      </c>
    </row>
    <row r="121" customFormat="false" ht="15" hidden="false" customHeight="false" outlineLevel="0" collapsed="false">
      <c r="A121" s="11"/>
      <c r="B121" s="11"/>
      <c r="C121" s="11"/>
      <c r="D121" s="11"/>
      <c r="E121" s="13" t="n">
        <f aca="false">IF(AND(C121&lt;&gt;"",D121&lt;&gt;""),1,0)</f>
        <v>0</v>
      </c>
      <c r="F121" s="13" t="n">
        <f aca="false">IF(AND(C121&lt;&gt;"",D121&lt;&gt;""),IF(C121=D121,1,0),0)</f>
        <v>0</v>
      </c>
    </row>
    <row r="122" customFormat="false" ht="15" hidden="false" customHeight="false" outlineLevel="0" collapsed="false">
      <c r="A122" s="11"/>
      <c r="B122" s="11"/>
      <c r="C122" s="11"/>
      <c r="D122" s="11"/>
      <c r="E122" s="13" t="n">
        <f aca="false">IF(AND(C122&lt;&gt;"",D122&lt;&gt;""),1,0)</f>
        <v>0</v>
      </c>
      <c r="F122" s="13" t="n">
        <f aca="false">IF(AND(C122&lt;&gt;"",D122&lt;&gt;""),IF(C122=D122,1,0),0)</f>
        <v>0</v>
      </c>
    </row>
    <row r="123" customFormat="false" ht="15" hidden="false" customHeight="false" outlineLevel="0" collapsed="false">
      <c r="A123" s="11"/>
      <c r="B123" s="11"/>
      <c r="C123" s="11"/>
      <c r="D123" s="11"/>
      <c r="E123" s="13" t="n">
        <f aca="false">IF(AND(C123&lt;&gt;"",D123&lt;&gt;""),1,0)</f>
        <v>0</v>
      </c>
      <c r="F123" s="13" t="n">
        <f aca="false">IF(AND(C123&lt;&gt;"",D123&lt;&gt;""),IF(C123=D123,1,0),0)</f>
        <v>0</v>
      </c>
    </row>
    <row r="124" customFormat="false" ht="15" hidden="false" customHeight="false" outlineLevel="0" collapsed="false">
      <c r="A124" s="11"/>
      <c r="B124" s="11"/>
      <c r="C124" s="11"/>
      <c r="D124" s="11"/>
      <c r="E124" s="13" t="n">
        <f aca="false">IF(AND(C124&lt;&gt;"",D124&lt;&gt;""),1,0)</f>
        <v>0</v>
      </c>
      <c r="F124" s="13" t="n">
        <f aca="false">IF(AND(C124&lt;&gt;"",D124&lt;&gt;""),IF(C124=D124,1,0),0)</f>
        <v>0</v>
      </c>
    </row>
    <row r="125" customFormat="false" ht="15" hidden="false" customHeight="false" outlineLevel="0" collapsed="false">
      <c r="A125" s="11"/>
      <c r="B125" s="11"/>
      <c r="C125" s="11"/>
      <c r="D125" s="11"/>
      <c r="E125" s="13" t="n">
        <f aca="false">IF(AND(C125&lt;&gt;"",D125&lt;&gt;""),1,0)</f>
        <v>0</v>
      </c>
      <c r="F125" s="13" t="n">
        <f aca="false">IF(AND(C125&lt;&gt;"",D125&lt;&gt;""),IF(C125=D125,1,0),0)</f>
        <v>0</v>
      </c>
    </row>
    <row r="126" customFormat="false" ht="15" hidden="false" customHeight="false" outlineLevel="0" collapsed="false">
      <c r="A126" s="11"/>
      <c r="B126" s="11"/>
      <c r="C126" s="11"/>
      <c r="D126" s="11"/>
      <c r="E126" s="13" t="n">
        <f aca="false">IF(AND(C126&lt;&gt;"",D126&lt;&gt;""),1,0)</f>
        <v>0</v>
      </c>
      <c r="F126" s="13" t="n">
        <f aca="false">IF(AND(C126&lt;&gt;"",D126&lt;&gt;""),IF(C126=D126,1,0),0)</f>
        <v>0</v>
      </c>
    </row>
    <row r="127" customFormat="false" ht="15" hidden="false" customHeight="false" outlineLevel="0" collapsed="false">
      <c r="A127" s="11"/>
      <c r="B127" s="11"/>
      <c r="C127" s="11"/>
      <c r="D127" s="11"/>
      <c r="E127" s="13" t="n">
        <f aca="false">IF(AND(C127&lt;&gt;"",D127&lt;&gt;""),1,0)</f>
        <v>0</v>
      </c>
      <c r="F127" s="13" t="n">
        <f aca="false">IF(AND(C127&lt;&gt;"",D127&lt;&gt;""),IF(C127=D127,1,0),0)</f>
        <v>0</v>
      </c>
    </row>
    <row r="128" customFormat="false" ht="15" hidden="false" customHeight="false" outlineLevel="0" collapsed="false">
      <c r="A128" s="11"/>
      <c r="B128" s="11"/>
      <c r="C128" s="11"/>
      <c r="D128" s="11"/>
      <c r="E128" s="13" t="n">
        <f aca="false">IF(AND(C128&lt;&gt;"",D128&lt;&gt;""),1,0)</f>
        <v>0</v>
      </c>
      <c r="F128" s="13" t="n">
        <f aca="false">IF(AND(C128&lt;&gt;"",D128&lt;&gt;""),IF(C128=D128,1,0),0)</f>
        <v>0</v>
      </c>
    </row>
    <row r="129" customFormat="false" ht="15" hidden="false" customHeight="false" outlineLevel="0" collapsed="false">
      <c r="A129" s="11"/>
      <c r="B129" s="11"/>
      <c r="C129" s="11"/>
      <c r="D129" s="11"/>
      <c r="E129" s="13" t="n">
        <f aca="false">IF(AND(C129&lt;&gt;"",D129&lt;&gt;""),1,0)</f>
        <v>0</v>
      </c>
      <c r="F129" s="13" t="n">
        <f aca="false">IF(AND(C129&lt;&gt;"",D129&lt;&gt;""),IF(C129=D129,1,0),0)</f>
        <v>0</v>
      </c>
    </row>
    <row r="130" customFormat="false" ht="15" hidden="false" customHeight="false" outlineLevel="0" collapsed="false">
      <c r="A130" s="11"/>
      <c r="B130" s="11"/>
      <c r="C130" s="11"/>
      <c r="D130" s="11"/>
      <c r="E130" s="13" t="n">
        <f aca="false">IF(AND(C130&lt;&gt;"",D130&lt;&gt;""),1,0)</f>
        <v>0</v>
      </c>
      <c r="F130" s="13" t="n">
        <f aca="false">IF(AND(C130&lt;&gt;"",D130&lt;&gt;""),IF(C130=D130,1,0),0)</f>
        <v>0</v>
      </c>
    </row>
    <row r="131" customFormat="false" ht="15" hidden="false" customHeight="false" outlineLevel="0" collapsed="false">
      <c r="A131" s="11"/>
      <c r="B131" s="11"/>
      <c r="C131" s="11"/>
      <c r="D131" s="11"/>
      <c r="E131" s="13" t="n">
        <f aca="false">IF(AND(C131&lt;&gt;"",D131&lt;&gt;""),1,0)</f>
        <v>0</v>
      </c>
      <c r="F131" s="13" t="n">
        <f aca="false">IF(AND(C131&lt;&gt;"",D131&lt;&gt;""),IF(C131=D131,1,0),0)</f>
        <v>0</v>
      </c>
    </row>
    <row r="132" customFormat="false" ht="15" hidden="false" customHeight="false" outlineLevel="0" collapsed="false">
      <c r="A132" s="11"/>
      <c r="B132" s="11"/>
      <c r="C132" s="11"/>
      <c r="D132" s="11"/>
      <c r="E132" s="13" t="n">
        <f aca="false">IF(AND(C132&lt;&gt;"",D132&lt;&gt;""),1,0)</f>
        <v>0</v>
      </c>
      <c r="F132" s="13" t="n">
        <f aca="false">IF(AND(C132&lt;&gt;"",D132&lt;&gt;""),IF(C132=D132,1,0),0)</f>
        <v>0</v>
      </c>
    </row>
    <row r="133" customFormat="false" ht="15" hidden="false" customHeight="false" outlineLevel="0" collapsed="false">
      <c r="A133" s="11"/>
      <c r="B133" s="11"/>
      <c r="C133" s="11"/>
      <c r="D133" s="11"/>
      <c r="E133" s="13" t="n">
        <f aca="false">IF(AND(C133&lt;&gt;"",D133&lt;&gt;""),1,0)</f>
        <v>0</v>
      </c>
      <c r="F133" s="13" t="n">
        <f aca="false">IF(AND(C133&lt;&gt;"",D133&lt;&gt;""),IF(C133=D133,1,0),0)</f>
        <v>0</v>
      </c>
    </row>
    <row r="134" customFormat="false" ht="15" hidden="false" customHeight="false" outlineLevel="0" collapsed="false">
      <c r="A134" s="11"/>
      <c r="B134" s="11"/>
      <c r="C134" s="11"/>
      <c r="D134" s="11"/>
      <c r="E134" s="13" t="n">
        <f aca="false">IF(AND(C134&lt;&gt;"",D134&lt;&gt;""),1,0)</f>
        <v>0</v>
      </c>
      <c r="F134" s="13" t="n">
        <f aca="false">IF(AND(C134&lt;&gt;"",D134&lt;&gt;""),IF(C134=D134,1,0),0)</f>
        <v>0</v>
      </c>
    </row>
    <row r="135" customFormat="false" ht="15" hidden="false" customHeight="false" outlineLevel="0" collapsed="false">
      <c r="A135" s="11"/>
      <c r="B135" s="11"/>
      <c r="C135" s="11"/>
      <c r="D135" s="11"/>
      <c r="E135" s="13" t="n">
        <f aca="false">IF(AND(C135&lt;&gt;"",D135&lt;&gt;""),1,0)</f>
        <v>0</v>
      </c>
      <c r="F135" s="13" t="n">
        <f aca="false">IF(AND(C135&lt;&gt;"",D135&lt;&gt;""),IF(C135=D135,1,0),0)</f>
        <v>0</v>
      </c>
    </row>
    <row r="136" customFormat="false" ht="15" hidden="false" customHeight="false" outlineLevel="0" collapsed="false">
      <c r="A136" s="11"/>
      <c r="B136" s="11"/>
      <c r="C136" s="11"/>
      <c r="D136" s="11"/>
      <c r="E136" s="13" t="n">
        <f aca="false">IF(AND(C136&lt;&gt;"",D136&lt;&gt;""),1,0)</f>
        <v>0</v>
      </c>
      <c r="F136" s="13" t="n">
        <f aca="false">IF(AND(C136&lt;&gt;"",D136&lt;&gt;""),IF(C136=D136,1,0),0)</f>
        <v>0</v>
      </c>
    </row>
    <row r="137" customFormat="false" ht="15" hidden="false" customHeight="false" outlineLevel="0" collapsed="false">
      <c r="A137" s="11"/>
      <c r="B137" s="11"/>
      <c r="C137" s="11"/>
      <c r="D137" s="11"/>
      <c r="E137" s="13" t="n">
        <f aca="false">IF(AND(C137&lt;&gt;"",D137&lt;&gt;""),1,0)</f>
        <v>0</v>
      </c>
      <c r="F137" s="13" t="n">
        <f aca="false">IF(AND(C137&lt;&gt;"",D137&lt;&gt;""),IF(C137=D137,1,0),0)</f>
        <v>0</v>
      </c>
    </row>
    <row r="138" customFormat="false" ht="15" hidden="false" customHeight="false" outlineLevel="0" collapsed="false">
      <c r="A138" s="11"/>
      <c r="B138" s="11"/>
      <c r="C138" s="11"/>
      <c r="D138" s="11"/>
      <c r="E138" s="13" t="n">
        <f aca="false">IF(AND(C138&lt;&gt;"",D138&lt;&gt;""),1,0)</f>
        <v>0</v>
      </c>
      <c r="F138" s="13" t="n">
        <f aca="false">IF(AND(C138&lt;&gt;"",D138&lt;&gt;""),IF(C138=D138,1,0),0)</f>
        <v>0</v>
      </c>
    </row>
    <row r="139" customFormat="false" ht="15" hidden="false" customHeight="false" outlineLevel="0" collapsed="false">
      <c r="A139" s="11"/>
      <c r="B139" s="11"/>
      <c r="C139" s="11"/>
      <c r="D139" s="11"/>
      <c r="E139" s="13" t="n">
        <f aca="false">IF(AND(C139&lt;&gt;"",D139&lt;&gt;""),1,0)</f>
        <v>0</v>
      </c>
      <c r="F139" s="13" t="n">
        <f aca="false">IF(AND(C139&lt;&gt;"",D139&lt;&gt;""),IF(C139=D139,1,0),0)</f>
        <v>0</v>
      </c>
    </row>
    <row r="140" customFormat="false" ht="15" hidden="false" customHeight="false" outlineLevel="0" collapsed="false">
      <c r="A140" s="11"/>
      <c r="B140" s="11"/>
      <c r="C140" s="11"/>
      <c r="D140" s="11"/>
      <c r="E140" s="13" t="n">
        <f aca="false">IF(AND(C140&lt;&gt;"",D140&lt;&gt;""),1,0)</f>
        <v>0</v>
      </c>
      <c r="F140" s="13" t="n">
        <f aca="false">IF(AND(C140&lt;&gt;"",D140&lt;&gt;""),IF(C140=D140,1,0),0)</f>
        <v>0</v>
      </c>
    </row>
    <row r="141" customFormat="false" ht="15" hidden="false" customHeight="false" outlineLevel="0" collapsed="false">
      <c r="A141" s="11"/>
      <c r="B141" s="11"/>
      <c r="C141" s="11"/>
      <c r="D141" s="11"/>
      <c r="E141" s="13" t="n">
        <f aca="false">IF(AND(C141&lt;&gt;"",D141&lt;&gt;""),1,0)</f>
        <v>0</v>
      </c>
      <c r="F141" s="13" t="n">
        <f aca="false">IF(AND(C141&lt;&gt;"",D141&lt;&gt;""),IF(C141=D141,1,0),0)</f>
        <v>0</v>
      </c>
    </row>
    <row r="142" customFormat="false" ht="15" hidden="false" customHeight="false" outlineLevel="0" collapsed="false">
      <c r="A142" s="11"/>
      <c r="B142" s="11"/>
      <c r="C142" s="11"/>
      <c r="D142" s="11"/>
      <c r="E142" s="13" t="n">
        <f aca="false">IF(AND(C142&lt;&gt;"",D142&lt;&gt;""),1,0)</f>
        <v>0</v>
      </c>
      <c r="F142" s="13" t="n">
        <f aca="false">IF(AND(C142&lt;&gt;"",D142&lt;&gt;""),IF(C142=D142,1,0),0)</f>
        <v>0</v>
      </c>
    </row>
    <row r="143" customFormat="false" ht="15" hidden="false" customHeight="false" outlineLevel="0" collapsed="false">
      <c r="A143" s="11"/>
      <c r="B143" s="11"/>
      <c r="C143" s="11"/>
      <c r="D143" s="11"/>
      <c r="E143" s="13" t="n">
        <f aca="false">IF(AND(C143&lt;&gt;"",D143&lt;&gt;""),1,0)</f>
        <v>0</v>
      </c>
      <c r="F143" s="13" t="n">
        <f aca="false">IF(AND(C143&lt;&gt;"",D143&lt;&gt;""),IF(C143=D143,1,0),0)</f>
        <v>0</v>
      </c>
    </row>
    <row r="144" customFormat="false" ht="15" hidden="false" customHeight="false" outlineLevel="0" collapsed="false">
      <c r="A144" s="11"/>
      <c r="B144" s="11"/>
      <c r="C144" s="11"/>
      <c r="D144" s="11"/>
      <c r="E144" s="13" t="n">
        <f aca="false">IF(AND(C144&lt;&gt;"",D144&lt;&gt;""),1,0)</f>
        <v>0</v>
      </c>
      <c r="F144" s="13" t="n">
        <f aca="false">IF(AND(C144&lt;&gt;"",D144&lt;&gt;""),IF(C144=D144,1,0),0)</f>
        <v>0</v>
      </c>
    </row>
    <row r="145" customFormat="false" ht="15" hidden="false" customHeight="false" outlineLevel="0" collapsed="false">
      <c r="A145" s="11"/>
      <c r="B145" s="11"/>
      <c r="C145" s="11"/>
      <c r="D145" s="11"/>
      <c r="E145" s="13" t="n">
        <f aca="false">IF(AND(C145&lt;&gt;"",D145&lt;&gt;""),1,0)</f>
        <v>0</v>
      </c>
      <c r="F145" s="13" t="n">
        <f aca="false">IF(AND(C145&lt;&gt;"",D145&lt;&gt;""),IF(C145=D145,1,0),0)</f>
        <v>0</v>
      </c>
    </row>
    <row r="146" customFormat="false" ht="15" hidden="false" customHeight="false" outlineLevel="0" collapsed="false">
      <c r="A146" s="11"/>
      <c r="B146" s="11"/>
      <c r="C146" s="11"/>
      <c r="D146" s="11"/>
      <c r="E146" s="13" t="n">
        <f aca="false">IF(AND(C146&lt;&gt;"",D146&lt;&gt;""),1,0)</f>
        <v>0</v>
      </c>
      <c r="F146" s="13" t="n">
        <f aca="false">IF(AND(C146&lt;&gt;"",D146&lt;&gt;""),IF(C146=D146,1,0),0)</f>
        <v>0</v>
      </c>
    </row>
    <row r="147" customFormat="false" ht="15" hidden="false" customHeight="false" outlineLevel="0" collapsed="false">
      <c r="A147" s="11"/>
      <c r="B147" s="11"/>
      <c r="C147" s="11"/>
      <c r="D147" s="11"/>
      <c r="E147" s="13" t="n">
        <f aca="false">IF(AND(C147&lt;&gt;"",D147&lt;&gt;""),1,0)</f>
        <v>0</v>
      </c>
      <c r="F147" s="13" t="n">
        <f aca="false">IF(AND(C147&lt;&gt;"",D147&lt;&gt;""),IF(C147=D147,1,0),0)</f>
        <v>0</v>
      </c>
    </row>
    <row r="148" customFormat="false" ht="15" hidden="false" customHeight="false" outlineLevel="0" collapsed="false">
      <c r="A148" s="11"/>
      <c r="B148" s="11"/>
      <c r="C148" s="11"/>
      <c r="D148" s="11"/>
      <c r="E148" s="13" t="n">
        <f aca="false">IF(AND(C148&lt;&gt;"",D148&lt;&gt;""),1,0)</f>
        <v>0</v>
      </c>
      <c r="F148" s="13" t="n">
        <f aca="false">IF(AND(C148&lt;&gt;"",D148&lt;&gt;""),IF(C148=D148,1,0),0)</f>
        <v>0</v>
      </c>
    </row>
    <row r="149" customFormat="false" ht="15" hidden="false" customHeight="false" outlineLevel="0" collapsed="false">
      <c r="A149" s="11"/>
      <c r="B149" s="11"/>
      <c r="C149" s="11"/>
      <c r="D149" s="11"/>
      <c r="E149" s="13" t="n">
        <f aca="false">IF(AND(C149&lt;&gt;"",D149&lt;&gt;""),1,0)</f>
        <v>0</v>
      </c>
      <c r="F149" s="13" t="n">
        <f aca="false">IF(AND(C149&lt;&gt;"",D149&lt;&gt;""),IF(C149=D149,1,0),0)</f>
        <v>0</v>
      </c>
    </row>
    <row r="150" customFormat="false" ht="15" hidden="false" customHeight="false" outlineLevel="0" collapsed="false">
      <c r="A150" s="11"/>
      <c r="B150" s="11"/>
      <c r="C150" s="11"/>
      <c r="D150" s="11"/>
      <c r="E150" s="13" t="n">
        <f aca="false">IF(AND(C150&lt;&gt;"",D150&lt;&gt;""),1,0)</f>
        <v>0</v>
      </c>
      <c r="F150" s="13" t="n">
        <f aca="false">IF(AND(C150&lt;&gt;"",D150&lt;&gt;""),IF(C150=D150,1,0),0)</f>
        <v>0</v>
      </c>
    </row>
    <row r="151" customFormat="false" ht="15" hidden="false" customHeight="false" outlineLevel="0" collapsed="false">
      <c r="A151" s="11"/>
      <c r="B151" s="11"/>
      <c r="C151" s="11"/>
      <c r="D151" s="11"/>
      <c r="E151" s="13" t="n">
        <f aca="false">IF(AND(C151&lt;&gt;"",D151&lt;&gt;""),1,0)</f>
        <v>0</v>
      </c>
      <c r="F151" s="13" t="n">
        <f aca="false">IF(AND(C151&lt;&gt;"",D151&lt;&gt;""),IF(C151=D151,1,0),0)</f>
        <v>0</v>
      </c>
    </row>
    <row r="152" customFormat="false" ht="15" hidden="false" customHeight="false" outlineLevel="0" collapsed="false">
      <c r="A152" s="11"/>
      <c r="B152" s="11"/>
      <c r="C152" s="11"/>
      <c r="D152" s="11"/>
      <c r="E152" s="13" t="n">
        <f aca="false">IF(AND(C152&lt;&gt;"",D152&lt;&gt;""),1,0)</f>
        <v>0</v>
      </c>
      <c r="F152" s="13" t="n">
        <f aca="false">IF(AND(C152&lt;&gt;"",D152&lt;&gt;""),IF(C152=D152,1,0),0)</f>
        <v>0</v>
      </c>
    </row>
    <row r="153" customFormat="false" ht="15" hidden="false" customHeight="false" outlineLevel="0" collapsed="false">
      <c r="A153" s="11"/>
      <c r="B153" s="11"/>
      <c r="C153" s="11"/>
      <c r="D153" s="11"/>
      <c r="E153" s="13" t="n">
        <f aca="false">IF(AND(C153&lt;&gt;"",D153&lt;&gt;""),1,0)</f>
        <v>0</v>
      </c>
      <c r="F153" s="13" t="n">
        <f aca="false">IF(AND(C153&lt;&gt;"",D153&lt;&gt;""),IF(C153=D153,1,0),0)</f>
        <v>0</v>
      </c>
    </row>
    <row r="154" customFormat="false" ht="15" hidden="false" customHeight="false" outlineLevel="0" collapsed="false">
      <c r="A154" s="11"/>
      <c r="B154" s="11"/>
      <c r="C154" s="11"/>
      <c r="D154" s="11"/>
      <c r="E154" s="13" t="n">
        <f aca="false">IF(AND(C154&lt;&gt;"",D154&lt;&gt;""),1,0)</f>
        <v>0</v>
      </c>
      <c r="F154" s="13" t="n">
        <f aca="false">IF(AND(C154&lt;&gt;"",D154&lt;&gt;""),IF(C154=D154,1,0),0)</f>
        <v>0</v>
      </c>
    </row>
    <row r="155" customFormat="false" ht="15" hidden="false" customHeight="false" outlineLevel="0" collapsed="false">
      <c r="A155" s="11"/>
      <c r="B155" s="11"/>
      <c r="C155" s="11"/>
      <c r="D155" s="11"/>
      <c r="E155" s="13" t="n">
        <f aca="false">IF(AND(C155&lt;&gt;"",D155&lt;&gt;""),1,0)</f>
        <v>0</v>
      </c>
      <c r="F155" s="13" t="n">
        <f aca="false">IF(AND(C155&lt;&gt;"",D155&lt;&gt;""),IF(C155=D155,1,0),0)</f>
        <v>0</v>
      </c>
    </row>
    <row r="156" customFormat="false" ht="15" hidden="false" customHeight="false" outlineLevel="0" collapsed="false">
      <c r="A156" s="11"/>
      <c r="B156" s="11"/>
      <c r="C156" s="11"/>
      <c r="D156" s="11"/>
      <c r="E156" s="13" t="n">
        <f aca="false">IF(AND(C156&lt;&gt;"",D156&lt;&gt;""),1,0)</f>
        <v>0</v>
      </c>
      <c r="F156" s="13" t="n">
        <f aca="false">IF(AND(C156&lt;&gt;"",D156&lt;&gt;""),IF(C156=D156,1,0),0)</f>
        <v>0</v>
      </c>
    </row>
    <row r="157" customFormat="false" ht="15" hidden="false" customHeight="false" outlineLevel="0" collapsed="false">
      <c r="A157" s="11"/>
      <c r="B157" s="11"/>
      <c r="C157" s="11"/>
      <c r="D157" s="11"/>
      <c r="E157" s="13" t="n">
        <f aca="false">IF(AND(C157&lt;&gt;"",D157&lt;&gt;""),1,0)</f>
        <v>0</v>
      </c>
      <c r="F157" s="13" t="n">
        <f aca="false">IF(AND(C157&lt;&gt;"",D157&lt;&gt;""),IF(C157=D157,1,0),0)</f>
        <v>0</v>
      </c>
    </row>
    <row r="158" customFormat="false" ht="15" hidden="false" customHeight="false" outlineLevel="0" collapsed="false">
      <c r="A158" s="11"/>
      <c r="B158" s="11"/>
      <c r="C158" s="11"/>
      <c r="D158" s="11"/>
      <c r="E158" s="13" t="n">
        <f aca="false">IF(AND(C158&lt;&gt;"",D158&lt;&gt;""),1,0)</f>
        <v>0</v>
      </c>
      <c r="F158" s="13" t="n">
        <f aca="false">IF(AND(C158&lt;&gt;"",D158&lt;&gt;""),IF(C158=D158,1,0),0)</f>
        <v>0</v>
      </c>
    </row>
    <row r="159" customFormat="false" ht="15" hidden="false" customHeight="false" outlineLevel="0" collapsed="false">
      <c r="A159" s="11"/>
      <c r="B159" s="11"/>
      <c r="C159" s="11"/>
      <c r="D159" s="11"/>
      <c r="E159" s="13" t="n">
        <f aca="false">IF(AND(C159&lt;&gt;"",D159&lt;&gt;""),1,0)</f>
        <v>0</v>
      </c>
      <c r="F159" s="13" t="n">
        <f aca="false">IF(AND(C159&lt;&gt;"",D159&lt;&gt;""),IF(C159=D159,1,0),0)</f>
        <v>0</v>
      </c>
    </row>
    <row r="160" customFormat="false" ht="15" hidden="false" customHeight="false" outlineLevel="0" collapsed="false">
      <c r="A160" s="11"/>
      <c r="B160" s="11"/>
      <c r="C160" s="11"/>
      <c r="D160" s="11"/>
      <c r="E160" s="13" t="n">
        <f aca="false">IF(AND(C160&lt;&gt;"",D160&lt;&gt;""),1,0)</f>
        <v>0</v>
      </c>
      <c r="F160" s="13" t="n">
        <f aca="false">IF(AND(C160&lt;&gt;"",D160&lt;&gt;""),IF(C160=D160,1,0),0)</f>
        <v>0</v>
      </c>
    </row>
    <row r="161" customFormat="false" ht="15" hidden="false" customHeight="false" outlineLevel="0" collapsed="false">
      <c r="A161" s="11"/>
      <c r="B161" s="11"/>
      <c r="C161" s="11"/>
      <c r="D161" s="11"/>
      <c r="E161" s="13" t="n">
        <f aca="false">IF(AND(C161&lt;&gt;"",D161&lt;&gt;""),1,0)</f>
        <v>0</v>
      </c>
      <c r="F161" s="13" t="n">
        <f aca="false">IF(AND(C161&lt;&gt;"",D161&lt;&gt;""),IF(C161=D161,1,0),0)</f>
        <v>0</v>
      </c>
    </row>
    <row r="164" customFormat="false" ht="15" hidden="false" customHeight="false" outlineLevel="0" collapsed="false">
      <c r="A164" s="9" t="s">
        <v>31</v>
      </c>
    </row>
    <row r="165" customFormat="false" ht="31.5" hidden="false" customHeight="true" outlineLevel="0" collapsed="false">
      <c r="A165" s="10" t="s">
        <v>32</v>
      </c>
      <c r="B165" s="10" t="s">
        <v>33</v>
      </c>
    </row>
    <row r="166" customFormat="false" ht="15" hidden="false" customHeight="false" outlineLevel="0" collapsed="false">
      <c r="A166" s="12" t="s">
        <v>34</v>
      </c>
      <c r="B166" s="12" t="s">
        <v>34</v>
      </c>
    </row>
    <row r="167" customFormat="false" ht="15" hidden="false" customHeight="false" outlineLevel="0" collapsed="false">
      <c r="A167" s="11"/>
      <c r="B167" s="11"/>
    </row>
    <row r="168" customFormat="false" ht="15" hidden="false" customHeight="false" outlineLevel="0" collapsed="false">
      <c r="A168" s="11"/>
      <c r="B168" s="11"/>
    </row>
    <row r="169" customFormat="false" ht="15" hidden="false" customHeight="false" outlineLevel="0" collapsed="false">
      <c r="A169" s="11"/>
      <c r="B169" s="11"/>
    </row>
    <row r="170" customFormat="false" ht="15" hidden="false" customHeight="false" outlineLevel="0" collapsed="false">
      <c r="A170" s="11"/>
      <c r="B170" s="11"/>
    </row>
    <row r="171" customFormat="false" ht="15" hidden="false" customHeight="false" outlineLevel="0" collapsed="false">
      <c r="A171" s="11"/>
      <c r="B171" s="11"/>
    </row>
    <row r="172" customFormat="false" ht="15" hidden="false" customHeight="false" outlineLevel="0" collapsed="false">
      <c r="A172" s="11"/>
      <c r="B172" s="11"/>
    </row>
    <row r="173" customFormat="false" ht="15" hidden="false" customHeight="false" outlineLevel="0" collapsed="false">
      <c r="A173" s="11"/>
      <c r="B173" s="11"/>
    </row>
    <row r="174" customFormat="false" ht="15" hidden="false" customHeight="false" outlineLevel="0" collapsed="false">
      <c r="A174" s="11"/>
      <c r="B174" s="11"/>
    </row>
    <row r="175" customFormat="false" ht="15" hidden="false" customHeight="false" outlineLevel="0" collapsed="false">
      <c r="A175" s="11"/>
      <c r="B175" s="11"/>
    </row>
    <row r="176" customFormat="false" ht="15" hidden="false" customHeight="false" outlineLevel="0" collapsed="false">
      <c r="A176" s="11"/>
      <c r="B176" s="11"/>
    </row>
    <row r="177" customFormat="false" ht="15" hidden="false" customHeight="false" outlineLevel="0" collapsed="false">
      <c r="A177" s="11"/>
      <c r="B177" s="11"/>
    </row>
    <row r="178" customFormat="false" ht="15" hidden="false" customHeight="false" outlineLevel="0" collapsed="false">
      <c r="A178" s="11"/>
      <c r="B178" s="11"/>
    </row>
    <row r="179" customFormat="false" ht="15" hidden="false" customHeight="false" outlineLevel="0" collapsed="false">
      <c r="A179" s="11"/>
      <c r="B179" s="11"/>
    </row>
    <row r="180" customFormat="false" ht="15" hidden="false" customHeight="false" outlineLevel="0" collapsed="false">
      <c r="A180" s="11"/>
      <c r="B180" s="11"/>
    </row>
    <row r="181" customFormat="false" ht="15" hidden="false" customHeight="false" outlineLevel="0" collapsed="false">
      <c r="A181" s="11"/>
      <c r="B181" s="11"/>
    </row>
    <row r="182" customFormat="false" ht="15" hidden="false" customHeight="false" outlineLevel="0" collapsed="false">
      <c r="A182" s="11"/>
      <c r="B182" s="11"/>
    </row>
    <row r="183" customFormat="false" ht="15" hidden="false" customHeight="false" outlineLevel="0" collapsed="false">
      <c r="A183" s="11"/>
      <c r="B183" s="11"/>
    </row>
    <row r="184" customFormat="false" ht="15" hidden="false" customHeight="false" outlineLevel="0" collapsed="false">
      <c r="A184" s="11"/>
      <c r="B184" s="11"/>
    </row>
    <row r="185" customFormat="false" ht="15" hidden="false" customHeight="false" outlineLevel="0" collapsed="false">
      <c r="A185" s="11"/>
      <c r="B185" s="11"/>
    </row>
    <row r="186" customFormat="false" ht="15" hidden="false" customHeight="false" outlineLevel="0" collapsed="false">
      <c r="A186" s="11"/>
      <c r="B186" s="11"/>
    </row>
    <row r="187" customFormat="false" ht="15" hidden="false" customHeight="false" outlineLevel="0" collapsed="false">
      <c r="A187" s="11"/>
      <c r="B187" s="11"/>
    </row>
    <row r="188" customFormat="false" ht="15" hidden="false" customHeight="false" outlineLevel="0" collapsed="false">
      <c r="A188" s="11"/>
      <c r="B188" s="11"/>
    </row>
    <row r="189" customFormat="false" ht="15" hidden="false" customHeight="false" outlineLevel="0" collapsed="false">
      <c r="A189" s="11"/>
      <c r="B189" s="11"/>
    </row>
    <row r="190" customFormat="false" ht="15" hidden="false" customHeight="false" outlineLevel="0" collapsed="false">
      <c r="A190" s="11"/>
      <c r="B190" s="11"/>
    </row>
    <row r="191" customFormat="false" ht="15" hidden="false" customHeight="false" outlineLevel="0" collapsed="false">
      <c r="A191" s="11"/>
      <c r="B191" s="11"/>
    </row>
    <row r="192" customFormat="false" ht="15" hidden="false" customHeight="false" outlineLevel="0" collapsed="false">
      <c r="A192" s="11"/>
      <c r="B192" s="11"/>
    </row>
    <row r="193" customFormat="false" ht="15" hidden="false" customHeight="false" outlineLevel="0" collapsed="false">
      <c r="A193" s="11"/>
      <c r="B193" s="11"/>
    </row>
    <row r="194" customFormat="false" ht="15" hidden="false" customHeight="false" outlineLevel="0" collapsed="false">
      <c r="A194" s="11"/>
      <c r="B194" s="11"/>
    </row>
    <row r="195" customFormat="false" ht="15" hidden="false" customHeight="false" outlineLevel="0" collapsed="false">
      <c r="A195" s="11"/>
      <c r="B195" s="11"/>
    </row>
    <row r="196" customFormat="false" ht="15" hidden="false" customHeight="false" outlineLevel="0" collapsed="false">
      <c r="A196" s="11"/>
      <c r="B196" s="11"/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35</v>
      </c>
    </row>
    <row r="2" customFormat="false" ht="15" hidden="false" customHeight="false" outlineLevel="0" collapsed="false">
      <c r="B2" s="8" t="s">
        <v>36</v>
      </c>
    </row>
    <row r="4" customFormat="false" ht="15" hidden="false" customHeight="false" outlineLevel="0" collapsed="false">
      <c r="B4" s="9" t="s">
        <v>37</v>
      </c>
    </row>
    <row r="5" customFormat="false" ht="30" hidden="false" customHeight="true" outlineLevel="0" collapsed="false">
      <c r="B5" s="10" t="s">
        <v>23</v>
      </c>
      <c r="C5" s="10" t="s">
        <v>27</v>
      </c>
      <c r="D5" s="10" t="s">
        <v>28</v>
      </c>
      <c r="E5" s="10" t="s">
        <v>38</v>
      </c>
      <c r="F5" s="10" t="s">
        <v>39</v>
      </c>
      <c r="G5" s="10" t="s">
        <v>40</v>
      </c>
    </row>
    <row r="6" customFormat="false" ht="15" hidden="false" customHeight="false" outlineLevel="0" collapsed="false">
      <c r="B6" s="14" t="n">
        <f aca="false">IFERROR('Enter data'!$A$6,"")</f>
        <v>0</v>
      </c>
      <c r="C6" s="15" t="n">
        <f aca="false">IFERROR(SUMIFS('Enter data'!$E$12:$E$161,'Enter data'!$A$12:$A$161,'Enter data'!$A$6),"")</f>
        <v>0</v>
      </c>
      <c r="D6" s="15" t="n">
        <f aca="false">IFERROR(SUMIFS('Enter data'!$F$12:$F$161,'Enter data'!$A$12:$A$161,'Enter data'!$A$6),"")</f>
        <v>0</v>
      </c>
      <c r="E6" s="16" t="str">
        <f aca="false">IFERROR(D6/C6,"")</f>
        <v/>
      </c>
      <c r="F6" s="16" t="n">
        <f aca="false">IFERROR(IF(D6=0,0,BETAINV(0.025,D6,C6-D6+1)),"")</f>
        <v>0</v>
      </c>
      <c r="G6" s="16" t="n">
        <f aca="false">IFERROR(IF(D6=C6,1,BETAINV(0.975,D6+1,C6-D6)),"")</f>
        <v>1</v>
      </c>
    </row>
    <row r="7" customFormat="false" ht="15" hidden="false" customHeight="false" outlineLevel="0" collapsed="false">
      <c r="B7" s="14" t="n">
        <f aca="false">IFERROR('Enter data'!$B$6,"")</f>
        <v>0</v>
      </c>
      <c r="C7" s="15" t="n">
        <f aca="false">IFERROR(SUMIFS('Enter data'!$E$12:$E$161,'Enter data'!$A$12:$A$161,'Enter data'!$B$6),"")</f>
        <v>0</v>
      </c>
      <c r="D7" s="15" t="n">
        <f aca="false">IFERROR(SUMIFS('Enter data'!$F$12:$F$161,'Enter data'!$A$12:$A$161,'Enter data'!$B$6),"")</f>
        <v>0</v>
      </c>
      <c r="E7" s="16" t="str">
        <f aca="false">IFERROR(D7/C7,"")</f>
        <v/>
      </c>
      <c r="F7" s="16" t="n">
        <f aca="false">IFERROR(IF(D7=0,0,BETAINV(0.025,D7,C7-D7+1)),"")</f>
        <v>0</v>
      </c>
      <c r="G7" s="16" t="n">
        <f aca="false">IFERROR(IF(D7=C7,1,BETAINV(0.975,D7+1,C7-D7)),"")</f>
        <v>1</v>
      </c>
    </row>
    <row r="8" customFormat="false" ht="15" hidden="false" customHeight="false" outlineLevel="0" collapsed="false">
      <c r="B8" s="14" t="n">
        <f aca="false">IFERROR('Enter data'!$C$6,"")</f>
        <v>0</v>
      </c>
      <c r="C8" s="15" t="n">
        <f aca="false">IFERROR(SUMIFS('Enter data'!$E$12:$E$161,'Enter data'!$A$12:$A$161,'Enter data'!$C$6),"")</f>
        <v>0</v>
      </c>
      <c r="D8" s="15" t="n">
        <f aca="false">IFERROR(SUMIFS('Enter data'!$F$12:$F$161,'Enter data'!$A$12:$A$161,'Enter data'!$C$6),"")</f>
        <v>0</v>
      </c>
      <c r="E8" s="16" t="str">
        <f aca="false">IFERROR(D8/C8,"")</f>
        <v/>
      </c>
      <c r="F8" s="16" t="n">
        <f aca="false">IFERROR(IF(D8=0,0,BETAINV(0.025,D8,C8-D8+1)),"")</f>
        <v>0</v>
      </c>
      <c r="G8" s="16" t="n">
        <f aca="false">IFERROR(IF(D8=C8,1,BETAINV(0.975,D8+1,C8-D8)),"")</f>
        <v>1</v>
      </c>
    </row>
    <row r="11" customFormat="false" ht="15" hidden="false" customHeight="false" outlineLevel="0" collapsed="false">
      <c r="B11" s="9" t="s">
        <v>41</v>
      </c>
    </row>
    <row r="12" customFormat="false" ht="15" hidden="false" customHeight="false" outlineLevel="0" collapsed="false">
      <c r="B12" s="17" t="s">
        <v>42</v>
      </c>
      <c r="C12" s="18" t="n">
        <f aca="false">IFERROR(SUM($C$6:$C$8),"")</f>
        <v>0</v>
      </c>
    </row>
    <row r="13" customFormat="false" ht="15" hidden="false" customHeight="false" outlineLevel="0" collapsed="false">
      <c r="B13" s="17" t="s">
        <v>43</v>
      </c>
      <c r="C13" s="18" t="n">
        <f aca="false">IFERROR(SUM($D$6:$D$8),"")</f>
        <v>0</v>
      </c>
    </row>
    <row r="14" customFormat="false" ht="15" hidden="false" customHeight="false" outlineLevel="0" collapsed="false">
      <c r="B14" s="17" t="s">
        <v>44</v>
      </c>
      <c r="C14" s="19" t="str">
        <f aca="false">IFERROR((($D$6-$C$6*$C$13/$C$12)^2/($C$6*$C$13/$C$12)+(($C$6-$D$6)-$C$6*($C$12-$C$13)/$C$12)^2/($C$6*($C$12-$C$13)/$C$12))+(($D$7-$C$7*$C$13/$C$12)^2/($C$7*$C$13/$C$12)+(($C$7-$D$7)-$C$7*($C$12-$C$13)/$C$12)^2/($C$7*($C$12-$C$13)/$C$12))+(($D$8-$C$8*$C$13/$C$12)^2/($C$8*$C$13/$C$12)+(($C$8-$D$8)-$C$8*($C$12-$C$13)/$C$12)^2/($C$8*($C$12-$C$13)/$C$12)),"")</f>
        <v/>
      </c>
    </row>
    <row r="15" customFormat="false" ht="15" hidden="false" customHeight="false" outlineLevel="0" collapsed="false">
      <c r="B15" s="17" t="s">
        <v>45</v>
      </c>
      <c r="C15" s="20" t="str">
        <f aca="false">IFERROR(CHIDIST($C$14,2),"")</f>
        <v/>
      </c>
    </row>
    <row r="17" customFormat="false" ht="15" hidden="false" customHeight="false" outlineLevel="0" collapsed="false">
      <c r="B17" s="9" t="s">
        <v>46</v>
      </c>
    </row>
    <row r="18" customFormat="false" ht="15" hidden="false" customHeight="false" outlineLevel="0" collapsed="false">
      <c r="B18" s="17" t="s">
        <v>47</v>
      </c>
      <c r="C18" s="18" t="n">
        <f aca="false">IFERROR(COUNTIFS('Enter data'!$A$167:$A$196,"yes",'Enter data'!$B$167:$B$196,"yes")+COUNTIFS('Enter data'!$A$167:$A$196,"yes",'Enter data'!$B$167:$B$196,"no")+COUNTIFS('Enter data'!$A$167:$A$196,"no",'Enter data'!$B$167:$B$196,"yes")+COUNTIFS('Enter data'!$A$167:$A$196,"no",'Enter data'!$B$167:$B$196,"no"),"")</f>
        <v>0</v>
      </c>
    </row>
    <row r="19" customFormat="false" ht="15" hidden="false" customHeight="false" outlineLevel="0" collapsed="false">
      <c r="B19" s="17" t="s">
        <v>48</v>
      </c>
      <c r="C19" s="19" t="str">
        <f aca="false">IFERROR((COUNTIFS('Enter data'!$A$167:$A$196,"yes",'Enter data'!$B$167:$B$196,"yes")+COUNTIFS('Enter data'!$A$167:$A$196,"no",'Enter data'!$B$167:$B$196,"no"))/$C$18,"")</f>
        <v/>
      </c>
    </row>
    <row r="20" customFormat="false" ht="15" hidden="false" customHeight="false" outlineLevel="0" collapsed="false">
      <c r="B20" s="17" t="s">
        <v>49</v>
      </c>
      <c r="C20" s="19" t="str">
        <f aca="false">IFERROR(((COUNTIFS('Enter data'!$A$167:$A$196,"yes",'Enter data'!$B$167:$B$196,"yes")+COUNTIFS('Enter data'!$A$167:$A$196,"yes",'Enter data'!$B$167:$B$196,"no"))*(COUNTIFS('Enter data'!$A$167:$A$196,"yes",'Enter data'!$B$167:$B$196,"yes")+COUNTIFS('Enter data'!$A$167:$A$196,"no",'Enter data'!$B$167:$B$196,"yes"))+(COUNTIFS('Enter data'!$A$167:$A$196,"no",'Enter data'!$B$167:$B$196,"yes")+COUNTIFS('Enter data'!$A$167:$A$196,"no",'Enter data'!$B$167:$B$196,"no"))*(COUNTIFS('Enter data'!$A$167:$A$196,"yes",'Enter data'!$B$167:$B$196,"no")+COUNTIFS('Enter data'!$A$167:$A$196,"no",'Enter data'!$B$167:$B$196,"no")))/$C$18^2,"")</f>
        <v/>
      </c>
    </row>
    <row r="21" customFormat="false" ht="15" hidden="false" customHeight="false" outlineLevel="0" collapsed="false">
      <c r="B21" s="17" t="s">
        <v>50</v>
      </c>
      <c r="C21" s="19" t="str">
        <f aca="false">IFERROR(($C$19-$C$20)/(1-$C$20),"")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2026-10-01T00:32:03Z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2026-10-01T00:32:03Z</dcterms:modified>
  <cp:revision>0</cp:revision>
  <dc:subject/>
  <dc:title>BOT-06 / PAR-02 Testing an identification key: accuracy and scorer agreement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