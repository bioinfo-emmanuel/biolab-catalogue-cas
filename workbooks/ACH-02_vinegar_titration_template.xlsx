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<sst xmlns="http://schemas.openxmlformats.org/spreadsheetml/2006/main" count="50" uniqueCount="48">
  <si>
    <t xml:space="preserve">ACH-02  Acetic acid in vinegar by titration</t>
  </si>
  <si>
    <t xml:space="preserve">Excel version of the card. It does the same calculations as the R script ach02_vinegar_titration.R.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</si>
  <si>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</si>
  <si>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</si>
  <si>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</si>
  <si>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</si>
  <si>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</si>
  <si>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</si>
  <si>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</si>
  <si>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</si>
  <si>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NaOH molarity = (KHP mass / 204.22 g/mol) / NaOH volume in litres. Acetic acid (g per 100 mL of vinegar) = M x V(NaOH, L) x 60.05 / (aliquot mL / dilution factor) x 100.</t>
  </si>
  <si>
    <t xml:space="preserve">Check whether the label gives percent by volume or by mass; vinegar density is close to 1 g/mL.</t>
  </si>
  <si>
    <t xml:space="preserve">Differences from the R script on the card</t>
  </si>
  <si>
    <t xml:space="preserve">The R script also shows what happens if the NaOH is not standardized. That comparison is left out here; standardize every time.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</si>
  <si>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</si>
  <si>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</si>
  <si>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</si>
  <si>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</si>
  <si>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Standardization of the NaOH</t>
  </si>
  <si>
    <t xml:space="preserve">KHP mass (g)</t>
  </si>
  <si>
    <t xml:space="preserve">NaOH volume to endpoint (mL)</t>
  </si>
  <si>
    <t xml:space="preserve">NaOH molarity</t>
  </si>
  <si>
    <t xml:space="preserve">2. Vinegars</t>
  </si>
  <si>
    <t xml:space="preserve">Vinegar name</t>
  </si>
  <si>
    <t xml:space="preserve">Label strength (g per 100 mL)</t>
  </si>
  <si>
    <t xml:space="preserve">Brand A</t>
  </si>
  <si>
    <t xml:space="preserve">3. NaOH volumes for vinegar 1 (one row per titration)</t>
  </si>
  <si>
    <t xml:space="preserve">NaOH volume (mL)</t>
  </si>
  <si>
    <t xml:space="preserve">4. NaOH volumes for vinegar 2 (one row per titration)</t>
  </si>
  <si>
    <t xml:space="preserve">5. NaOH volumes for vinegar 3 (one row per titration)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</si>
  <si>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</si>
  <si>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</si>
  <si>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</si>
  <si>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Aliquot titrated (mL)</t>
  </si>
  <si>
    <t xml:space="preserve">Dilution factor (10 mL made up to 100 mL = 10)</t>
  </si>
  <si>
    <t xml:space="preserve">NaOH standardization</t>
  </si>
  <si>
    <t xml:space="preserve">Standardizations used</t>
  </si>
  <si>
    <t xml:space="preserve">Mean molarity</t>
  </si>
  <si>
    <t xml:space="preserve">Standard deviation of the molarity</t>
  </si>
  <si>
    <t xml:space="preserve">Acetic acid in each vinegar (g per 100 mL)</t>
  </si>
  <si>
    <t xml:space="preserve">Vinegar</t>
  </si>
  <si>
    <t xml:space="preserve">n</t>
  </si>
  <si>
    <t xml:space="preserve">Label</t>
  </si>
  <si>
    <t xml:space="preserve">Mean</t>
  </si>
  <si>
    <t xml:space="preserve">SD</t>
  </si>
  <si>
    <t xml:space="preserve">95% CI, lower</t>
  </si>
  <si>
    <t xml:space="preserve">95% CI, upper</t>
  </si>
  <si>
    <t xml:space="preserve">p (mean = label)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</si>
</sst>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"/>
    <numFmt numFmtId="167" formatCode="0.0"/>
    <numFmt numFmtId="168" formatCode="0.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</row>
    <row r="6" customFormat="false" ht="15" hidden="false" customHeight="false" outlineLevel="0" collapsed="false">
      <c r="A6" s="11" t="n">
        <v>0.51</v>
      </c>
      <c r="B6" s="11" t="n">
        <v>24.95</v>
      </c>
    </row>
    <row r="7" customFormat="false" ht="15" hidden="false" customHeight="false" outlineLevel="0" collapsed="false">
      <c r="A7" s="12"/>
      <c r="B7" s="12"/>
      <c r="C7" s="13" t="str">
        <f aca="false">IF(AND(ISNUMBER(A7),ISNUMBER(B7)),(A7/204.22)/(B7/1000),"")</f>
        <v/>
      </c>
    </row>
    <row r="8" customFormat="false" ht="15" hidden="false" customHeight="false" outlineLevel="0" collapsed="false">
      <c r="A8" s="12"/>
      <c r="B8" s="12"/>
      <c r="C8" s="13" t="str">
        <f aca="false">IF(AND(ISNUMBER(A8),ISNUMBER(B8)),(A8/204.22)/(B8/1000),"")</f>
        <v/>
      </c>
    </row>
    <row r="9" customFormat="false" ht="15" hidden="false" customHeight="false" outlineLevel="0" collapsed="false">
      <c r="A9" s="12"/>
      <c r="B9" s="12"/>
      <c r="C9" s="13" t="str">
        <f aca="false">IF(AND(ISNUMBER(A9),ISNUMBER(B9)),(A9/204.22)/(B9/1000),"")</f>
        <v/>
      </c>
    </row>
    <row r="10" customFormat="false" ht="15" hidden="false" customHeight="false" outlineLevel="0" collapsed="false">
      <c r="A10" s="12"/>
      <c r="B10" s="12"/>
      <c r="C10" s="13" t="str">
        <f aca="false">IF(AND(ISNUMBER(A10),ISNUMBER(B10)),(A10/204.22)/(B10/1000),"")</f>
        <v/>
      </c>
    </row>
    <row r="11" customFormat="false" ht="15" hidden="false" customHeight="false" outlineLevel="0" collapsed="false">
      <c r="A11" s="12"/>
      <c r="B11" s="12"/>
      <c r="C11" s="13" t="str">
        <f aca="false">IF(AND(ISNUMBER(A11),ISNUMBER(B11)),(A11/204.22)/(B11/1000),"")</f>
        <v/>
      </c>
    </row>
    <row r="12" customFormat="false" ht="15" hidden="false" customHeight="false" outlineLevel="0" collapsed="false">
      <c r="A12" s="12"/>
      <c r="B12" s="12"/>
      <c r="C12" s="13" t="str">
        <f aca="false">IF(AND(ISNUMBER(A12),ISNUMBER(B12)),(A12/204.22)/(B12/1000),"")</f>
        <v/>
      </c>
    </row>
    <row r="15" customFormat="false" ht="15" hidden="false" customHeight="false" outlineLevel="0" collapsed="false">
      <c r="A15" s="9" t="s">
        <v>22</v>
      </c>
    </row>
    <row r="16" customFormat="false" ht="31.5" hidden="false" customHeight="true" outlineLevel="0" collapsed="false">
      <c r="A16" s="10" t="s">
        <v>23</v>
      </c>
      <c r="B16" s="10" t="s">
        <v>24</v>
      </c>
    </row>
    <row r="17" customFormat="false" ht="15" hidden="false" customHeight="false" outlineLevel="0" collapsed="false">
      <c r="A17" s="11" t="s">
        <v>25</v>
      </c>
      <c r="B17" s="11" t="n">
        <v>5</v>
      </c>
    </row>
    <row r="18" customFormat="false" ht="15" hidden="false" customHeight="false" outlineLevel="0" collapsed="false">
      <c r="A18" s="12"/>
      <c r="B18" s="12"/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2"/>
      <c r="B20" s="12"/>
    </row>
    <row r="23" customFormat="false" ht="15" hidden="false" customHeight="false" outlineLevel="0" collapsed="false">
      <c r="A23" s="9" t="s">
        <v>26</v>
      </c>
    </row>
    <row r="24" customFormat="false" ht="31.5" hidden="false" customHeight="true" outlineLevel="0" collapsed="false">
      <c r="A24" s="10" t="s">
        <v>27</v>
      </c>
    </row>
    <row r="25" customFormat="false" ht="15" hidden="false" customHeight="false" outlineLevel="0" collapsed="false">
      <c r="A25" s="11" t="n">
        <v>8.3</v>
      </c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4" customFormat="false" ht="15" hidden="false" customHeight="false" outlineLevel="0" collapsed="false">
      <c r="A34" s="9" t="s">
        <v>28</v>
      </c>
    </row>
    <row r="35" customFormat="false" ht="31.5" hidden="false" customHeight="true" outlineLevel="0" collapsed="false">
      <c r="A35" s="10" t="s">
        <v>27</v>
      </c>
    </row>
    <row r="36" customFormat="false" ht="15" hidden="false" customHeight="false" outlineLevel="0" collapsed="false">
      <c r="A36" s="11" t="n">
        <v>8.3</v>
      </c>
    </row>
    <row r="37" customFormat="false" ht="15" hidden="false" customHeight="false" outlineLevel="0" collapsed="false">
      <c r="A37" s="12"/>
    </row>
    <row r="38" customFormat="false" ht="15" hidden="false" customHeight="false" outlineLevel="0" collapsed="false">
      <c r="A38" s="12"/>
    </row>
    <row r="39" customFormat="false" ht="15" hidden="false" customHeight="false" outlineLevel="0" collapsed="false">
      <c r="A39" s="12"/>
    </row>
    <row r="40" customFormat="false" ht="15" hidden="false" customHeight="false" outlineLevel="0" collapsed="false">
      <c r="A40" s="12"/>
    </row>
    <row r="41" customFormat="false" ht="15" hidden="false" customHeight="false" outlineLevel="0" collapsed="false">
      <c r="A41" s="12"/>
    </row>
    <row r="42" customFormat="false" ht="15" hidden="false" customHeight="false" outlineLevel="0" collapsed="false">
      <c r="A42" s="12"/>
    </row>
    <row r="45" customFormat="false" ht="15" hidden="false" customHeight="false" outlineLevel="0" collapsed="false">
      <c r="A45" s="9" t="s">
        <v>29</v>
      </c>
    </row>
    <row r="46" customFormat="false" ht="31.5" hidden="false" customHeight="true" outlineLevel="0" collapsed="false">
      <c r="A46" s="10" t="s">
        <v>27</v>
      </c>
    </row>
    <row r="47" customFormat="false" ht="15" hidden="false" customHeight="false" outlineLevel="0" collapsed="false">
      <c r="A47" s="11" t="n">
        <v>8.3</v>
      </c>
    </row>
    <row r="48" customFormat="false" ht="15" hidden="false" customHeight="false" outlineLevel="0" collapsed="false">
      <c r="A48" s="12"/>
    </row>
    <row r="49" customFormat="false" ht="15" hidden="false" customHeight="false" outlineLevel="0" collapsed="false">
      <c r="A49" s="12"/>
    </row>
    <row r="50" customFormat="false" ht="15" hidden="false" customHeight="false" outlineLevel="0" collapsed="false">
      <c r="A50" s="12"/>
    </row>
    <row r="51" customFormat="false" ht="15" hidden="false" customHeight="false" outlineLevel="0" collapsed="false">
      <c r="A51" s="12"/>
    </row>
    <row r="52" customFormat="false" ht="15" hidden="false" customHeight="false" outlineLevel="0" collapsed="false">
      <c r="A52" s="12"/>
    </row>
    <row r="53" customFormat="false" ht="15" hidden="false" customHeight="false" outlineLevel="0" collapsed="false">
      <c r="A53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12 B18:B20 A26:A31 A37:A42 A48:A5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30</v>
      </c>
    </row>
    <row r="2" customFormat="false" ht="15" hidden="false" customHeight="false" outlineLevel="0" collapsed="false">
      <c r="B2" s="8" t="s">
        <v>31</v>
      </c>
    </row>
    <row r="4" customFormat="false" ht="15" hidden="false" customHeight="false" outlineLevel="0" collapsed="false">
      <c r="B4" s="9" t="s">
        <v>32</v>
      </c>
    </row>
    <row r="5" customFormat="false" ht="15" hidden="false" customHeight="false" outlineLevel="0" collapsed="false">
      <c r="B5" s="14" t="s">
        <v>33</v>
      </c>
      <c r="C5" s="12" t="n">
        <v>10</v>
      </c>
      <c r="D5" s="8"/>
    </row>
    <row r="6" customFormat="false" ht="15" hidden="false" customHeight="false" outlineLevel="0" collapsed="false">
      <c r="B6" s="14" t="s">
        <v>34</v>
      </c>
      <c r="C6" s="12" t="n">
        <v>10</v>
      </c>
      <c r="D6" s="8"/>
    </row>
    <row r="8" customFormat="false" ht="15" hidden="false" customHeight="false" outlineLevel="0" collapsed="false">
      <c r="B8" s="9" t="s">
        <v>35</v>
      </c>
    </row>
    <row r="9" customFormat="false" ht="15" hidden="false" customHeight="false" outlineLevel="0" collapsed="false">
      <c r="B9" s="14" t="s">
        <v>36</v>
      </c>
      <c r="C9" s="15" t="n">
        <f aca="false">IFERROR(COUNT('Enter data'!$C$7:$C$12),"")</f>
        <v>0</v>
      </c>
    </row>
    <row r="10" customFormat="false" ht="15" hidden="false" customHeight="false" outlineLevel="0" collapsed="false">
      <c r="B10" s="14" t="s">
        <v>37</v>
      </c>
      <c r="C10" s="16" t="str">
        <f aca="false">IFERROR(AVERAGE('Enter data'!$C$7:$C$12),"")</f>
        <v/>
      </c>
    </row>
    <row r="11" customFormat="false" ht="15" hidden="false" customHeight="false" outlineLevel="0" collapsed="false">
      <c r="B11" s="14" t="s">
        <v>38</v>
      </c>
      <c r="C11" s="16" t="str">
        <f aca="false">IFERROR(STDEV('Enter data'!$C$7:$C$12),"")</f>
        <v/>
      </c>
    </row>
    <row r="13" customFormat="false" ht="15" hidden="false" customHeight="false" outlineLevel="0" collapsed="false">
      <c r="B13" s="9" t="s">
        <v>39</v>
      </c>
    </row>
    <row r="14" customFormat="false" ht="30" hidden="false" customHeight="true" outlineLevel="0" collapsed="false">
      <c r="B14" s="10" t="s">
        <v>40</v>
      </c>
      <c r="C14" s="10" t="s">
        <v>41</v>
      </c>
      <c r="D14" s="10" t="s">
        <v>42</v>
      </c>
      <c r="E14" s="10" t="s">
        <v>43</v>
      </c>
      <c r="F14" s="10" t="s">
        <v>44</v>
      </c>
      <c r="G14" s="10" t="s">
        <v>45</v>
      </c>
      <c r="H14" s="10" t="s">
        <v>46</v>
      </c>
      <c r="I14" s="10" t="s">
        <v>47</v>
      </c>
    </row>
    <row r="15" customFormat="false" ht="15" hidden="false" customHeight="false" outlineLevel="0" collapsed="false">
      <c r="B15" s="17" t="str">
        <f aca="false">IFERROR(IF('Enter data'!$A$18="","",'Enter data'!$A$18),"")</f>
        <v/>
      </c>
      <c r="C15" s="18" t="n">
        <f aca="false">IFERROR(COUNT('Enter data'!$A$26:$A$31),"")</f>
        <v>0</v>
      </c>
      <c r="D15" s="19" t="n">
        <f aca="false">IFERROR('Enter data'!$B$18,"")</f>
        <v>0</v>
      </c>
      <c r="E15" s="20" t="str">
        <f aca="false">IFERROR(AVERAGE('Enter data'!$A$26:$A$31)*$C$10/1000*60.05/(Results!$C$5/Results!$C$6)*100,"")</f>
        <v/>
      </c>
      <c r="F15" s="21" t="str">
        <f aca="false">IFERROR(STDEV('Enter data'!$A$26:$A$31)*$C$10/1000*60.05/(Results!$C$5/Results!$C$6)*100,"")</f>
        <v/>
      </c>
      <c r="G15" s="20" t="str">
        <f aca="false">IFERROR(E15-TINV(0.05,C15-1)*F15/SQRT(C15),"")</f>
        <v/>
      </c>
      <c r="H15" s="20" t="str">
        <f aca="false">IFERROR(E15+TINV(0.05,C15-1)*F15/SQRT(C15),"")</f>
        <v/>
      </c>
      <c r="I15" s="22" t="str">
        <f aca="false">IFERROR(TDIST(ABS((E15-D15)/(F15/SQRT(C15))),C15-1,2),"")</f>
        <v/>
      </c>
    </row>
    <row r="16" customFormat="false" ht="15" hidden="false" customHeight="false" outlineLevel="0" collapsed="false">
      <c r="B16" s="17" t="str">
        <f aca="false">IFERROR(IF('Enter data'!$A$19="","",'Enter data'!$A$19),"")</f>
        <v/>
      </c>
      <c r="C16" s="18" t="n">
        <f aca="false">IFERROR(COUNT('Enter data'!$A$37:$A$42),"")</f>
        <v>0</v>
      </c>
      <c r="D16" s="19" t="n">
        <f aca="false">IFERROR('Enter data'!$B$19,"")</f>
        <v>0</v>
      </c>
      <c r="E16" s="20" t="str">
        <f aca="false">IFERROR(AVERAGE('Enter data'!$A$37:$A$42)*$C$10/1000*60.05/(Results!$C$5/Results!$C$6)*100,"")</f>
        <v/>
      </c>
      <c r="F16" s="21" t="str">
        <f aca="false">IFERROR(STDEV('Enter data'!$A$37:$A$42)*$C$10/1000*60.05/(Results!$C$5/Results!$C$6)*100,"")</f>
        <v/>
      </c>
      <c r="G16" s="20" t="str">
        <f aca="false">IFERROR(E16-TINV(0.05,C16-1)*F16/SQRT(C16),"")</f>
        <v/>
      </c>
      <c r="H16" s="20" t="str">
        <f aca="false">IFERROR(E16+TINV(0.05,C16-1)*F16/SQRT(C16),"")</f>
        <v/>
      </c>
      <c r="I16" s="22" t="str">
        <f aca="false">IFERROR(TDIST(ABS((E16-D16)/(F16/SQRT(C16))),C16-1,2),"")</f>
        <v/>
      </c>
    </row>
    <row r="17" customFormat="false" ht="15" hidden="false" customHeight="false" outlineLevel="0" collapsed="false">
      <c r="B17" s="17" t="str">
        <f aca="false">IFERROR(IF('Enter data'!$A$20="","",'Enter data'!$A$20),"")</f>
        <v/>
      </c>
      <c r="C17" s="18" t="n">
        <f aca="false">IFERROR(COUNT('Enter data'!$A$48:$A$53),"")</f>
        <v>0</v>
      </c>
      <c r="D17" s="19" t="n">
        <f aca="false">IFERROR('Enter data'!$B$20,"")</f>
        <v>0</v>
      </c>
      <c r="E17" s="20" t="str">
        <f aca="false">IFERROR(AVERAGE('Enter data'!$A$48:$A$53)*$C$10/1000*60.05/(Results!$C$5/Results!$C$6)*100,"")</f>
        <v/>
      </c>
      <c r="F17" s="21" t="str">
        <f aca="false">IFERROR(STDEV('Enter data'!$A$48:$A$53)*$C$10/1000*60.05/(Results!$C$5/Results!$C$6)*100,"")</f>
        <v/>
      </c>
      <c r="G17" s="20" t="str">
        <f aca="false">IFERROR(E17-TINV(0.05,C17-1)*F17/SQRT(C17),"")</f>
        <v/>
      </c>
      <c r="H17" s="20" t="str">
        <f aca="false">IFERROR(E17+TINV(0.05,C17-1)*F17/SQRT(C17),"")</f>
        <v/>
      </c>
      <c r="I17" s="22" t="str">
        <f aca="false">IFERROR(TDIST(ABS((E17-D17)/(F17/SQRT(C17))),C17-1,2),"")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2026-10-01T00:29:22Z</dcterms:modified>
  <cp:revision>0</cp:revision>
  <dc:subject/>
  <dc:title>ACH-02 Acetic acid in vinegar by titration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