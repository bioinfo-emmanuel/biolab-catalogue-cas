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<sst xmlns="http://schemas.openxmlformats.org/spreadsheetml/2006/main" count="44" uniqueCount="43">
  <si>
    <t xml:space="preserve">GEN-02  Gene mapping from a three-point testcross</t>
  </si>
  <si>
    <t xml:space="preserve">Excel version of the card. It does the same calculations as the R script gen02_three_point_cross.R.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</si>
  <si>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</si>
  <si>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</si>
  <si>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</si>
  <si>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</si>
  <si>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</si>
  <si>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</si>
  <si>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</si>
  <si>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</si>
  <si>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Sort the eight progeny classes by hand as the card teaches: the two most common are parental, the two rarest are double crossovers; the gene that changes between a double-crossover class and its parental class is in the middle. Then type each class's group here.</t>
  </si>
  <si>
    <t xml:space="preserve">Group names to type in column 2: parental, first, second, double. 'first' = crossover between the first pair of genes only; 'second' = crossover between the second pair only; 'double' = both.</t>
  </si>
  <si>
    <t xml:space="preserve">Distance for an interval = (single crossovers in it + double crossovers) / total progeny x 100 cM. Coefficient of coincidence = observed double crossovers / (r1 x r2); interference = 1 minus that.</t>
  </si>
  <si>
    <t xml:space="preserve">Differences from the R script on the card</t>
  </si>
  <si>
    <t xml:space="preserve">The R script identifies the classes and the gene order automatically and simulates crosses. Here you assign the groups yourself; the simulation is not repeated.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</si>
  <si>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</si>
  <si>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</si>
  <si>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</si>
  <si>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</si>
  <si>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Progeny classes</t>
  </si>
  <si>
    <t xml:space="preserve">Class (for example ABC)</t>
  </si>
  <si>
    <t xml:space="preserve">Group (parental, first, second or double)</t>
  </si>
  <si>
    <t xml:space="preserve">Count</t>
  </si>
  <si>
    <t xml:space="preserve">ABC</t>
  </si>
  <si>
    <t xml:space="preserve">parental</t>
  </si>
  <si>
    <t xml:space="preserve">Results</t>
  </si>
  <si>
    <t xml:space="preserve">Everything on this sheet is calculated. Change only the yellow settings.</t>
  </si>
  <si>
    <t xml:space="preserve">Map distances</t>
  </si>
  <si>
    <t xml:space="preserve">Total progeny</t>
  </si>
  <si>
    <t xml:space="preserve">Progeny in group 'parental'</t>
  </si>
  <si>
    <t xml:space="preserve">Progeny in group 'first'</t>
  </si>
  <si>
    <t xml:space="preserve">Progeny in group 'second'</t>
  </si>
  <si>
    <t xml:space="preserve">Progeny in group 'double'</t>
  </si>
  <si>
    <t xml:space="preserve">Distance, first interval (cM)</t>
  </si>
  <si>
    <t xml:space="preserve">Distance, second interval (cM)</t>
  </si>
  <si>
    <t xml:space="preserve">Standard error, first interval (cM)</t>
  </si>
  <si>
    <t xml:space="preserve">Standard error, second interval (cM)</t>
  </si>
  <si>
    <t xml:space="preserve">Interference</t>
  </si>
  <si>
    <t xml:space="preserve">Expected double crossovers if independent</t>
  </si>
  <si>
    <t xml:space="preserve">Coefficient of coincidence</t>
  </si>
  <si>
    <t xml:space="preserve">Map distance versus recombinant fraction (no interference)</t>
  </si>
  <si>
    <t xml:space="preserve">Observed A-C recombinant fraction for intervals of 40 and 20 cM</t>
  </si>
  <si>
    <t xml:space="preserve">Map distance A-C = 60 cM, but double crossovers restore the parental combination.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</si>
</sst>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23.8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3" t="s">
        <v>13</v>
      </c>
    </row>
    <row r="19" customFormat="false" ht="23.8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6" t="s">
        <v>15</v>
      </c>
    </row>
    <row r="22" customFormat="false" ht="15" hidden="false" customHeight="false" outlineLevel="0" collapsed="false">
      <c r="B22" s="2"/>
    </row>
    <row r="23" customFormat="false" ht="22.35" hidden="false" customHeight="false" outlineLevel="0" collapsed="false">
      <c r="B23" s="6" t="s">
        <v>16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17</v>
      </c>
    </row>
    <row r="2" customFormat="false" ht="15" hidden="false" customHeight="false" outlineLevel="0" collapsed="false">
      <c r="A2" s="8" t="s">
        <v>18</v>
      </c>
    </row>
    <row r="4" customFormat="false" ht="15" hidden="false" customHeight="false" outlineLevel="0" collapsed="false">
      <c r="A4" s="9" t="s">
        <v>19</v>
      </c>
    </row>
    <row r="5" customFormat="false" ht="31.5" hidden="false" customHeight="true" outlineLevel="0" collapsed="false">
      <c r="A5" s="10" t="s">
        <v>20</v>
      </c>
      <c r="B5" s="10" t="s">
        <v>21</v>
      </c>
      <c r="C5" s="10" t="s">
        <v>22</v>
      </c>
    </row>
    <row r="6" customFormat="false" ht="15" hidden="false" customHeight="false" outlineLevel="0" collapsed="false">
      <c r="A6" s="11" t="s">
        <v>23</v>
      </c>
      <c r="B6" s="11" t="s">
        <v>24</v>
      </c>
      <c r="C6" s="11" t="n">
        <v>342</v>
      </c>
    </row>
    <row r="7" customFormat="false" ht="15" hidden="false" customHeight="false" outlineLevel="0" collapsed="false">
      <c r="A7" s="12"/>
      <c r="B7" s="12"/>
      <c r="C7" s="12"/>
    </row>
    <row r="8" customFormat="false" ht="15" hidden="false" customHeight="false" outlineLevel="0" collapsed="false">
      <c r="A8" s="12"/>
      <c r="B8" s="12"/>
      <c r="C8" s="12"/>
    </row>
    <row r="9" customFormat="false" ht="15" hidden="false" customHeight="false" outlineLevel="0" collapsed="false">
      <c r="A9" s="12"/>
      <c r="B9" s="12"/>
      <c r="C9" s="12"/>
    </row>
    <row r="10" customFormat="false" ht="15" hidden="false" customHeight="false" outlineLevel="0" collapsed="false">
      <c r="A10" s="12"/>
      <c r="B10" s="12"/>
      <c r="C10" s="12"/>
    </row>
    <row r="11" customFormat="false" ht="15" hidden="false" customHeight="false" outlineLevel="0" collapsed="false">
      <c r="A11" s="12"/>
      <c r="B11" s="12"/>
      <c r="C11" s="12"/>
    </row>
    <row r="12" customFormat="false" ht="15" hidden="false" customHeight="false" outlineLevel="0" collapsed="false">
      <c r="A12" s="12"/>
      <c r="B12" s="12"/>
      <c r="C12" s="12"/>
    </row>
    <row r="13" customFormat="false" ht="15" hidden="false" customHeight="false" outlineLevel="0" collapsed="false">
      <c r="A13" s="12"/>
      <c r="B13" s="12"/>
      <c r="C13" s="12"/>
    </row>
    <row r="14" customFormat="false" ht="15" hidden="false" customHeight="false" outlineLevel="0" collapsed="false">
      <c r="A14" s="12"/>
      <c r="B14" s="12"/>
      <c r="C14" s="12"/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C7:C14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25</v>
      </c>
    </row>
    <row r="2" customFormat="false" ht="15" hidden="false" customHeight="false" outlineLevel="0" collapsed="false">
      <c r="B2" s="8" t="s">
        <v>26</v>
      </c>
    </row>
    <row r="4" customFormat="false" ht="15" hidden="false" customHeight="false" outlineLevel="0" collapsed="false">
      <c r="B4" s="9" t="s">
        <v>27</v>
      </c>
    </row>
    <row r="5" customFormat="false" ht="15" hidden="false" customHeight="false" outlineLevel="0" collapsed="false">
      <c r="B5" s="13" t="s">
        <v>28</v>
      </c>
      <c r="C5" s="14" t="n">
        <f aca="false">IFERROR(SUM('Enter data'!$C$7:$C$14),"")</f>
        <v>0</v>
      </c>
    </row>
    <row r="6" customFormat="false" ht="15" hidden="false" customHeight="false" outlineLevel="0" collapsed="false">
      <c r="B6" s="13" t="s">
        <v>29</v>
      </c>
      <c r="C6" s="14" t="n">
        <f aca="false">IFERROR(SUMIF('Enter data'!$B$7:$B$14,"parental",'Enter data'!$C$7:$C$14),"")</f>
        <v>0</v>
      </c>
    </row>
    <row r="7" customFormat="false" ht="15" hidden="false" customHeight="false" outlineLevel="0" collapsed="false">
      <c r="B7" s="13" t="s">
        <v>30</v>
      </c>
      <c r="C7" s="14" t="n">
        <f aca="false">IFERROR(SUMIF('Enter data'!$B$7:$B$14,"first",'Enter data'!$C$7:$C$14),"")</f>
        <v>0</v>
      </c>
    </row>
    <row r="8" customFormat="false" ht="15" hidden="false" customHeight="false" outlineLevel="0" collapsed="false">
      <c r="B8" s="13" t="s">
        <v>31</v>
      </c>
      <c r="C8" s="14" t="n">
        <f aca="false">IFERROR(SUMIF('Enter data'!$B$7:$B$14,"second",'Enter data'!$C$7:$C$14),"")</f>
        <v>0</v>
      </c>
    </row>
    <row r="9" customFormat="false" ht="15" hidden="false" customHeight="false" outlineLevel="0" collapsed="false">
      <c r="B9" s="13" t="s">
        <v>32</v>
      </c>
      <c r="C9" s="14" t="n">
        <f aca="false">IFERROR(SUMIF('Enter data'!$B$7:$B$14,"double",'Enter data'!$C$7:$C$14),"")</f>
        <v>0</v>
      </c>
    </row>
    <row r="10" customFormat="false" ht="15" hidden="false" customHeight="false" outlineLevel="0" collapsed="false">
      <c r="B10" s="13" t="s">
        <v>33</v>
      </c>
      <c r="C10" s="15" t="str">
        <f aca="false">IFERROR(100*($C$7+$C$9)/$C$5,"")</f>
        <v/>
      </c>
    </row>
    <row r="11" customFormat="false" ht="15" hidden="false" customHeight="false" outlineLevel="0" collapsed="false">
      <c r="B11" s="13" t="s">
        <v>34</v>
      </c>
      <c r="C11" s="15" t="str">
        <f aca="false">IFERROR(100*($C$8+$C$9)/$C$5,"")</f>
        <v/>
      </c>
    </row>
    <row r="12" customFormat="false" ht="15" hidden="false" customHeight="false" outlineLevel="0" collapsed="false">
      <c r="B12" s="13" t="s">
        <v>35</v>
      </c>
      <c r="C12" s="16" t="str">
        <f aca="false">IFERROR(100*SQRT(($C$10/100)*(1-$C$10/100)/$C$5),"")</f>
        <v/>
      </c>
    </row>
    <row r="13" customFormat="false" ht="15" hidden="false" customHeight="false" outlineLevel="0" collapsed="false">
      <c r="B13" s="13" t="s">
        <v>36</v>
      </c>
      <c r="C13" s="16" t="str">
        <f aca="false">IFERROR(100*SQRT(($C$11/100)*(1-$C$11/100)/$C$5),"")</f>
        <v/>
      </c>
    </row>
    <row r="15" customFormat="false" ht="15" hidden="false" customHeight="false" outlineLevel="0" collapsed="false">
      <c r="B15" s="9" t="s">
        <v>37</v>
      </c>
    </row>
    <row r="16" customFormat="false" ht="15" hidden="false" customHeight="false" outlineLevel="0" collapsed="false">
      <c r="B16" s="13" t="s">
        <v>38</v>
      </c>
      <c r="C16" s="15" t="str">
        <f aca="false">IFERROR($C$5*($C$10/100)*($C$11/100),"")</f>
        <v/>
      </c>
    </row>
    <row r="17" customFormat="false" ht="15" hidden="false" customHeight="false" outlineLevel="0" collapsed="false">
      <c r="B17" s="13" t="s">
        <v>39</v>
      </c>
      <c r="C17" s="16" t="str">
        <f aca="false">IFERROR($C$9/$C$16,"")</f>
        <v/>
      </c>
    </row>
    <row r="18" customFormat="false" ht="15" hidden="false" customHeight="false" outlineLevel="0" collapsed="false">
      <c r="B18" s="13" t="s">
        <v>37</v>
      </c>
      <c r="C18" s="16" t="str">
        <f aca="false">IFERROR(1-$C$17,"")</f>
        <v/>
      </c>
    </row>
    <row r="20" customFormat="false" ht="15" hidden="false" customHeight="false" outlineLevel="0" collapsed="false">
      <c r="B20" s="9" t="s">
        <v>40</v>
      </c>
    </row>
    <row r="21" customFormat="false" ht="15" hidden="false" customHeight="false" outlineLevel="0" collapsed="false">
      <c r="B21" s="13" t="s">
        <v>41</v>
      </c>
      <c r="C21" s="16" t="n">
        <f aca="false">IFERROR(0.4+0.2-2*0.4*0.2,"")</f>
        <v>0.44</v>
      </c>
      <c r="D21" s="8" t="s">
        <v>42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2026-10-01T00:32:04Z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2026-10-01T00:32:04Z</dcterms:modified>
  <cp:revision>0</cp:revision>
  <dc:subject/>
  <dc:title>GEN-02 Gene mapping from a three-point testcross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