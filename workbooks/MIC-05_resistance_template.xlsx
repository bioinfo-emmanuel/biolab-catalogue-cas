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<sst xmlns="http://schemas.openxmlformats.org/spreadsheetml/2006/main" count="45" uniqueCount="43">
  <si>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MIC-05  Antimicrobial resistance surveillance: proportions and comparisons</t>
  </si>
  <si>
    <t xml:space="preserve">Excel version of the card. It does the same calculations as the R script mic05_resistance_surveillance.R.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</si>
  <si>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</si>
  <si>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</si>
  <si>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</si>
  <si>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</si>
  <si>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</si>
  <si>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</si>
  <si>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</si>
  <si>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</si>
  <si>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Proportion resistant = resistant / tested, with an exact (Clopper-Pearson) 95% interval. Enter numbers from a public surveillance report and cite it.</t>
  </si>
  <si>
    <t xml:space="preserve">Isolates that reach a laboratory are not a random sample of infections (surveillance bias): resistance is usually over-estimated.</t>
  </si>
  <si>
    <t xml:space="preserve">Differences from the R script on the card</t>
  </si>
  <si>
    <t xml:space="preserve">The R script fits a binomial regression for the trend per year. Excel has no logistic regression, so the workbook compares two chosen years with a chi-square test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</si>
  <si>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</si>
  <si>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</si>
  <si>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</si>
  <si>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</si>
  <si>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Surveillance table</t>
  </si>
  <si>
    <t xml:space="preserve">Organism</t>
  </si>
  <si>
    <t xml:space="preserve">Drug</t>
  </si>
  <si>
    <t xml:space="preserve">Year</t>
  </si>
  <si>
    <t xml:space="preserve">Isolates tested</t>
  </si>
  <si>
    <t xml:space="preserve">Resistant</t>
  </si>
  <si>
    <t xml:space="preserve">Resistant (%)</t>
  </si>
  <si>
    <t xml:space="preserve">95% lower (%)</t>
  </si>
  <si>
    <t xml:space="preserve">95% upper (%)</t>
  </si>
  <si>
    <t xml:space="preserve">Org 1</t>
  </si>
  <si>
    <t xml:space="preserve">Drug A</t>
  </si>
  <si>
    <t xml:space="preserve">2. Compare two years for one organism and drug</t>
  </si>
  <si>
    <t xml:space="preserve">Year 1</t>
  </si>
  <si>
    <t xml:space="preserve">Year 2</t>
  </si>
  <si>
    <t xml:space="preserve">Tested</t>
  </si>
  <si>
    <t xml:space="preserve">Results</t>
  </si>
  <si>
    <t xml:space="preserve">Everything on this sheet is calculated. Change only the yellow settings.</t>
  </si>
  <si>
    <t xml:space="preserve">Comparison of two years</t>
  </si>
  <si>
    <t xml:space="preserve">Resistant, year 1 (%)</t>
  </si>
  <si>
    <t xml:space="preserve">Resistant, year 2 (%)</t>
  </si>
  <si>
    <t xml:space="preserve">Chi-square (1 df)</t>
  </si>
  <si>
    <t xml:space="preserve">p value (approximate)</t>
  </si>
  <si>
    <t xml:space="preserve">Width of the interval depends on the number tested: 10% resistance</t>
  </si>
  <si>
    <t xml:space="preserve">Lower (%)</t>
  </si>
  <si>
    <t xml:space="preserve">Upper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</si>
</sst>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s">
        <v>28</v>
      </c>
      <c r="C6" s="11" t="n">
        <v>2024</v>
      </c>
      <c r="D6" s="11" t="n">
        <v>321</v>
      </c>
      <c r="E6" s="11" t="n">
        <v>69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str">
        <f aca="false">IF(AND(ISNUMBER(D7),ISNUMBER(E7)),100*E7/D7,"")</f>
        <v/>
      </c>
      <c r="G7" s="13" t="str">
        <f aca="false">IF(ISNUMBER(F7),100*IF(E7=0,0,BETAINV(0.025,E7,D7-E7+1)),"")</f>
        <v/>
      </c>
      <c r="H7" s="13" t="str">
        <f aca="false">IF(ISNUMBER(F7),100*IF(E7=D7,1,BETAINV(0.975,E7+1,D7-E7)),"")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str">
        <f aca="false">IF(AND(ISNUMBER(D8),ISNUMBER(E8)),100*E8/D8,"")</f>
        <v/>
      </c>
      <c r="G8" s="13" t="str">
        <f aca="false">IF(ISNUMBER(F8),100*IF(E8=0,0,BETAINV(0.025,E8,D8-E8+1)),"")</f>
        <v/>
      </c>
      <c r="H8" s="13" t="str">
        <f aca="false">IF(ISNUMBER(F8),100*IF(E8=D8,1,BETAINV(0.975,E8+1,D8-E8)),"")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str">
        <f aca="false">IF(AND(ISNUMBER(D9),ISNUMBER(E9)),100*E9/D9,"")</f>
        <v/>
      </c>
      <c r="G9" s="13" t="str">
        <f aca="false">IF(ISNUMBER(F9),100*IF(E9=0,0,BETAINV(0.025,E9,D9-E9+1)),"")</f>
        <v/>
      </c>
      <c r="H9" s="13" t="str">
        <f aca="false">IF(ISNUMBER(F9),100*IF(E9=D9,1,BETAINV(0.975,E9+1,D9-E9)),"")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str">
        <f aca="false">IF(AND(ISNUMBER(D10),ISNUMBER(E10)),100*E10/D10,"")</f>
        <v/>
      </c>
      <c r="G10" s="13" t="str">
        <f aca="false">IF(ISNUMBER(F10),100*IF(E10=0,0,BETAINV(0.025,E10,D10-E10+1)),"")</f>
        <v/>
      </c>
      <c r="H10" s="13" t="str">
        <f aca="false">IF(ISNUMBER(F10),100*IF(E10=D10,1,BETAINV(0.975,E10+1,D10-E10)),"")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str">
        <f aca="false">IF(AND(ISNUMBER(D11),ISNUMBER(E11)),100*E11/D11,"")</f>
        <v/>
      </c>
      <c r="G11" s="13" t="str">
        <f aca="false">IF(ISNUMBER(F11),100*IF(E11=0,0,BETAINV(0.025,E11,D11-E11+1)),"")</f>
        <v/>
      </c>
      <c r="H11" s="13" t="str">
        <f aca="false">IF(ISNUMBER(F11),100*IF(E11=D11,1,BETAINV(0.975,E11+1,D11-E11)),"")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IF(AND(ISNUMBER(D12),ISNUMBER(E12)),100*E12/D12,"")</f>
        <v/>
      </c>
      <c r="G12" s="13" t="str">
        <f aca="false">IF(ISNUMBER(F12),100*IF(E12=0,0,BETAINV(0.025,E12,D12-E12+1)),"")</f>
        <v/>
      </c>
      <c r="H12" s="13" t="str">
        <f aca="false">IF(ISNUMBER(F12),100*IF(E12=D12,1,BETAINV(0.975,E12+1,D12-E12)),"")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IF(AND(ISNUMBER(D13),ISNUMBER(E13)),100*E13/D13,"")</f>
        <v/>
      </c>
      <c r="G13" s="13" t="str">
        <f aca="false">IF(ISNUMBER(F13),100*IF(E13=0,0,BETAINV(0.025,E13,D13-E13+1)),"")</f>
        <v/>
      </c>
      <c r="H13" s="13" t="str">
        <f aca="false">IF(ISNUMBER(F13),100*IF(E13=D13,1,BETAINV(0.975,E13+1,D13-E13)),"")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IF(AND(ISNUMBER(D14),ISNUMBER(E14)),100*E14/D14,"")</f>
        <v/>
      </c>
      <c r="G14" s="13" t="str">
        <f aca="false">IF(ISNUMBER(F14),100*IF(E14=0,0,BETAINV(0.025,E14,D14-E14+1)),"")</f>
        <v/>
      </c>
      <c r="H14" s="13" t="str">
        <f aca="false">IF(ISNUMBER(F14),100*IF(E14=D14,1,BETAINV(0.975,E14+1,D14-E14)),"")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IF(AND(ISNUMBER(D15),ISNUMBER(E15)),100*E15/D15,"")</f>
        <v/>
      </c>
      <c r="G15" s="13" t="str">
        <f aca="false">IF(ISNUMBER(F15),100*IF(E15=0,0,BETAINV(0.025,E15,D15-E15+1)),"")</f>
        <v/>
      </c>
      <c r="H15" s="13" t="str">
        <f aca="false">IF(ISNUMBER(F15),100*IF(E15=D15,1,BETAINV(0.975,E15+1,D15-E15)),"")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IF(AND(ISNUMBER(D16),ISNUMBER(E16)),100*E16/D16,"")</f>
        <v/>
      </c>
      <c r="G16" s="13" t="str">
        <f aca="false">IF(ISNUMBER(F16),100*IF(E16=0,0,BETAINV(0.025,E16,D16-E16+1)),"")</f>
        <v/>
      </c>
      <c r="H16" s="13" t="str">
        <f aca="false">IF(ISNUMBER(F16),100*IF(E16=D16,1,BETAINV(0.975,E16+1,D16-E16)),"")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IF(AND(ISNUMBER(D17),ISNUMBER(E17)),100*E17/D17,"")</f>
        <v/>
      </c>
      <c r="G17" s="13" t="str">
        <f aca="false">IF(ISNUMBER(F17),100*IF(E17=0,0,BETAINV(0.025,E17,D17-E17+1)),"")</f>
        <v/>
      </c>
      <c r="H17" s="13" t="str">
        <f aca="false">IF(ISNUMBER(F17),100*IF(E17=D17,1,BETAINV(0.975,E17+1,D17-E17)),"")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IF(AND(ISNUMBER(D18),ISNUMBER(E18)),100*E18/D18,"")</f>
        <v/>
      </c>
      <c r="G18" s="13" t="str">
        <f aca="false">IF(ISNUMBER(F18),100*IF(E18=0,0,BETAINV(0.025,E18,D18-E18+1)),"")</f>
        <v/>
      </c>
      <c r="H18" s="13" t="str">
        <f aca="false">IF(ISNUMBER(F18),100*IF(E18=D18,1,BETAINV(0.975,E18+1,D18-E18)),"")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IF(AND(ISNUMBER(D19),ISNUMBER(E19)),100*E19/D19,"")</f>
        <v/>
      </c>
      <c r="G19" s="13" t="str">
        <f aca="false">IF(ISNUMBER(F19),100*IF(E19=0,0,BETAINV(0.025,E19,D19-E19+1)),"")</f>
        <v/>
      </c>
      <c r="H19" s="13" t="str">
        <f aca="false">IF(ISNUMBER(F19),100*IF(E19=D19,1,BETAINV(0.975,E19+1,D19-E19)),"")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IF(AND(ISNUMBER(D20),ISNUMBER(E20)),100*E20/D20,"")</f>
        <v/>
      </c>
      <c r="G20" s="13" t="str">
        <f aca="false">IF(ISNUMBER(F20),100*IF(E20=0,0,BETAINV(0.025,E20,D20-E20+1)),"")</f>
        <v/>
      </c>
      <c r="H20" s="13" t="str">
        <f aca="false">IF(ISNUMBER(F20),100*IF(E20=D20,1,BETAINV(0.975,E20+1,D20-E20)),"")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IF(AND(ISNUMBER(D21),ISNUMBER(E21)),100*E21/D21,"")</f>
        <v/>
      </c>
      <c r="G21" s="13" t="str">
        <f aca="false">IF(ISNUMBER(F21),100*IF(E21=0,0,BETAINV(0.025,E21,D21-E21+1)),"")</f>
        <v/>
      </c>
      <c r="H21" s="13" t="str">
        <f aca="false">IF(ISNUMBER(F21),100*IF(E21=D21,1,BETAINV(0.975,E21+1,D21-E21)),"")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IF(AND(ISNUMBER(D22),ISNUMBER(E22)),100*E22/D22,"")</f>
        <v/>
      </c>
      <c r="G22" s="13" t="str">
        <f aca="false">IF(ISNUMBER(F22),100*IF(E22=0,0,BETAINV(0.025,E22,D22-E22+1)),"")</f>
        <v/>
      </c>
      <c r="H22" s="13" t="str">
        <f aca="false">IF(ISNUMBER(F22),100*IF(E22=D22,1,BETAINV(0.975,E22+1,D22-E22)),"")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IF(AND(ISNUMBER(D23),ISNUMBER(E23)),100*E23/D23,"")</f>
        <v/>
      </c>
      <c r="G23" s="13" t="str">
        <f aca="false">IF(ISNUMBER(F23),100*IF(E23=0,0,BETAINV(0.025,E23,D23-E23+1)),"")</f>
        <v/>
      </c>
      <c r="H23" s="13" t="str">
        <f aca="false">IF(ISNUMBER(F23),100*IF(E23=D23,1,BETAINV(0.975,E23+1,D23-E23)),"")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IF(AND(ISNUMBER(D24),ISNUMBER(E24)),100*E24/D24,"")</f>
        <v/>
      </c>
      <c r="G24" s="13" t="str">
        <f aca="false">IF(ISNUMBER(F24),100*IF(E24=0,0,BETAINV(0.025,E24,D24-E24+1)),"")</f>
        <v/>
      </c>
      <c r="H24" s="13" t="str">
        <f aca="false">IF(ISNUMBER(F24),100*IF(E24=D24,1,BETAINV(0.975,E24+1,D24-E24)),"")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IF(AND(ISNUMBER(D25),ISNUMBER(E25)),100*E25/D25,"")</f>
        <v/>
      </c>
      <c r="G25" s="13" t="str">
        <f aca="false">IF(ISNUMBER(F25),100*IF(E25=0,0,BETAINV(0.025,E25,D25-E25+1)),"")</f>
        <v/>
      </c>
      <c r="H25" s="13" t="str">
        <f aca="false">IF(ISNUMBER(F25),100*IF(E25=D25,1,BETAINV(0.975,E25+1,D25-E25)),"")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IF(AND(ISNUMBER(D26),ISNUMBER(E26)),100*E26/D26,"")</f>
        <v/>
      </c>
      <c r="G26" s="13" t="str">
        <f aca="false">IF(ISNUMBER(F26),100*IF(E26=0,0,BETAINV(0.025,E26,D26-E26+1)),"")</f>
        <v/>
      </c>
      <c r="H26" s="13" t="str">
        <f aca="false">IF(ISNUMBER(F26),100*IF(E26=D26,1,BETAINV(0.975,E26+1,D26-E26)),"")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str">
        <f aca="false">IF(AND(ISNUMBER(D27),ISNUMBER(E27)),100*E27/D27,"")</f>
        <v/>
      </c>
      <c r="G27" s="13" t="str">
        <f aca="false">IF(ISNUMBER(F27),100*IF(E27=0,0,BETAINV(0.025,E27,D27-E27+1)),"")</f>
        <v/>
      </c>
      <c r="H27" s="13" t="str">
        <f aca="false">IF(ISNUMBER(F27),100*IF(E27=D27,1,BETAINV(0.975,E27+1,D27-E27)),"")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str">
        <f aca="false">IF(AND(ISNUMBER(D28),ISNUMBER(E28)),100*E28/D28,"")</f>
        <v/>
      </c>
      <c r="G28" s="13" t="str">
        <f aca="false">IF(ISNUMBER(F28),100*IF(E28=0,0,BETAINV(0.025,E28,D28-E28+1)),"")</f>
        <v/>
      </c>
      <c r="H28" s="13" t="str">
        <f aca="false">IF(ISNUMBER(F28),100*IF(E28=D28,1,BETAINV(0.975,E28+1,D28-E28)),"")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str">
        <f aca="false">IF(AND(ISNUMBER(D29),ISNUMBER(E29)),100*E29/D29,"")</f>
        <v/>
      </c>
      <c r="G29" s="13" t="str">
        <f aca="false">IF(ISNUMBER(F29),100*IF(E29=0,0,BETAINV(0.025,E29,D29-E29+1)),"")</f>
        <v/>
      </c>
      <c r="H29" s="13" t="str">
        <f aca="false">IF(ISNUMBER(F29),100*IF(E29=D29,1,BETAINV(0.975,E29+1,D29-E29)),"")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str">
        <f aca="false">IF(AND(ISNUMBER(D30),ISNUMBER(E30)),100*E30/D30,"")</f>
        <v/>
      </c>
      <c r="G30" s="13" t="str">
        <f aca="false">IF(ISNUMBER(F30),100*IF(E30=0,0,BETAINV(0.025,E30,D30-E30+1)),"")</f>
        <v/>
      </c>
      <c r="H30" s="13" t="str">
        <f aca="false">IF(ISNUMBER(F30),100*IF(E30=D30,1,BETAINV(0.975,E30+1,D30-E30)),"")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str">
        <f aca="false">IF(AND(ISNUMBER(D31),ISNUMBER(E31)),100*E31/D31,"")</f>
        <v/>
      </c>
      <c r="G31" s="13" t="str">
        <f aca="false">IF(ISNUMBER(F31),100*IF(E31=0,0,BETAINV(0.025,E31,D31-E31+1)),"")</f>
        <v/>
      </c>
      <c r="H31" s="13" t="str">
        <f aca="false">IF(ISNUMBER(F31),100*IF(E31=D31,1,BETAINV(0.975,E31+1,D31-E31)),"")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str">
        <f aca="false">IF(AND(ISNUMBER(D32),ISNUMBER(E32)),100*E32/D32,"")</f>
        <v/>
      </c>
      <c r="G32" s="13" t="str">
        <f aca="false">IF(ISNUMBER(F32),100*IF(E32=0,0,BETAINV(0.025,E32,D32-E32+1)),"")</f>
        <v/>
      </c>
      <c r="H32" s="13" t="str">
        <f aca="false">IF(ISNUMBER(F32),100*IF(E32=D32,1,BETAINV(0.975,E32+1,D32-E32)),"")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str">
        <f aca="false">IF(AND(ISNUMBER(D33),ISNUMBER(E33)),100*E33/D33,"")</f>
        <v/>
      </c>
      <c r="G33" s="13" t="str">
        <f aca="false">IF(ISNUMBER(F33),100*IF(E33=0,0,BETAINV(0.025,E33,D33-E33+1)),"")</f>
        <v/>
      </c>
      <c r="H33" s="13" t="str">
        <f aca="false">IF(ISNUMBER(F33),100*IF(E33=D33,1,BETAINV(0.975,E33+1,D33-E33)),"")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str">
        <f aca="false">IF(AND(ISNUMBER(D34),ISNUMBER(E34)),100*E34/D34,"")</f>
        <v/>
      </c>
      <c r="G34" s="13" t="str">
        <f aca="false">IF(ISNUMBER(F34),100*IF(E34=0,0,BETAINV(0.025,E34,D34-E34+1)),"")</f>
        <v/>
      </c>
      <c r="H34" s="13" t="str">
        <f aca="false">IF(ISNUMBER(F34),100*IF(E34=D34,1,BETAINV(0.975,E34+1,D34-E34)),"")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str">
        <f aca="false">IF(AND(ISNUMBER(D35),ISNUMBER(E35)),100*E35/D35,"")</f>
        <v/>
      </c>
      <c r="G35" s="13" t="str">
        <f aca="false">IF(ISNUMBER(F35),100*IF(E35=0,0,BETAINV(0.025,E35,D35-E35+1)),"")</f>
        <v/>
      </c>
      <c r="H35" s="13" t="str">
        <f aca="false">IF(ISNUMBER(F35),100*IF(E35=D35,1,BETAINV(0.975,E35+1,D35-E35)),"")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str">
        <f aca="false">IF(AND(ISNUMBER(D36),ISNUMBER(E36)),100*E36/D36,"")</f>
        <v/>
      </c>
      <c r="G36" s="13" t="str">
        <f aca="false">IF(ISNUMBER(F36),100*IF(E36=0,0,BETAINV(0.025,E36,D36-E36+1)),"")</f>
        <v/>
      </c>
      <c r="H36" s="13" t="str">
        <f aca="false">IF(ISNUMBER(F36),100*IF(E36=D36,1,BETAINV(0.975,E36+1,D36-E36)),"")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3" t="str">
        <f aca="false">IF(AND(ISNUMBER(D37),ISNUMBER(E37)),100*E37/D37,"")</f>
        <v/>
      </c>
      <c r="G37" s="13" t="str">
        <f aca="false">IF(ISNUMBER(F37),100*IF(E37=0,0,BETAINV(0.025,E37,D37-E37+1)),"")</f>
        <v/>
      </c>
      <c r="H37" s="13" t="str">
        <f aca="false">IF(ISNUMBER(F37),100*IF(E37=D37,1,BETAINV(0.975,E37+1,D37-E37)),"")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3" t="str">
        <f aca="false">IF(AND(ISNUMBER(D38),ISNUMBER(E38)),100*E38/D38,"")</f>
        <v/>
      </c>
      <c r="G38" s="13" t="str">
        <f aca="false">IF(ISNUMBER(F38),100*IF(E38=0,0,BETAINV(0.025,E38,D38-E38+1)),"")</f>
        <v/>
      </c>
      <c r="H38" s="13" t="str">
        <f aca="false">IF(ISNUMBER(F38),100*IF(E38=D38,1,BETAINV(0.975,E38+1,D38-E38)),"")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3" t="str">
        <f aca="false">IF(AND(ISNUMBER(D39),ISNUMBER(E39)),100*E39/D39,"")</f>
        <v/>
      </c>
      <c r="G39" s="13" t="str">
        <f aca="false">IF(ISNUMBER(F39),100*IF(E39=0,0,BETAINV(0.025,E39,D39-E39+1)),"")</f>
        <v/>
      </c>
      <c r="H39" s="13" t="str">
        <f aca="false">IF(ISNUMBER(F39),100*IF(E39=D39,1,BETAINV(0.975,E39+1,D39-E39)),"")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3" t="str">
        <f aca="false">IF(AND(ISNUMBER(D40),ISNUMBER(E40)),100*E40/D40,"")</f>
        <v/>
      </c>
      <c r="G40" s="13" t="str">
        <f aca="false">IF(ISNUMBER(F40),100*IF(E40=0,0,BETAINV(0.025,E40,D40-E40+1)),"")</f>
        <v/>
      </c>
      <c r="H40" s="13" t="str">
        <f aca="false">IF(ISNUMBER(F40),100*IF(E40=D40,1,BETAINV(0.975,E40+1,D40-E40)),"")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3" t="str">
        <f aca="false">IF(AND(ISNUMBER(D41),ISNUMBER(E41)),100*E41/D41,"")</f>
        <v/>
      </c>
      <c r="G41" s="13" t="str">
        <f aca="false">IF(ISNUMBER(F41),100*IF(E41=0,0,BETAINV(0.025,E41,D41-E41+1)),"")</f>
        <v/>
      </c>
      <c r="H41" s="13" t="str">
        <f aca="false">IF(ISNUMBER(F41),100*IF(E41=D41,1,BETAINV(0.975,E41+1,D41-E41)),"")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 t="str">
        <f aca="false">IF(AND(ISNUMBER(D42),ISNUMBER(E42)),100*E42/D42,"")</f>
        <v/>
      </c>
      <c r="G42" s="13" t="str">
        <f aca="false">IF(ISNUMBER(F42),100*IF(E42=0,0,BETAINV(0.025,E42,D42-E42+1)),"")</f>
        <v/>
      </c>
      <c r="H42" s="13" t="str">
        <f aca="false">IF(ISNUMBER(F42),100*IF(E42=D42,1,BETAINV(0.975,E42+1,D42-E42)),"")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 t="str">
        <f aca="false">IF(AND(ISNUMBER(D43),ISNUMBER(E43)),100*E43/D43,"")</f>
        <v/>
      </c>
      <c r="G43" s="13" t="str">
        <f aca="false">IF(ISNUMBER(F43),100*IF(E43=0,0,BETAINV(0.025,E43,D43-E43+1)),"")</f>
        <v/>
      </c>
      <c r="H43" s="13" t="str">
        <f aca="false">IF(ISNUMBER(F43),100*IF(E43=D43,1,BETAINV(0.975,E43+1,D43-E43)),"")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 t="str">
        <f aca="false">IF(AND(ISNUMBER(D44),ISNUMBER(E44)),100*E44/D44,"")</f>
        <v/>
      </c>
      <c r="G44" s="13" t="str">
        <f aca="false">IF(ISNUMBER(F44),100*IF(E44=0,0,BETAINV(0.025,E44,D44-E44+1)),"")</f>
        <v/>
      </c>
      <c r="H44" s="13" t="str">
        <f aca="false">IF(ISNUMBER(F44),100*IF(E44=D44,1,BETAINV(0.975,E44+1,D44-E44)),"")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 t="str">
        <f aca="false">IF(AND(ISNUMBER(D45),ISNUMBER(E45)),100*E45/D45,"")</f>
        <v/>
      </c>
      <c r="G45" s="13" t="str">
        <f aca="false">IF(ISNUMBER(F45),100*IF(E45=0,0,BETAINV(0.025,E45,D45-E45+1)),"")</f>
        <v/>
      </c>
      <c r="H45" s="13" t="str">
        <f aca="false">IF(ISNUMBER(F45),100*IF(E45=D45,1,BETAINV(0.975,E45+1,D45-E45)),"")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 t="str">
        <f aca="false">IF(AND(ISNUMBER(D46),ISNUMBER(E46)),100*E46/D46,"")</f>
        <v/>
      </c>
      <c r="G46" s="13" t="str">
        <f aca="false">IF(ISNUMBER(F46),100*IF(E46=0,0,BETAINV(0.025,E46,D46-E46+1)),"")</f>
        <v/>
      </c>
      <c r="H46" s="13" t="str">
        <f aca="false">IF(ISNUMBER(F46),100*IF(E46=D46,1,BETAINV(0.975,E46+1,D46-E46)),"")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 t="str">
        <f aca="false">IF(AND(ISNUMBER(D47),ISNUMBER(E47)),100*E47/D47,"")</f>
        <v/>
      </c>
      <c r="G47" s="13" t="str">
        <f aca="false">IF(ISNUMBER(F47),100*IF(E47=0,0,BETAINV(0.025,E47,D47-E47+1)),"")</f>
        <v/>
      </c>
      <c r="H47" s="13" t="str">
        <f aca="false">IF(ISNUMBER(F47),100*IF(E47=D47,1,BETAINV(0.975,E47+1,D47-E47)),"")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 t="str">
        <f aca="false">IF(AND(ISNUMBER(D48),ISNUMBER(E48)),100*E48/D48,"")</f>
        <v/>
      </c>
      <c r="G48" s="13" t="str">
        <f aca="false">IF(ISNUMBER(F48),100*IF(E48=0,0,BETAINV(0.025,E48,D48-E48+1)),"")</f>
        <v/>
      </c>
      <c r="H48" s="13" t="str">
        <f aca="false">IF(ISNUMBER(F48),100*IF(E48=D48,1,BETAINV(0.975,E48+1,D48-E48)),"")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 t="str">
        <f aca="false">IF(AND(ISNUMBER(D49),ISNUMBER(E49)),100*E49/D49,"")</f>
        <v/>
      </c>
      <c r="G49" s="13" t="str">
        <f aca="false">IF(ISNUMBER(F49),100*IF(E49=0,0,BETAINV(0.025,E49,D49-E49+1)),"")</f>
        <v/>
      </c>
      <c r="H49" s="13" t="str">
        <f aca="false">IF(ISNUMBER(F49),100*IF(E49=D49,1,BETAINV(0.975,E49+1,D49-E49)),"")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 t="str">
        <f aca="false">IF(AND(ISNUMBER(D50),ISNUMBER(E50)),100*E50/D50,"")</f>
        <v/>
      </c>
      <c r="G50" s="13" t="str">
        <f aca="false">IF(ISNUMBER(F50),100*IF(E50=0,0,BETAINV(0.025,E50,D50-E50+1)),"")</f>
        <v/>
      </c>
      <c r="H50" s="13" t="str">
        <f aca="false">IF(ISNUMBER(F50),100*IF(E50=D50,1,BETAINV(0.975,E50+1,D50-E50)),"")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 t="str">
        <f aca="false">IF(AND(ISNUMBER(D51),ISNUMBER(E51)),100*E51/D51,"")</f>
        <v/>
      </c>
      <c r="G51" s="13" t="str">
        <f aca="false">IF(ISNUMBER(F51),100*IF(E51=0,0,BETAINV(0.025,E51,D51-E51+1)),"")</f>
        <v/>
      </c>
      <c r="H51" s="13" t="str">
        <f aca="false">IF(ISNUMBER(F51),100*IF(E51=D51,1,BETAINV(0.975,E51+1,D51-E51)),"")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 t="str">
        <f aca="false">IF(AND(ISNUMBER(D52),ISNUMBER(E52)),100*E52/D52,"")</f>
        <v/>
      </c>
      <c r="G52" s="13" t="str">
        <f aca="false">IF(ISNUMBER(F52),100*IF(E52=0,0,BETAINV(0.025,E52,D52-E52+1)),"")</f>
        <v/>
      </c>
      <c r="H52" s="13" t="str">
        <f aca="false">IF(ISNUMBER(F52),100*IF(E52=D52,1,BETAINV(0.975,E52+1,D52-E52)),"")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 t="str">
        <f aca="false">IF(AND(ISNUMBER(D53),ISNUMBER(E53)),100*E53/D53,"")</f>
        <v/>
      </c>
      <c r="G53" s="13" t="str">
        <f aca="false">IF(ISNUMBER(F53),100*IF(E53=0,0,BETAINV(0.025,E53,D53-E53+1)),"")</f>
        <v/>
      </c>
      <c r="H53" s="13" t="str">
        <f aca="false">IF(ISNUMBER(F53),100*IF(E53=D53,1,BETAINV(0.975,E53+1,D53-E53)),"")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 t="str">
        <f aca="false">IF(AND(ISNUMBER(D54),ISNUMBER(E54)),100*E54/D54,"")</f>
        <v/>
      </c>
      <c r="G54" s="13" t="str">
        <f aca="false">IF(ISNUMBER(F54),100*IF(E54=0,0,BETAINV(0.025,E54,D54-E54+1)),"")</f>
        <v/>
      </c>
      <c r="H54" s="13" t="str">
        <f aca="false">IF(ISNUMBER(F54),100*IF(E54=D54,1,BETAINV(0.975,E54+1,D54-E54)),"")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 t="str">
        <f aca="false">IF(AND(ISNUMBER(D55),ISNUMBER(E55)),100*E55/D55,"")</f>
        <v/>
      </c>
      <c r="G55" s="13" t="str">
        <f aca="false">IF(ISNUMBER(F55),100*IF(E55=0,0,BETAINV(0.025,E55,D55-E55+1)),"")</f>
        <v/>
      </c>
      <c r="H55" s="13" t="str">
        <f aca="false">IF(ISNUMBER(F55),100*IF(E55=D55,1,BETAINV(0.975,E55+1,D55-E55)),"")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 t="str">
        <f aca="false">IF(AND(ISNUMBER(D56),ISNUMBER(E56)),100*E56/D56,"")</f>
        <v/>
      </c>
      <c r="G56" s="13" t="str">
        <f aca="false">IF(ISNUMBER(F56),100*IF(E56=0,0,BETAINV(0.025,E56,D56-E56+1)),"")</f>
        <v/>
      </c>
      <c r="H56" s="13" t="str">
        <f aca="false">IF(ISNUMBER(F56),100*IF(E56=D56,1,BETAINV(0.975,E56+1,D56-E56)),"")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 t="str">
        <f aca="false">IF(AND(ISNUMBER(D57),ISNUMBER(E57)),100*E57/D57,"")</f>
        <v/>
      </c>
      <c r="G57" s="13" t="str">
        <f aca="false">IF(ISNUMBER(F57),100*IF(E57=0,0,BETAINV(0.025,E57,D57-E57+1)),"")</f>
        <v/>
      </c>
      <c r="H57" s="13" t="str">
        <f aca="false">IF(ISNUMBER(F57),100*IF(E57=D57,1,BETAINV(0.975,E57+1,D57-E57)),"")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str">
        <f aca="false">IF(AND(ISNUMBER(D58),ISNUMBER(E58)),100*E58/D58,"")</f>
        <v/>
      </c>
      <c r="G58" s="13" t="str">
        <f aca="false">IF(ISNUMBER(F58),100*IF(E58=0,0,BETAINV(0.025,E58,D58-E58+1)),"")</f>
        <v/>
      </c>
      <c r="H58" s="13" t="str">
        <f aca="false">IF(ISNUMBER(F58),100*IF(E58=D58,1,BETAINV(0.975,E58+1,D58-E58)),"")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str">
        <f aca="false">IF(AND(ISNUMBER(D59),ISNUMBER(E59)),100*E59/D59,"")</f>
        <v/>
      </c>
      <c r="G59" s="13" t="str">
        <f aca="false">IF(ISNUMBER(F59),100*IF(E59=0,0,BETAINV(0.025,E59,D59-E59+1)),"")</f>
        <v/>
      </c>
      <c r="H59" s="13" t="str">
        <f aca="false">IF(ISNUMBER(F59),100*IF(E59=D59,1,BETAINV(0.975,E59+1,D59-E59)),"")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str">
        <f aca="false">IF(AND(ISNUMBER(D60),ISNUMBER(E60)),100*E60/D60,"")</f>
        <v/>
      </c>
      <c r="G60" s="13" t="str">
        <f aca="false">IF(ISNUMBER(F60),100*IF(E60=0,0,BETAINV(0.025,E60,D60-E60+1)),"")</f>
        <v/>
      </c>
      <c r="H60" s="13" t="str">
        <f aca="false">IF(ISNUMBER(F60),100*IF(E60=D60,1,BETAINV(0.975,E60+1,D60-E60)),"")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str">
        <f aca="false">IF(AND(ISNUMBER(D61),ISNUMBER(E61)),100*E61/D61,"")</f>
        <v/>
      </c>
      <c r="G61" s="13" t="str">
        <f aca="false">IF(ISNUMBER(F61),100*IF(E61=0,0,BETAINV(0.025,E61,D61-E61+1)),"")</f>
        <v/>
      </c>
      <c r="H61" s="13" t="str">
        <f aca="false">IF(ISNUMBER(F61),100*IF(E61=D61,1,BETAINV(0.975,E61+1,D61-E61)),"")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str">
        <f aca="false">IF(AND(ISNUMBER(D62),ISNUMBER(E62)),100*E62/D62,"")</f>
        <v/>
      </c>
      <c r="G62" s="13" t="str">
        <f aca="false">IF(ISNUMBER(F62),100*IF(E62=0,0,BETAINV(0.025,E62,D62-E62+1)),"")</f>
        <v/>
      </c>
      <c r="H62" s="13" t="str">
        <f aca="false">IF(ISNUMBER(F62),100*IF(E62=D62,1,BETAINV(0.975,E62+1,D62-E62)),"")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str">
        <f aca="false">IF(AND(ISNUMBER(D63),ISNUMBER(E63)),100*E63/D63,"")</f>
        <v/>
      </c>
      <c r="G63" s="13" t="str">
        <f aca="false">IF(ISNUMBER(F63),100*IF(E63=0,0,BETAINV(0.025,E63,D63-E63+1)),"")</f>
        <v/>
      </c>
      <c r="H63" s="13" t="str">
        <f aca="false">IF(ISNUMBER(F63),100*IF(E63=D63,1,BETAINV(0.975,E63+1,D63-E63)),"")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str">
        <f aca="false">IF(AND(ISNUMBER(D64),ISNUMBER(E64)),100*E64/D64,"")</f>
        <v/>
      </c>
      <c r="G64" s="13" t="str">
        <f aca="false">IF(ISNUMBER(F64),100*IF(E64=0,0,BETAINV(0.025,E64,D64-E64+1)),"")</f>
        <v/>
      </c>
      <c r="H64" s="13" t="str">
        <f aca="false">IF(ISNUMBER(F64),100*IF(E64=D64,1,BETAINV(0.975,E64+1,D64-E64)),"")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str">
        <f aca="false">IF(AND(ISNUMBER(D65),ISNUMBER(E65)),100*E65/D65,"")</f>
        <v/>
      </c>
      <c r="G65" s="13" t="str">
        <f aca="false">IF(ISNUMBER(F65),100*IF(E65=0,0,BETAINV(0.025,E65,D65-E65+1)),"")</f>
        <v/>
      </c>
      <c r="H65" s="13" t="str">
        <f aca="false">IF(ISNUMBER(F65),100*IF(E65=D65,1,BETAINV(0.975,E65+1,D65-E65)),"")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str">
        <f aca="false">IF(AND(ISNUMBER(D66),ISNUMBER(E66)),100*E66/D66,"")</f>
        <v/>
      </c>
      <c r="G66" s="13" t="str">
        <f aca="false">IF(ISNUMBER(F66),100*IF(E66=0,0,BETAINV(0.025,E66,D66-E66+1)),"")</f>
        <v/>
      </c>
      <c r="H66" s="13" t="str">
        <f aca="false">IF(ISNUMBER(F66),100*IF(E66=D66,1,BETAINV(0.975,E66+1,D66-E66)),"")</f>
        <v/>
      </c>
    </row>
    <row r="69" customFormat="false" ht="15" hidden="false" customHeight="false" outlineLevel="0" collapsed="false">
      <c r="A69" s="9" t="s">
        <v>29</v>
      </c>
    </row>
    <row r="70" customFormat="false" ht="31.5" hidden="false" customHeight="true" outlineLevel="0" collapsed="false">
      <c r="A70" s="10"/>
      <c r="B70" s="10" t="s">
        <v>30</v>
      </c>
      <c r="C70" s="10" t="s">
        <v>31</v>
      </c>
    </row>
    <row r="71" customFormat="false" ht="15" hidden="false" customHeight="false" outlineLevel="0" collapsed="false">
      <c r="A71" s="11" t="s">
        <v>32</v>
      </c>
      <c r="B71" s="11" t="n">
        <v>300</v>
      </c>
      <c r="C71" s="11" t="n">
        <v>320</v>
      </c>
    </row>
    <row r="72" customFormat="false" ht="15" hidden="false" customHeight="false" outlineLevel="0" collapsed="false">
      <c r="A72" s="12"/>
      <c r="B72" s="12"/>
      <c r="C72" s="12"/>
    </row>
    <row r="73" customFormat="false" ht="15" hidden="false" customHeight="false" outlineLevel="0" collapsed="false">
      <c r="A73" s="12"/>
      <c r="B73" s="12"/>
      <c r="C73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7:E66 B72:C7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15" hidden="false" customHeight="false" outlineLevel="0" collapsed="false">
      <c r="B5" s="14" t="s">
        <v>36</v>
      </c>
      <c r="C5" s="15" t="str">
        <f aca="false">IFERROR(100*'Enter data'!$B$73/'Enter data'!$B$72,"")</f>
        <v/>
      </c>
    </row>
    <row r="6" customFormat="false" ht="15" hidden="false" customHeight="false" outlineLevel="0" collapsed="false">
      <c r="B6" s="14" t="s">
        <v>37</v>
      </c>
      <c r="C6" s="15" t="str">
        <f aca="false">IFERROR(100*'Enter data'!$C$73/'Enter data'!$C$72,"")</f>
        <v/>
      </c>
    </row>
    <row r="7" customFormat="false" ht="15" hidden="false" customHeight="false" outlineLevel="0" collapsed="false">
      <c r="B7" s="14" t="s">
        <v>38</v>
      </c>
      <c r="C7" s="16" t="str">
        <f aca="false">IFERROR((('Enter data'!$B$72+'Enter data'!$C$72)*('Enter data'!$B$73*('Enter data'!$C$72-'Enter data'!$C$73)-'Enter data'!$C$73*('Enter data'!$B$72-'Enter data'!$B$73))^2)/(('Enter data'!$B$73+'Enter data'!$C$73)*('Enter data'!$B$72+'Enter data'!$C$72-'Enter data'!$B$73-'Enter data'!$C$73)*'Enter data'!$B$72*'Enter data'!$C$72),"")</f>
        <v/>
      </c>
    </row>
    <row r="8" customFormat="false" ht="15" hidden="false" customHeight="false" outlineLevel="0" collapsed="false">
      <c r="B8" s="14" t="s">
        <v>39</v>
      </c>
      <c r="C8" s="17" t="str">
        <f aca="false">IFERROR(CHIDIST($C$7,1),"")</f>
        <v/>
      </c>
    </row>
    <row r="10" customFormat="false" ht="15" hidden="false" customHeight="false" outlineLevel="0" collapsed="false">
      <c r="B10" s="9" t="s">
        <v>40</v>
      </c>
    </row>
    <row r="11" customFormat="false" ht="30" hidden="false" customHeight="true" outlineLevel="0" collapsed="false">
      <c r="B11" s="10" t="s">
        <v>22</v>
      </c>
      <c r="C11" s="10" t="s">
        <v>23</v>
      </c>
      <c r="D11" s="10" t="s">
        <v>41</v>
      </c>
      <c r="E11" s="10" t="s">
        <v>42</v>
      </c>
    </row>
    <row r="12" customFormat="false" ht="15" hidden="false" customHeight="false" outlineLevel="0" collapsed="false">
      <c r="B12" s="18" t="n">
        <v>20</v>
      </c>
      <c r="C12" s="19" t="n">
        <v>2</v>
      </c>
      <c r="D12" s="20" t="n">
        <f aca="false">IFERROR(100*IF(C12=0,0,BETAINV(0.025,C12,B12-C12+1)),"")</f>
        <v>1.23485271702948</v>
      </c>
      <c r="E12" s="20" t="n">
        <f aca="false">IFERROR(100*IF(C12=B12,1,BETAINV(0.975,C12+1,B12-C12)),"")</f>
        <v>31.6982714019082</v>
      </c>
    </row>
    <row r="13" customFormat="false" ht="15" hidden="false" customHeight="false" outlineLevel="0" collapsed="false">
      <c r="B13" s="18" t="n">
        <v>60</v>
      </c>
      <c r="C13" s="19" t="n">
        <v>6</v>
      </c>
      <c r="D13" s="20" t="n">
        <f aca="false">IFERROR(100*IF(C13=0,0,BETAINV(0.025,C13,B13-C13+1)),"")</f>
        <v>3.7591269108566</v>
      </c>
      <c r="E13" s="20" t="n">
        <f aca="false">IFERROR(100*IF(C13=B13,1,BETAINV(0.975,C13+1,B13-C13)),"")</f>
        <v>20.5057736708064</v>
      </c>
    </row>
    <row r="14" customFormat="false" ht="15" hidden="false" customHeight="false" outlineLevel="0" collapsed="false">
      <c r="B14" s="18" t="n">
        <v>300</v>
      </c>
      <c r="C14" s="19" t="n">
        <v>30</v>
      </c>
      <c r="D14" s="20" t="n">
        <f aca="false">IFERROR(100*IF(C14=0,0,BETAINV(0.025,C14,B14-C14+1)),"")</f>
        <v>6.84916844910735</v>
      </c>
      <c r="E14" s="20" t="n">
        <f aca="false">IFERROR(100*IF(C14=B14,1,BETAINV(0.975,C14+1,B14-C14)),"")</f>
        <v>13.9673307355102</v>
      </c>
    </row>
    <row r="15" customFormat="false" ht="15" hidden="false" customHeight="false" outlineLevel="0" collapsed="false">
      <c r="B15" s="18" t="n">
        <v>1000</v>
      </c>
      <c r="C15" s="19" t="n">
        <v>100</v>
      </c>
      <c r="D15" s="20" t="n">
        <f aca="false">IFERROR(100*IF(C15=0,0,BETAINV(0.025,C15,B15-C15+1)),"")</f>
        <v>8.210533435558</v>
      </c>
      <c r="E15" s="20" t="n">
        <f aca="false">IFERROR(100*IF(C15=B15,1,BETAINV(0.975,C15+1,B15-C15)),"")</f>
        <v>12.0287936518693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2026-10-01T00:32:37Z</dcterms:modified>
  <cp:revision>0</cp:revision>
  <dc:subject/>
  <dc:title>MIC-05 Antimicrobial resistance surveillance: proportions and comparisons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