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Enter data" sheetId="2" state="visible" r:id="rId4"/>
    <sheet name="Resul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<sst xmlns="http://schemas.openxmlformats.org/spreadsheetml/2006/main" count="87" uniqueCount="58">
  <si>
    <t xml:space="preserve">BCH-02  Amino acids by paper chromatography: Rf values</t>
  </si>
  <si>
    <t xml:space="preserve">Excel version of the card. It does the same calculations as the R script bch02_chromatography_rf.R.</t>
  </si>
  <si>
    <t xml:space="preserve">How to use this workbook</t>
  </si>
  <si>
    <t xml:space="preserve">1.  Go to the 'Enter data' sheet. Type only in the yellow cells with blue text. Grey cells are calculated for you.</t>
  </si>
  <si>
    <t xml:space="preserve">2.  Fill the blocks that apply. Leave rows you did not use empty. The grey italic row above each table is an example of the format and is not used.</t>
  </si>
  <si>
    <t xml:space="preserve">3.  Open the 'Results' sheet. Everything there is calculated. Yellow cells on that sheet are settings you may change.</t>
  </si>
  <si>
    <t xml:space="preserve">What the colours mean</t>
  </si>
  <si>
    <t xml:space="preserve">Yellow cell, blue text:  you type here.</t>
  </si>
  <si>
    <t xml:space="preserve">Grey cell:  a formula. Sheets are protected without a password so formulas are not overwritten by accident (Review &gt; Unprotect Sheet).</t>
  </si>
  <si>
    <t xml:space="preserve">Assumptions and sources</t>
  </si>
  <si>
    <t xml:space="preserve">Rf = distance from the origin to the spot centre / distance from the origin to the solvent front. Always run the standards on the same sheet as the unknown.</t>
  </si>
  <si>
    <t xml:space="preserve">An unknown matches a standard when its mean Rf is within the tolerance set on the Results sheet (default 0.05).</t>
  </si>
  <si>
    <t xml:space="preserve">Differences from the R script on the card</t>
  </si>
  <si>
    <t xml:space="preserve">The R script also reports a between-run comparison. Here the standards' spread across runs is shown in the table.</t>
  </si>
  <si>
    <t xml:space="preserve">Practice data in the filled example were invented for the card. They are not real measurements.</t>
  </si>
  <si>
    <t xml:space="preserve">Compiled by Emmanuel G. Lozano, Department of Biology, College of Arts and Sciences, Pampanga State University. Original material is licensed CC BY-NC 4.0: credit required, non-commercial use only.</t>
  </si>
  <si>
    <t xml:space="preserve">Enter your data</t>
  </si>
  <si>
    <t xml:space="preserve">Type only in yellow cells. Leave unused rows empty.</t>
  </si>
  <si>
    <t xml:space="preserve">1. Names: five standards and two unknowns (type the names used in the table below)</t>
  </si>
  <si>
    <t xml:space="preserve">Standard 1</t>
  </si>
  <si>
    <t xml:space="preserve">Standard 2</t>
  </si>
  <si>
    <t xml:space="preserve">Standard 3</t>
  </si>
  <si>
    <t xml:space="preserve">Standard 4</t>
  </si>
  <si>
    <t xml:space="preserve">Standard 5</t>
  </si>
  <si>
    <t xml:space="preserve">Unknown 1</t>
  </si>
  <si>
    <t xml:space="preserve">Unknown 2</t>
  </si>
  <si>
    <t xml:space="preserve">leucine</t>
  </si>
  <si>
    <t xml:space="preserve">alanine</t>
  </si>
  <si>
    <t xml:space="preserve">glycine</t>
  </si>
  <si>
    <t xml:space="preserve">serine</t>
  </si>
  <si>
    <t xml:space="preserve">aspartic acid</t>
  </si>
  <si>
    <t xml:space="preserve">unk1</t>
  </si>
  <si>
    <t xml:space="preserve">unk2</t>
  </si>
  <si>
    <t xml:space="preserve">2. Spots (one row per spot)</t>
  </si>
  <si>
    <t xml:space="preserve">Run number</t>
  </si>
  <si>
    <t xml:space="preserve">Sample name</t>
  </si>
  <si>
    <t xml:space="preserve">Distance origin to spot (cm)</t>
  </si>
  <si>
    <t xml:space="preserve">Distance origin to front (cm)</t>
  </si>
  <si>
    <t xml:space="preserve">Rf</t>
  </si>
  <si>
    <t xml:space="preserve">Results</t>
  </si>
  <si>
    <t xml:space="preserve">Everything on this sheet is calculated. Change only the yellow settings.</t>
  </si>
  <si>
    <t xml:space="preserve">Settings</t>
  </si>
  <si>
    <t xml:space="preserve">Matching tolerance (Rf units)</t>
  </si>
  <si>
    <t xml:space="preserve">Mean Rf by sample</t>
  </si>
  <si>
    <t xml:space="preserve">Name</t>
  </si>
  <si>
    <t xml:space="preserve">n</t>
  </si>
  <si>
    <t xml:space="preserve">Mean</t>
  </si>
  <si>
    <t xml:space="preserve">SD</t>
  </si>
  <si>
    <t xml:space="preserve">SE</t>
  </si>
  <si>
    <t xml:space="preserve">Which standard does each unknown match?</t>
  </si>
  <si>
    <t xml:space="preserve">Unknown</t>
  </si>
  <si>
    <t xml:space="preserve">Diff. to std 1</t>
  </si>
  <si>
    <t xml:space="preserve">Diff. to std 2</t>
  </si>
  <si>
    <t xml:space="preserve">Diff. to std 3</t>
  </si>
  <si>
    <t xml:space="preserve">Diff. to std 4</t>
  </si>
  <si>
    <t xml:space="preserve">Diff. to std 5</t>
  </si>
  <si>
    <t xml:space="preserve">Best match</t>
  </si>
  <si>
    <t xml:space="preserve">Largest sd of a standard across runs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</si>
</sst>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;\-0.000;;@"/>
    <numFmt numFmtId="166" formatCode="0"/>
    <numFmt numFmtId="167" formatCode="0.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8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2" t="s">
        <v>3</v>
      </c>
    </row>
    <row r="6" customFormat="false" ht="23.85" hidden="false" customHeight="false" outlineLevel="0" collapsed="false">
      <c r="B6" s="2" t="s">
        <v>4</v>
      </c>
    </row>
    <row r="7" customFormat="false" ht="1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4" t="s">
        <v>7</v>
      </c>
    </row>
    <row r="11" customFormat="false" ht="23.8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2"/>
    </row>
    <row r="13" customFormat="false" ht="15" hidden="false" customHeight="false" outlineLevel="0" collapsed="false">
      <c r="B13" s="3" t="s">
        <v>9</v>
      </c>
    </row>
    <row r="14" customFormat="false" ht="23.85" hidden="false" customHeight="false" outlineLevel="0" collapsed="false">
      <c r="B14" s="2" t="s">
        <v>10</v>
      </c>
    </row>
    <row r="15" customFormat="false" ht="15" hidden="false" customHeight="false" outlineLevel="0" collapsed="false">
      <c r="B15" s="2" t="s">
        <v>11</v>
      </c>
    </row>
    <row r="16" customFormat="false" ht="15" hidden="false" customHeight="false" outlineLevel="0" collapsed="false">
      <c r="B16" s="2"/>
    </row>
    <row r="17" customFormat="false" ht="15" hidden="false" customHeight="false" outlineLevel="0" collapsed="false">
      <c r="B17" s="3" t="s">
        <v>12</v>
      </c>
    </row>
    <row r="18" customFormat="false" ht="15" hidden="false" customHeight="false" outlineLevel="0" collapsed="false">
      <c r="B18" s="2" t="s">
        <v>13</v>
      </c>
    </row>
    <row r="19" customFormat="false" ht="15" hidden="false" customHeight="false" outlineLevel="0" collapsed="false">
      <c r="B19" s="2"/>
    </row>
    <row r="20" customFormat="false" ht="15" hidden="false" customHeight="false" outlineLevel="0" collapsed="false">
      <c r="B20" s="6" t="s">
        <v>14</v>
      </c>
    </row>
    <row r="21" customFormat="false" ht="15" hidden="false" customHeight="false" outlineLevel="0" collapsed="false">
      <c r="B21" s="2"/>
    </row>
    <row r="22" customFormat="false" ht="22.35" hidden="false" customHeight="false" outlineLevel="0" collapsed="false">
      <c r="B22" s="6" t="s">
        <v>15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7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2" min="2" style="0" width="21"/>
  </cols>
  <sheetData>
    <row r="1" customFormat="false" ht="17.35" hidden="false" customHeight="false" outlineLevel="0" collapsed="false">
      <c r="A1" s="7" t="s">
        <v>16</v>
      </c>
    </row>
    <row r="2" customFormat="false" ht="15" hidden="false" customHeight="false" outlineLevel="0" collapsed="false">
      <c r="A2" s="8" t="s">
        <v>17</v>
      </c>
    </row>
    <row r="4" customFormat="false" ht="15" hidden="false" customHeight="false" outlineLevel="0" collapsed="false">
      <c r="A4" s="9" t="s">
        <v>18</v>
      </c>
    </row>
    <row r="5" customFormat="false" ht="31.5" hidden="false" customHeight="true" outlineLevel="0" collapsed="false">
      <c r="A5" s="10" t="s">
        <v>19</v>
      </c>
      <c r="B5" s="10" t="s">
        <v>20</v>
      </c>
      <c r="C5" s="10" t="s">
        <v>21</v>
      </c>
      <c r="D5" s="10" t="s">
        <v>22</v>
      </c>
      <c r="E5" s="10" t="s">
        <v>23</v>
      </c>
      <c r="F5" s="10" t="s">
        <v>24</v>
      </c>
      <c r="G5" s="10" t="s">
        <v>25</v>
      </c>
    </row>
    <row r="6" customFormat="false" ht="15" hidden="false" customHeight="false" outlineLevel="0" collapsed="false">
      <c r="A6" s="11" t="s">
        <v>26</v>
      </c>
      <c r="B6" s="11" t="s">
        <v>27</v>
      </c>
      <c r="C6" s="11" t="s">
        <v>28</v>
      </c>
      <c r="D6" s="11" t="s">
        <v>29</v>
      </c>
      <c r="E6" s="11" t="s">
        <v>30</v>
      </c>
      <c r="F6" s="11" t="s">
        <v>31</v>
      </c>
      <c r="G6" s="11" t="s">
        <v>32</v>
      </c>
    </row>
    <row r="9" customFormat="false" ht="15" hidden="false" customHeight="false" outlineLevel="0" collapsed="false">
      <c r="A9" s="9" t="s">
        <v>33</v>
      </c>
    </row>
    <row r="10" customFormat="false" ht="31.5" hidden="false" customHeight="true" outlineLevel="0" collapsed="false">
      <c r="A10" s="10" t="s">
        <v>34</v>
      </c>
      <c r="B10" s="10" t="s">
        <v>35</v>
      </c>
      <c r="C10" s="10" t="s">
        <v>36</v>
      </c>
      <c r="D10" s="10" t="s">
        <v>37</v>
      </c>
      <c r="E10" s="10" t="s">
        <v>38</v>
      </c>
    </row>
    <row r="11" customFormat="false" ht="15" hidden="false" customHeight="false" outlineLevel="0" collapsed="false">
      <c r="A11" s="12" t="n">
        <v>1</v>
      </c>
      <c r="B11" s="12" t="s">
        <v>27</v>
      </c>
      <c r="C11" s="12" t="n">
        <v>3.6</v>
      </c>
      <c r="D11" s="12" t="n">
        <v>12</v>
      </c>
    </row>
    <row r="12" customFormat="false" ht="15" hidden="false" customHeight="false" outlineLevel="0" collapsed="false">
      <c r="A12" s="11" t="n">
        <v>1</v>
      </c>
      <c r="B12" s="11" t="s">
        <v>26</v>
      </c>
      <c r="C12" s="11" t="n">
        <v>8.4</v>
      </c>
      <c r="D12" s="11" t="n">
        <v>11.87</v>
      </c>
      <c r="E12" s="13" t="n">
        <f aca="false">IF(AND(ISNUMBER(C12),ISNUMBER(D12)),C12/D12,0)</f>
        <v>0.707666385846672</v>
      </c>
    </row>
    <row r="13" customFormat="false" ht="15" hidden="false" customHeight="false" outlineLevel="0" collapsed="false">
      <c r="A13" s="11" t="n">
        <v>1</v>
      </c>
      <c r="B13" s="11" t="s">
        <v>27</v>
      </c>
      <c r="C13" s="11" t="n">
        <v>3.4</v>
      </c>
      <c r="D13" s="11" t="n">
        <v>11.87</v>
      </c>
      <c r="E13" s="13" t="n">
        <f aca="false">IF(AND(ISNUMBER(C13),ISNUMBER(D13)),C13/D13,0)</f>
        <v>0.286436394271272</v>
      </c>
    </row>
    <row r="14" customFormat="false" ht="15" hidden="false" customHeight="false" outlineLevel="0" collapsed="false">
      <c r="A14" s="11" t="n">
        <v>1</v>
      </c>
      <c r="B14" s="11" t="s">
        <v>28</v>
      </c>
      <c r="C14" s="11" t="n">
        <v>2.42</v>
      </c>
      <c r="D14" s="11" t="n">
        <v>11.87</v>
      </c>
      <c r="E14" s="13" t="n">
        <f aca="false">IF(AND(ISNUMBER(C14),ISNUMBER(D14)),C14/D14,0)</f>
        <v>0.203875315922494</v>
      </c>
    </row>
    <row r="15" customFormat="false" ht="15" hidden="false" customHeight="false" outlineLevel="0" collapsed="false">
      <c r="A15" s="11" t="n">
        <v>1</v>
      </c>
      <c r="B15" s="11" t="s">
        <v>29</v>
      </c>
      <c r="C15" s="11" t="n">
        <v>2.19</v>
      </c>
      <c r="D15" s="11" t="n">
        <v>11.87</v>
      </c>
      <c r="E15" s="13" t="n">
        <f aca="false">IF(AND(ISNUMBER(C15),ISNUMBER(D15)),C15/D15,0)</f>
        <v>0.184498736310025</v>
      </c>
    </row>
    <row r="16" customFormat="false" ht="15" hidden="false" customHeight="false" outlineLevel="0" collapsed="false">
      <c r="A16" s="11" t="n">
        <v>1</v>
      </c>
      <c r="B16" s="11" t="s">
        <v>30</v>
      </c>
      <c r="C16" s="11" t="n">
        <v>0.99</v>
      </c>
      <c r="D16" s="11" t="n">
        <v>11.87</v>
      </c>
      <c r="E16" s="13" t="n">
        <f aca="false">IF(AND(ISNUMBER(C16),ISNUMBER(D16)),C16/D16,0)</f>
        <v>0.0834035383319292</v>
      </c>
    </row>
    <row r="17" customFormat="false" ht="15" hidden="false" customHeight="false" outlineLevel="0" collapsed="false">
      <c r="A17" s="11" t="n">
        <v>1</v>
      </c>
      <c r="B17" s="11" t="s">
        <v>31</v>
      </c>
      <c r="C17" s="11" t="n">
        <v>3.67</v>
      </c>
      <c r="D17" s="11" t="n">
        <v>11.87</v>
      </c>
      <c r="E17" s="13" t="n">
        <f aca="false">IF(AND(ISNUMBER(C17),ISNUMBER(D17)),C17/D17,0)</f>
        <v>0.309182813816344</v>
      </c>
    </row>
    <row r="18" customFormat="false" ht="15" hidden="false" customHeight="false" outlineLevel="0" collapsed="false">
      <c r="A18" s="11" t="n">
        <v>1</v>
      </c>
      <c r="B18" s="11" t="s">
        <v>32</v>
      </c>
      <c r="C18" s="11" t="n">
        <v>8.7</v>
      </c>
      <c r="D18" s="11" t="n">
        <v>11.87</v>
      </c>
      <c r="E18" s="13" t="n">
        <f aca="false">IF(AND(ISNUMBER(C18),ISNUMBER(D18)),C18/D18,0)</f>
        <v>0.732940185341196</v>
      </c>
    </row>
    <row r="19" customFormat="false" ht="15" hidden="false" customHeight="false" outlineLevel="0" collapsed="false">
      <c r="A19" s="11" t="n">
        <v>2</v>
      </c>
      <c r="B19" s="11" t="s">
        <v>26</v>
      </c>
      <c r="C19" s="11" t="n">
        <v>8.23</v>
      </c>
      <c r="D19" s="11" t="n">
        <v>11.55</v>
      </c>
      <c r="E19" s="13" t="n">
        <f aca="false">IF(AND(ISNUMBER(C19),ISNUMBER(D19)),C19/D19,0)</f>
        <v>0.712554112554113</v>
      </c>
    </row>
    <row r="20" customFormat="false" ht="15" hidden="false" customHeight="false" outlineLevel="0" collapsed="false">
      <c r="A20" s="11" t="n">
        <v>2</v>
      </c>
      <c r="B20" s="11" t="s">
        <v>27</v>
      </c>
      <c r="C20" s="11" t="n">
        <v>3.52</v>
      </c>
      <c r="D20" s="11" t="n">
        <v>11.55</v>
      </c>
      <c r="E20" s="13" t="n">
        <f aca="false">IF(AND(ISNUMBER(C20),ISNUMBER(D20)),C20/D20,0)</f>
        <v>0.304761904761905</v>
      </c>
    </row>
    <row r="21" customFormat="false" ht="15" hidden="false" customHeight="false" outlineLevel="0" collapsed="false">
      <c r="A21" s="11" t="n">
        <v>2</v>
      </c>
      <c r="B21" s="11" t="s">
        <v>28</v>
      </c>
      <c r="C21" s="11" t="n">
        <v>2.57</v>
      </c>
      <c r="D21" s="11" t="n">
        <v>11.55</v>
      </c>
      <c r="E21" s="13" t="n">
        <f aca="false">IF(AND(ISNUMBER(C21),ISNUMBER(D21)),C21/D21,0)</f>
        <v>0.222510822510823</v>
      </c>
    </row>
    <row r="22" customFormat="false" ht="15" hidden="false" customHeight="false" outlineLevel="0" collapsed="false">
      <c r="A22" s="11" t="n">
        <v>2</v>
      </c>
      <c r="B22" s="11" t="s">
        <v>29</v>
      </c>
      <c r="C22" s="11" t="n">
        <v>2.22</v>
      </c>
      <c r="D22" s="11" t="n">
        <v>11.55</v>
      </c>
      <c r="E22" s="13" t="n">
        <f aca="false">IF(AND(ISNUMBER(C22),ISNUMBER(D22)),C22/D22,0)</f>
        <v>0.192207792207792</v>
      </c>
    </row>
    <row r="23" customFormat="false" ht="15" hidden="false" customHeight="false" outlineLevel="0" collapsed="false">
      <c r="A23" s="11" t="n">
        <v>2</v>
      </c>
      <c r="B23" s="11" t="s">
        <v>30</v>
      </c>
      <c r="C23" s="11" t="n">
        <v>1.26</v>
      </c>
      <c r="D23" s="11" t="n">
        <v>11.55</v>
      </c>
      <c r="E23" s="13" t="n">
        <f aca="false">IF(AND(ISNUMBER(C23),ISNUMBER(D23)),C23/D23,0)</f>
        <v>0.109090909090909</v>
      </c>
    </row>
    <row r="24" customFormat="false" ht="15" hidden="false" customHeight="false" outlineLevel="0" collapsed="false">
      <c r="A24" s="11" t="n">
        <v>2</v>
      </c>
      <c r="B24" s="11" t="s">
        <v>31</v>
      </c>
      <c r="C24" s="11" t="n">
        <v>3.66</v>
      </c>
      <c r="D24" s="11" t="n">
        <v>11.55</v>
      </c>
      <c r="E24" s="13" t="n">
        <f aca="false">IF(AND(ISNUMBER(C24),ISNUMBER(D24)),C24/D24,0)</f>
        <v>0.316883116883117</v>
      </c>
    </row>
    <row r="25" customFormat="false" ht="15" hidden="false" customHeight="false" outlineLevel="0" collapsed="false">
      <c r="A25" s="11" t="n">
        <v>2</v>
      </c>
      <c r="B25" s="11" t="s">
        <v>32</v>
      </c>
      <c r="C25" s="11" t="n">
        <v>8.26</v>
      </c>
      <c r="D25" s="11" t="n">
        <v>11.55</v>
      </c>
      <c r="E25" s="13" t="n">
        <f aca="false">IF(AND(ISNUMBER(C25),ISNUMBER(D25)),C25/D25,0)</f>
        <v>0.715151515151515</v>
      </c>
    </row>
    <row r="26" customFormat="false" ht="15" hidden="false" customHeight="false" outlineLevel="0" collapsed="false">
      <c r="A26" s="11" t="n">
        <v>3</v>
      </c>
      <c r="B26" s="11" t="s">
        <v>26</v>
      </c>
      <c r="C26" s="11" t="n">
        <v>8.38</v>
      </c>
      <c r="D26" s="11" t="n">
        <v>11.92</v>
      </c>
      <c r="E26" s="13" t="n">
        <f aca="false">IF(AND(ISNUMBER(C26),ISNUMBER(D26)),C26/D26,0)</f>
        <v>0.703020134228188</v>
      </c>
    </row>
    <row r="27" customFormat="false" ht="15" hidden="false" customHeight="false" outlineLevel="0" collapsed="false">
      <c r="A27" s="11" t="n">
        <v>3</v>
      </c>
      <c r="B27" s="11" t="s">
        <v>27</v>
      </c>
      <c r="C27" s="11" t="n">
        <v>3.44</v>
      </c>
      <c r="D27" s="11" t="n">
        <v>11.92</v>
      </c>
      <c r="E27" s="13" t="n">
        <f aca="false">IF(AND(ISNUMBER(C27),ISNUMBER(D27)),C27/D27,0)</f>
        <v>0.288590604026846</v>
      </c>
    </row>
    <row r="28" customFormat="false" ht="15" hidden="false" customHeight="false" outlineLevel="0" collapsed="false">
      <c r="A28" s="11" t="n">
        <v>3</v>
      </c>
      <c r="B28" s="11" t="s">
        <v>28</v>
      </c>
      <c r="C28" s="11" t="n">
        <v>2.46</v>
      </c>
      <c r="D28" s="11" t="n">
        <v>11.92</v>
      </c>
      <c r="E28" s="13" t="n">
        <f aca="false">IF(AND(ISNUMBER(C28),ISNUMBER(D28)),C28/D28,0)</f>
        <v>0.206375838926175</v>
      </c>
    </row>
    <row r="29" customFormat="false" ht="15" hidden="false" customHeight="false" outlineLevel="0" collapsed="false">
      <c r="A29" s="11" t="n">
        <v>3</v>
      </c>
      <c r="B29" s="11" t="s">
        <v>29</v>
      </c>
      <c r="C29" s="11" t="n">
        <v>2.05</v>
      </c>
      <c r="D29" s="11" t="n">
        <v>11.92</v>
      </c>
      <c r="E29" s="13" t="n">
        <f aca="false">IF(AND(ISNUMBER(C29),ISNUMBER(D29)),C29/D29,0)</f>
        <v>0.171979865771812</v>
      </c>
    </row>
    <row r="30" customFormat="false" ht="15" hidden="false" customHeight="false" outlineLevel="0" collapsed="false">
      <c r="A30" s="11" t="n">
        <v>3</v>
      </c>
      <c r="B30" s="11" t="s">
        <v>30</v>
      </c>
      <c r="C30" s="11" t="n">
        <v>1.03</v>
      </c>
      <c r="D30" s="11" t="n">
        <v>11.92</v>
      </c>
      <c r="E30" s="13" t="n">
        <f aca="false">IF(AND(ISNUMBER(C30),ISNUMBER(D30)),C30/D30,0)</f>
        <v>0.0864093959731544</v>
      </c>
    </row>
    <row r="31" customFormat="false" ht="15" hidden="false" customHeight="false" outlineLevel="0" collapsed="false">
      <c r="A31" s="11" t="n">
        <v>3</v>
      </c>
      <c r="B31" s="11" t="s">
        <v>31</v>
      </c>
      <c r="C31" s="11" t="n">
        <v>3.67</v>
      </c>
      <c r="D31" s="11" t="n">
        <v>11.92</v>
      </c>
      <c r="E31" s="13" t="n">
        <f aca="false">IF(AND(ISNUMBER(C31),ISNUMBER(D31)),C31/D31,0)</f>
        <v>0.307885906040268</v>
      </c>
    </row>
    <row r="32" customFormat="false" ht="15" hidden="false" customHeight="false" outlineLevel="0" collapsed="false">
      <c r="A32" s="11" t="n">
        <v>3</v>
      </c>
      <c r="B32" s="11" t="s">
        <v>32</v>
      </c>
      <c r="C32" s="11" t="n">
        <v>8.57</v>
      </c>
      <c r="D32" s="11" t="n">
        <v>11.92</v>
      </c>
      <c r="E32" s="13" t="n">
        <f aca="false">IF(AND(ISNUMBER(C32),ISNUMBER(D32)),C32/D32,0)</f>
        <v>0.718959731543624</v>
      </c>
    </row>
    <row r="33" customFormat="false" ht="15" hidden="false" customHeight="false" outlineLevel="0" collapsed="false">
      <c r="A33" s="11" t="n">
        <v>4</v>
      </c>
      <c r="B33" s="11" t="s">
        <v>26</v>
      </c>
      <c r="C33" s="11" t="n">
        <v>8.67</v>
      </c>
      <c r="D33" s="11" t="n">
        <v>12.17</v>
      </c>
      <c r="E33" s="13" t="n">
        <f aca="false">IF(AND(ISNUMBER(C33),ISNUMBER(D33)),C33/D33,0)</f>
        <v>0.71240755957272</v>
      </c>
    </row>
    <row r="34" customFormat="false" ht="15" hidden="false" customHeight="false" outlineLevel="0" collapsed="false">
      <c r="A34" s="11" t="n">
        <v>4</v>
      </c>
      <c r="B34" s="11" t="s">
        <v>27</v>
      </c>
      <c r="C34" s="11" t="n">
        <v>3.89</v>
      </c>
      <c r="D34" s="11" t="n">
        <v>12.17</v>
      </c>
      <c r="E34" s="13" t="n">
        <f aca="false">IF(AND(ISNUMBER(C34),ISNUMBER(D34)),C34/D34,0)</f>
        <v>0.319638455217749</v>
      </c>
    </row>
    <row r="35" customFormat="false" ht="15" hidden="false" customHeight="false" outlineLevel="0" collapsed="false">
      <c r="A35" s="11" t="n">
        <v>4</v>
      </c>
      <c r="B35" s="11" t="s">
        <v>28</v>
      </c>
      <c r="C35" s="11" t="n">
        <v>2.58</v>
      </c>
      <c r="D35" s="11" t="n">
        <v>12.17</v>
      </c>
      <c r="E35" s="13" t="n">
        <f aca="false">IF(AND(ISNUMBER(C35),ISNUMBER(D35)),C35/D35,0)</f>
        <v>0.211996713229252</v>
      </c>
    </row>
    <row r="36" customFormat="false" ht="15" hidden="false" customHeight="false" outlineLevel="0" collapsed="false">
      <c r="A36" s="11" t="n">
        <v>4</v>
      </c>
      <c r="B36" s="11" t="s">
        <v>29</v>
      </c>
      <c r="C36" s="11" t="n">
        <v>1.96</v>
      </c>
      <c r="D36" s="11" t="n">
        <v>12.17</v>
      </c>
      <c r="E36" s="13" t="n">
        <f aca="false">IF(AND(ISNUMBER(C36),ISNUMBER(D36)),C36/D36,0)</f>
        <v>0.161051766639277</v>
      </c>
    </row>
    <row r="37" customFormat="false" ht="15" hidden="false" customHeight="false" outlineLevel="0" collapsed="false">
      <c r="A37" s="11" t="n">
        <v>4</v>
      </c>
      <c r="B37" s="11" t="s">
        <v>30</v>
      </c>
      <c r="C37" s="11" t="n">
        <v>1.1</v>
      </c>
      <c r="D37" s="11" t="n">
        <v>12.17</v>
      </c>
      <c r="E37" s="13" t="n">
        <f aca="false">IF(AND(ISNUMBER(C37),ISNUMBER(D37)),C37/D37,0)</f>
        <v>0.0903861955628595</v>
      </c>
    </row>
    <row r="38" customFormat="false" ht="15" hidden="false" customHeight="false" outlineLevel="0" collapsed="false">
      <c r="A38" s="11" t="n">
        <v>4</v>
      </c>
      <c r="B38" s="11" t="s">
        <v>31</v>
      </c>
      <c r="C38" s="11" t="n">
        <v>3.87</v>
      </c>
      <c r="D38" s="11" t="n">
        <v>12.17</v>
      </c>
      <c r="E38" s="13" t="n">
        <f aca="false">IF(AND(ISNUMBER(C38),ISNUMBER(D38)),C38/D38,0)</f>
        <v>0.317995069843878</v>
      </c>
    </row>
    <row r="39" customFormat="false" ht="15" hidden="false" customHeight="false" outlineLevel="0" collapsed="false">
      <c r="A39" s="11" t="n">
        <v>4</v>
      </c>
      <c r="B39" s="11" t="s">
        <v>32</v>
      </c>
      <c r="C39" s="11" t="n">
        <v>8.69</v>
      </c>
      <c r="D39" s="11" t="n">
        <v>12.17</v>
      </c>
      <c r="E39" s="13" t="n">
        <f aca="false">IF(AND(ISNUMBER(C39),ISNUMBER(D39)),C39/D39,0)</f>
        <v>0.71405094494659</v>
      </c>
    </row>
    <row r="40" customFormat="false" ht="15" hidden="false" customHeight="false" outlineLevel="0" collapsed="false">
      <c r="A40" s="11"/>
      <c r="B40" s="11"/>
      <c r="C40" s="11"/>
      <c r="D40" s="11"/>
      <c r="E40" s="13" t="n">
        <f aca="false">IF(AND(ISNUMBER(C40),ISNUMBER(D40)),C40/D40,0)</f>
        <v>0</v>
      </c>
    </row>
    <row r="41" customFormat="false" ht="15" hidden="false" customHeight="false" outlineLevel="0" collapsed="false">
      <c r="A41" s="11"/>
      <c r="B41" s="11"/>
      <c r="C41" s="11"/>
      <c r="D41" s="11"/>
      <c r="E41" s="13" t="n">
        <f aca="false">IF(AND(ISNUMBER(C41),ISNUMBER(D41)),C41/D41,0)</f>
        <v>0</v>
      </c>
    </row>
    <row r="42" customFormat="false" ht="15" hidden="false" customHeight="false" outlineLevel="0" collapsed="false">
      <c r="A42" s="11"/>
      <c r="B42" s="11"/>
      <c r="C42" s="11"/>
      <c r="D42" s="11"/>
      <c r="E42" s="13" t="n">
        <f aca="false">IF(AND(ISNUMBER(C42),ISNUMBER(D42)),C42/D42,0)</f>
        <v>0</v>
      </c>
    </row>
    <row r="43" customFormat="false" ht="15" hidden="false" customHeight="false" outlineLevel="0" collapsed="false">
      <c r="A43" s="11"/>
      <c r="B43" s="11"/>
      <c r="C43" s="11"/>
      <c r="D43" s="11"/>
      <c r="E43" s="13" t="n">
        <f aca="false">IF(AND(ISNUMBER(C43),ISNUMBER(D43)),C43/D43,0)</f>
        <v>0</v>
      </c>
    </row>
    <row r="44" customFormat="false" ht="15" hidden="false" customHeight="false" outlineLevel="0" collapsed="false">
      <c r="A44" s="11"/>
      <c r="B44" s="11"/>
      <c r="C44" s="11"/>
      <c r="D44" s="11"/>
      <c r="E44" s="13" t="n">
        <f aca="false">IF(AND(ISNUMBER(C44),ISNUMBER(D44)),C44/D44,0)</f>
        <v>0</v>
      </c>
    </row>
    <row r="45" customFormat="false" ht="15" hidden="false" customHeight="false" outlineLevel="0" collapsed="false">
      <c r="A45" s="11"/>
      <c r="B45" s="11"/>
      <c r="C45" s="11"/>
      <c r="D45" s="11"/>
      <c r="E45" s="13" t="n">
        <f aca="false">IF(AND(ISNUMBER(C45),ISNUMBER(D45)),C45/D45,0)</f>
        <v>0</v>
      </c>
    </row>
    <row r="46" customFormat="false" ht="15" hidden="false" customHeight="false" outlineLevel="0" collapsed="false">
      <c r="A46" s="11"/>
      <c r="B46" s="11"/>
      <c r="C46" s="11"/>
      <c r="D46" s="11"/>
      <c r="E46" s="13" t="n">
        <f aca="false">IF(AND(ISNUMBER(C46),ISNUMBER(D46)),C46/D46,0)</f>
        <v>0</v>
      </c>
    </row>
    <row r="47" customFormat="false" ht="15" hidden="false" customHeight="false" outlineLevel="0" collapsed="false">
      <c r="A47" s="11"/>
      <c r="B47" s="11"/>
      <c r="C47" s="11"/>
      <c r="D47" s="11"/>
      <c r="E47" s="13" t="n">
        <f aca="false">IF(AND(ISNUMBER(C47),ISNUMBER(D47)),C47/D47,0)</f>
        <v>0</v>
      </c>
    </row>
    <row r="48" customFormat="false" ht="15" hidden="false" customHeight="false" outlineLevel="0" collapsed="false">
      <c r="A48" s="11"/>
      <c r="B48" s="11"/>
      <c r="C48" s="11"/>
      <c r="D48" s="11"/>
      <c r="E48" s="13" t="n">
        <f aca="false">IF(AND(ISNUMBER(C48),ISNUMBER(D48)),C48/D48,0)</f>
        <v>0</v>
      </c>
    </row>
    <row r="49" customFormat="false" ht="15" hidden="false" customHeight="false" outlineLevel="0" collapsed="false">
      <c r="A49" s="11"/>
      <c r="B49" s="11"/>
      <c r="C49" s="11"/>
      <c r="D49" s="11"/>
      <c r="E49" s="13" t="n">
        <f aca="false">IF(AND(ISNUMBER(C49),ISNUMBER(D49)),C49/D49,0)</f>
        <v>0</v>
      </c>
    </row>
    <row r="50" customFormat="false" ht="15" hidden="false" customHeight="false" outlineLevel="0" collapsed="false">
      <c r="A50" s="11"/>
      <c r="B50" s="11"/>
      <c r="C50" s="11"/>
      <c r="D50" s="11"/>
      <c r="E50" s="13" t="n">
        <f aca="false">IF(AND(ISNUMBER(C50),ISNUMBER(D50)),C50/D50,0)</f>
        <v>0</v>
      </c>
    </row>
    <row r="51" customFormat="false" ht="15" hidden="false" customHeight="false" outlineLevel="0" collapsed="false">
      <c r="A51" s="11"/>
      <c r="B51" s="11"/>
      <c r="C51" s="11"/>
      <c r="D51" s="11"/>
      <c r="E51" s="13" t="n">
        <f aca="false">IF(AND(ISNUMBER(C51),ISNUMBER(D51)),C51/D51,0)</f>
        <v>0</v>
      </c>
    </row>
    <row r="52" customFormat="false" ht="15" hidden="false" customHeight="false" outlineLevel="0" collapsed="false">
      <c r="A52" s="11"/>
      <c r="B52" s="11"/>
      <c r="C52" s="11"/>
      <c r="D52" s="11"/>
      <c r="E52" s="13" t="n">
        <f aca="false">IF(AND(ISNUMBER(C52),ISNUMBER(D52)),C52/D52,0)</f>
        <v>0</v>
      </c>
    </row>
    <row r="53" customFormat="false" ht="15" hidden="false" customHeight="false" outlineLevel="0" collapsed="false">
      <c r="A53" s="11"/>
      <c r="B53" s="11"/>
      <c r="C53" s="11"/>
      <c r="D53" s="11"/>
      <c r="E53" s="13" t="n">
        <f aca="false">IF(AND(ISNUMBER(C53),ISNUMBER(D53)),C53/D53,0)</f>
        <v>0</v>
      </c>
    </row>
    <row r="54" customFormat="false" ht="15" hidden="false" customHeight="false" outlineLevel="0" collapsed="false">
      <c r="A54" s="11"/>
      <c r="B54" s="11"/>
      <c r="C54" s="11"/>
      <c r="D54" s="11"/>
      <c r="E54" s="13" t="n">
        <f aca="false">IF(AND(ISNUMBER(C54),ISNUMBER(D54)),C54/D54,0)</f>
        <v>0</v>
      </c>
    </row>
    <row r="55" customFormat="false" ht="15" hidden="false" customHeight="false" outlineLevel="0" collapsed="false">
      <c r="A55" s="11"/>
      <c r="B55" s="11"/>
      <c r="C55" s="11"/>
      <c r="D55" s="11"/>
      <c r="E55" s="13" t="n">
        <f aca="false">IF(AND(ISNUMBER(C55),ISNUMBER(D55)),C55/D55,0)</f>
        <v>0</v>
      </c>
    </row>
    <row r="56" customFormat="false" ht="15" hidden="false" customHeight="false" outlineLevel="0" collapsed="false">
      <c r="A56" s="11"/>
      <c r="B56" s="11"/>
      <c r="C56" s="11"/>
      <c r="D56" s="11"/>
      <c r="E56" s="13" t="n">
        <f aca="false">IF(AND(ISNUMBER(C56),ISNUMBER(D56)),C56/D56,0)</f>
        <v>0</v>
      </c>
    </row>
    <row r="57" customFormat="false" ht="15" hidden="false" customHeight="false" outlineLevel="0" collapsed="false">
      <c r="A57" s="11"/>
      <c r="B57" s="11"/>
      <c r="C57" s="11"/>
      <c r="D57" s="11"/>
      <c r="E57" s="13" t="n">
        <f aca="false">IF(AND(ISNUMBER(C57),ISNUMBER(D57)),C57/D57,0)</f>
        <v>0</v>
      </c>
    </row>
    <row r="58" customFormat="false" ht="15" hidden="false" customHeight="false" outlineLevel="0" collapsed="false">
      <c r="A58" s="11"/>
      <c r="B58" s="11"/>
      <c r="C58" s="11"/>
      <c r="D58" s="11"/>
      <c r="E58" s="13" t="n">
        <f aca="false">IF(AND(ISNUMBER(C58),ISNUMBER(D58)),C58/D58,0)</f>
        <v>0</v>
      </c>
    </row>
    <row r="59" customFormat="false" ht="15" hidden="false" customHeight="false" outlineLevel="0" collapsed="false">
      <c r="A59" s="11"/>
      <c r="B59" s="11"/>
      <c r="C59" s="11"/>
      <c r="D59" s="11"/>
      <c r="E59" s="13" t="n">
        <f aca="false">IF(AND(ISNUMBER(C59),ISNUMBER(D59)),C59/D59,0)</f>
        <v>0</v>
      </c>
    </row>
    <row r="60" customFormat="false" ht="15" hidden="false" customHeight="false" outlineLevel="0" collapsed="false">
      <c r="A60" s="11"/>
      <c r="B60" s="11"/>
      <c r="C60" s="11"/>
      <c r="D60" s="11"/>
      <c r="E60" s="13" t="n">
        <f aca="false">IF(AND(ISNUMBER(C60),ISNUMBER(D60)),C60/D60,0)</f>
        <v>0</v>
      </c>
    </row>
    <row r="61" customFormat="false" ht="15" hidden="false" customHeight="false" outlineLevel="0" collapsed="false">
      <c r="A61" s="11"/>
      <c r="B61" s="11"/>
      <c r="C61" s="11"/>
      <c r="D61" s="11"/>
      <c r="E61" s="13" t="n">
        <f aca="false">IF(AND(ISNUMBER(C61),ISNUMBER(D61)),C61/D61,0)</f>
        <v>0</v>
      </c>
    </row>
    <row r="62" customFormat="false" ht="15" hidden="false" customHeight="false" outlineLevel="0" collapsed="false">
      <c r="A62" s="11"/>
      <c r="B62" s="11"/>
      <c r="C62" s="11"/>
      <c r="D62" s="11"/>
      <c r="E62" s="13" t="n">
        <f aca="false">IF(AND(ISNUMBER(C62),ISNUMBER(D62)),C62/D62,0)</f>
        <v>0</v>
      </c>
    </row>
    <row r="63" customFormat="false" ht="15" hidden="false" customHeight="false" outlineLevel="0" collapsed="false">
      <c r="A63" s="11"/>
      <c r="B63" s="11"/>
      <c r="C63" s="11"/>
      <c r="D63" s="11"/>
      <c r="E63" s="13" t="n">
        <f aca="false">IF(AND(ISNUMBER(C63),ISNUMBER(D63)),C63/D63,0)</f>
        <v>0</v>
      </c>
    </row>
    <row r="64" customFormat="false" ht="15" hidden="false" customHeight="false" outlineLevel="0" collapsed="false">
      <c r="A64" s="11"/>
      <c r="B64" s="11"/>
      <c r="C64" s="11"/>
      <c r="D64" s="11"/>
      <c r="E64" s="13" t="n">
        <f aca="false">IF(AND(ISNUMBER(C64),ISNUMBER(D64)),C64/D64,0)</f>
        <v>0</v>
      </c>
    </row>
    <row r="65" customFormat="false" ht="15" hidden="false" customHeight="false" outlineLevel="0" collapsed="false">
      <c r="A65" s="11"/>
      <c r="B65" s="11"/>
      <c r="C65" s="11"/>
      <c r="D65" s="11"/>
      <c r="E65" s="13" t="n">
        <f aca="false">IF(AND(ISNUMBER(C65),ISNUMBER(D65)),C65/D65,0)</f>
        <v>0</v>
      </c>
    </row>
    <row r="66" customFormat="false" ht="15" hidden="false" customHeight="false" outlineLevel="0" collapsed="false">
      <c r="A66" s="11"/>
      <c r="B66" s="11"/>
      <c r="C66" s="11"/>
      <c r="D66" s="11"/>
      <c r="E66" s="13" t="n">
        <f aca="false">IF(AND(ISNUMBER(C66),ISNUMBER(D66)),C66/D66,0)</f>
        <v>0</v>
      </c>
    </row>
    <row r="67" customFormat="false" ht="15" hidden="false" customHeight="false" outlineLevel="0" collapsed="false">
      <c r="A67" s="11"/>
      <c r="B67" s="11"/>
      <c r="C67" s="11"/>
      <c r="D67" s="11"/>
      <c r="E67" s="13" t="n">
        <f aca="false">IF(AND(ISNUMBER(C67),ISNUMBER(D67)),C67/D67,0)</f>
        <v>0</v>
      </c>
    </row>
    <row r="68" customFormat="false" ht="15" hidden="false" customHeight="false" outlineLevel="0" collapsed="false">
      <c r="A68" s="11"/>
      <c r="B68" s="11"/>
      <c r="C68" s="11"/>
      <c r="D68" s="11"/>
      <c r="E68" s="13" t="n">
        <f aca="false">IF(AND(ISNUMBER(C68),ISNUMBER(D68)),C68/D68,0)</f>
        <v>0</v>
      </c>
    </row>
    <row r="69" customFormat="false" ht="15" hidden="false" customHeight="false" outlineLevel="0" collapsed="false">
      <c r="A69" s="11"/>
      <c r="B69" s="11"/>
      <c r="C69" s="11"/>
      <c r="D69" s="11"/>
      <c r="E69" s="13" t="n">
        <f aca="false">IF(AND(ISNUMBER(C69),ISNUMBER(D69)),C69/D69,0)</f>
        <v>0</v>
      </c>
    </row>
    <row r="70" customFormat="false" ht="15" hidden="false" customHeight="false" outlineLevel="0" collapsed="false">
      <c r="A70" s="11"/>
      <c r="B70" s="11"/>
      <c r="C70" s="11"/>
      <c r="D70" s="11"/>
      <c r="E70" s="13" t="n">
        <f aca="false">IF(AND(ISNUMBER(C70),ISNUMBER(D70)),C70/D70,0)</f>
        <v>0</v>
      </c>
    </row>
    <row r="71" customFormat="false" ht="15" hidden="false" customHeight="false" outlineLevel="0" collapsed="false">
      <c r="A71" s="11"/>
      <c r="B71" s="11"/>
      <c r="C71" s="11"/>
      <c r="D71" s="11"/>
      <c r="E71" s="13" t="n">
        <f aca="false">IF(AND(ISNUMBER(C71),ISNUMBER(D71)),C71/D71,0)</f>
        <v>0</v>
      </c>
    </row>
  </sheetData>
  <sheetProtection sheet="true" formatColumns="false"/>
  <dataValidations count="1">
    <dataValidation allowBlank="true" error="Enter a number." errorStyle="stop" errorTitle="Number needed" operator="between" showDropDown="false" showErrorMessage="true" showInputMessage="false" sqref="A12:A71 C12:D71" type="decimal">
      <formula1>-1000000000</formula1>
      <formula2>1000000000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4"/>
    <col collapsed="false" customWidth="true" hidden="false" outlineLevel="0" max="14" min="3" style="0" width="15"/>
  </cols>
  <sheetData>
    <row r="1" customFormat="false" ht="17.35" hidden="false" customHeight="false" outlineLevel="0" collapsed="false">
      <c r="B1" s="7" t="s">
        <v>39</v>
      </c>
    </row>
    <row r="2" customFormat="false" ht="15" hidden="false" customHeight="false" outlineLevel="0" collapsed="false">
      <c r="B2" s="8" t="s">
        <v>40</v>
      </c>
    </row>
    <row r="4" customFormat="false" ht="15" hidden="false" customHeight="false" outlineLevel="0" collapsed="false">
      <c r="B4" s="9" t="s">
        <v>41</v>
      </c>
    </row>
    <row r="5" customFormat="false" ht="15" hidden="false" customHeight="false" outlineLevel="0" collapsed="false">
      <c r="B5" s="14" t="s">
        <v>42</v>
      </c>
      <c r="C5" s="11" t="n">
        <v>0.05</v>
      </c>
      <c r="D5" s="8"/>
    </row>
    <row r="7" customFormat="false" ht="15" hidden="false" customHeight="false" outlineLevel="0" collapsed="false">
      <c r="B7" s="9" t="s">
        <v>43</v>
      </c>
    </row>
    <row r="8" customFormat="false" ht="30" hidden="false" customHeight="true" outlineLevel="0" collapsed="false">
      <c r="B8" s="10" t="s">
        <v>44</v>
      </c>
      <c r="C8" s="10" t="s">
        <v>45</v>
      </c>
      <c r="D8" s="10" t="s">
        <v>46</v>
      </c>
      <c r="E8" s="10" t="s">
        <v>47</v>
      </c>
      <c r="F8" s="10" t="s">
        <v>48</v>
      </c>
    </row>
    <row r="9" customFormat="false" ht="15" hidden="false" customHeight="false" outlineLevel="0" collapsed="false">
      <c r="B9" s="15" t="str">
        <f aca="false">IFERROR('Enter data'!$A$6,"")</f>
        <v>leucine</v>
      </c>
      <c r="C9" s="16" t="n">
        <f aca="false">IFERROR(COUNTIFS('Enter data'!$B$12:$B$71,'Enter data'!$A$6,'Enter data'!$E$12:$E$71,"&lt;&gt;0"),"")</f>
        <v>4</v>
      </c>
      <c r="D9" s="17" t="n">
        <f aca="false">IFERROR(AVERAGEIFS('Enter data'!$E$12:$E$71,'Enter data'!$B$12:$B$71,'Enter data'!$A$6,'Enter data'!$E$12:$E$71,"&lt;&gt;0"),"")</f>
        <v>0.708912048050423</v>
      </c>
      <c r="E9" s="17" t="n">
        <f aca="false">IFERROR(SQRT(MAX(0,(SUMPRODUCT(('Enter data'!$B$12:$B$71='Enter data'!$A$6)*('Enter data'!$E$12:$E$71&lt;&gt;0)*'Enter data'!$E$12:$E$71^2)-C9*D9^2)/(C9-1))),"")</f>
        <v>0.00453686960601551</v>
      </c>
      <c r="F9" s="17" t="n">
        <f aca="false">IFERROR(E9/SQRT(C9),"")</f>
        <v>0.00226843480300776</v>
      </c>
    </row>
    <row r="10" customFormat="false" ht="15" hidden="false" customHeight="false" outlineLevel="0" collapsed="false">
      <c r="B10" s="15" t="str">
        <f aca="false">IFERROR('Enter data'!$B$6,"")</f>
        <v>alanine</v>
      </c>
      <c r="C10" s="16" t="n">
        <f aca="false">IFERROR(COUNTIFS('Enter data'!$B$12:$B$71,'Enter data'!$B$6,'Enter data'!$E$12:$E$71,"&lt;&gt;0"),"")</f>
        <v>4</v>
      </c>
      <c r="D10" s="17" t="n">
        <f aca="false">IFERROR(AVERAGEIFS('Enter data'!$E$12:$E$71,'Enter data'!$B$12:$B$71,'Enter data'!$B$6,'Enter data'!$E$12:$E$71,"&lt;&gt;0"),"")</f>
        <v>0.299856839569443</v>
      </c>
      <c r="E10" s="17" t="n">
        <f aca="false">IFERROR(SQRT(MAX(0,(SUMPRODUCT(('Enter data'!$B$12:$B$71='Enter data'!$B$6)*('Enter data'!$E$12:$E$71&lt;&gt;0)*'Enter data'!$E$12:$E$71^2)-C10*D10^2)/(C10-1))),"")</f>
        <v>0.0155178219852969</v>
      </c>
      <c r="F10" s="17" t="n">
        <f aca="false">IFERROR(E10/SQRT(C10),"")</f>
        <v>0.00775891099264847</v>
      </c>
    </row>
    <row r="11" customFormat="false" ht="15" hidden="false" customHeight="false" outlineLevel="0" collapsed="false">
      <c r="B11" s="15" t="str">
        <f aca="false">IFERROR('Enter data'!$C$6,"")</f>
        <v>glycine</v>
      </c>
      <c r="C11" s="16" t="n">
        <f aca="false">IFERROR(COUNTIFS('Enter data'!$B$12:$B$71,'Enter data'!$C$6,'Enter data'!$E$12:$E$71,"&lt;&gt;0"),"")</f>
        <v>4</v>
      </c>
      <c r="D11" s="17" t="n">
        <f aca="false">IFERROR(AVERAGEIFS('Enter data'!$E$12:$E$71,'Enter data'!$B$12:$B$71,'Enter data'!$C$6,'Enter data'!$E$12:$E$71,"&lt;&gt;0"),"")</f>
        <v>0.211189672647186</v>
      </c>
      <c r="E11" s="17" t="n">
        <f aca="false">IFERROR(SQRT(MAX(0,(SUMPRODUCT(('Enter data'!$B$12:$B$71='Enter data'!$C$6)*('Enter data'!$E$12:$E$71&lt;&gt;0)*'Enter data'!$E$12:$E$71^2)-C11*D11^2)/(C11-1))),"")</f>
        <v>0.00827632281724202</v>
      </c>
      <c r="F11" s="17" t="n">
        <f aca="false">IFERROR(E11/SQRT(C11),"")</f>
        <v>0.00413816140862101</v>
      </c>
    </row>
    <row r="12" customFormat="false" ht="15" hidden="false" customHeight="false" outlineLevel="0" collapsed="false">
      <c r="B12" s="15" t="str">
        <f aca="false">IFERROR('Enter data'!$D$6,"")</f>
        <v>serine</v>
      </c>
      <c r="C12" s="16" t="n">
        <f aca="false">IFERROR(COUNTIFS('Enter data'!$B$12:$B$71,'Enter data'!$D$6,'Enter data'!$E$12:$E$71,"&lt;&gt;0"),"")</f>
        <v>4</v>
      </c>
      <c r="D12" s="17" t="n">
        <f aca="false">IFERROR(AVERAGEIFS('Enter data'!$E$12:$E$71,'Enter data'!$B$12:$B$71,'Enter data'!$D$6,'Enter data'!$E$12:$E$71,"&lt;&gt;0"),"")</f>
        <v>0.177434540232227</v>
      </c>
      <c r="E12" s="17" t="n">
        <f aca="false">IFERROR(SQRT(MAX(0,(SUMPRODUCT(('Enter data'!$B$12:$B$71='Enter data'!$D$6)*('Enter data'!$E$12:$E$71&lt;&gt;0)*'Enter data'!$E$12:$E$71^2)-C12*D12^2)/(C12-1))),"")</f>
        <v>0.0137392452998224</v>
      </c>
      <c r="F12" s="17" t="n">
        <f aca="false">IFERROR(E12/SQRT(C12),"")</f>
        <v>0.0068696226499112</v>
      </c>
    </row>
    <row r="13" customFormat="false" ht="15" hidden="false" customHeight="false" outlineLevel="0" collapsed="false">
      <c r="B13" s="15" t="str">
        <f aca="false">IFERROR('Enter data'!$E$6,"")</f>
        <v>aspartic acid</v>
      </c>
      <c r="C13" s="16" t="n">
        <f aca="false">IFERROR(COUNTIFS('Enter data'!$B$12:$B$71,'Enter data'!$E$6,'Enter data'!$E$12:$E$71,"&lt;&gt;0"),"")</f>
        <v>4</v>
      </c>
      <c r="D13" s="17" t="n">
        <f aca="false">IFERROR(AVERAGEIFS('Enter data'!$E$12:$E$71,'Enter data'!$B$12:$B$71,'Enter data'!$E$6,'Enter data'!$E$12:$E$71,"&lt;&gt;0"),"")</f>
        <v>0.092322509739713</v>
      </c>
      <c r="E13" s="17" t="n">
        <f aca="false">IFERROR(SQRT(MAX(0,(SUMPRODUCT(('Enter data'!$B$12:$B$71='Enter data'!$E$6)*('Enter data'!$E$12:$E$71&lt;&gt;0)*'Enter data'!$E$12:$E$71^2)-C13*D13^2)/(C13-1))),"")</f>
        <v>0.011538941239441</v>
      </c>
      <c r="F13" s="17" t="n">
        <f aca="false">IFERROR(E13/SQRT(C13),"")</f>
        <v>0.00576947061972048</v>
      </c>
    </row>
    <row r="14" customFormat="false" ht="15" hidden="false" customHeight="false" outlineLevel="0" collapsed="false">
      <c r="B14" s="15" t="str">
        <f aca="false">IFERROR('Enter data'!$F$6,"")</f>
        <v>unk1</v>
      </c>
      <c r="C14" s="16" t="n">
        <f aca="false">IFERROR(COUNTIFS('Enter data'!$B$12:$B$71,'Enter data'!$F$6,'Enter data'!$E$12:$E$71,"&lt;&gt;0"),"")</f>
        <v>4</v>
      </c>
      <c r="D14" s="17" t="n">
        <f aca="false">IFERROR(AVERAGEIFS('Enter data'!$E$12:$E$71,'Enter data'!$B$12:$B$71,'Enter data'!$F$6,'Enter data'!$E$12:$E$71,"&lt;&gt;0"),"")</f>
        <v>0.312986726645902</v>
      </c>
      <c r="E14" s="17" t="n">
        <f aca="false">IFERROR(SQRT(MAX(0,(SUMPRODUCT(('Enter data'!$B$12:$B$71='Enter data'!$F$6)*('Enter data'!$E$12:$E$71&lt;&gt;0)*'Enter data'!$E$12:$E$71^2)-C14*D14^2)/(C14-1))),"")</f>
        <v>0.00518823933317919</v>
      </c>
      <c r="F14" s="17" t="n">
        <f aca="false">IFERROR(E14/SQRT(C14),"")</f>
        <v>0.0025941196665896</v>
      </c>
    </row>
    <row r="15" customFormat="false" ht="15" hidden="false" customHeight="false" outlineLevel="0" collapsed="false">
      <c r="B15" s="15" t="str">
        <f aca="false">IFERROR('Enter data'!$G$6,"")</f>
        <v>unk2</v>
      </c>
      <c r="C15" s="16" t="n">
        <f aca="false">IFERROR(COUNTIFS('Enter data'!$B$12:$B$71,'Enter data'!$G$6,'Enter data'!$E$12:$E$71,"&lt;&gt;0"),"")</f>
        <v>4</v>
      </c>
      <c r="D15" s="17" t="n">
        <f aca="false">IFERROR(AVERAGEIFS('Enter data'!$E$12:$E$71,'Enter data'!$B$12:$B$71,'Enter data'!$G$6,'Enter data'!$E$12:$E$71,"&lt;&gt;0"),"")</f>
        <v>0.720275594245731</v>
      </c>
      <c r="E15" s="17" t="n">
        <f aca="false">IFERROR(SQRT(MAX(0,(SUMPRODUCT(('Enter data'!$B$12:$B$71='Enter data'!$G$6)*('Enter data'!$E$12:$E$71&lt;&gt;0)*'Enter data'!$E$12:$E$71^2)-C15*D15^2)/(C15-1))),"")</f>
        <v>0.00870106904786422</v>
      </c>
      <c r="F15" s="17" t="n">
        <f aca="false">IFERROR(E15/SQRT(C15),"")</f>
        <v>0.00435053452393211</v>
      </c>
    </row>
    <row r="18" customFormat="false" ht="15" hidden="false" customHeight="false" outlineLevel="0" collapsed="false">
      <c r="B18" s="9" t="s">
        <v>49</v>
      </c>
    </row>
    <row r="19" customFormat="false" ht="30" hidden="false" customHeight="true" outlineLevel="0" collapsed="false">
      <c r="B19" s="10" t="s">
        <v>50</v>
      </c>
      <c r="C19" s="10" t="s">
        <v>51</v>
      </c>
      <c r="D19" s="10" t="s">
        <v>52</v>
      </c>
      <c r="E19" s="10" t="s">
        <v>53</v>
      </c>
      <c r="F19" s="10" t="s">
        <v>54</v>
      </c>
      <c r="G19" s="10" t="s">
        <v>55</v>
      </c>
      <c r="H19" s="10" t="s">
        <v>56</v>
      </c>
    </row>
    <row r="20" customFormat="false" ht="15" hidden="false" customHeight="false" outlineLevel="0" collapsed="false">
      <c r="B20" s="15" t="str">
        <f aca="false">IFERROR(B14,"")</f>
        <v>unk1</v>
      </c>
      <c r="C20" s="17" t="n">
        <f aca="false">IFERROR(ABS($D$14-$D$9),"")</f>
        <v>0.395925321404521</v>
      </c>
      <c r="D20" s="17" t="n">
        <f aca="false">IFERROR(ABS($D$14-$D$10),"")</f>
        <v>0.0131298870764591</v>
      </c>
      <c r="E20" s="17" t="n">
        <f aca="false">IFERROR(ABS($D$14-$D$11),"")</f>
        <v>0.101797053998716</v>
      </c>
      <c r="F20" s="17" t="n">
        <f aca="false">IFERROR(ABS($D$14-$D$12),"")</f>
        <v>0.135552186413675</v>
      </c>
      <c r="G20" s="17" t="n">
        <f aca="false">IFERROR(ABS($D$14-$D$13),"")</f>
        <v>0.220664216906189</v>
      </c>
      <c r="H20" s="18" t="str">
        <f aca="false">IFERROR(IF(MIN(C20:G20)&lt;=Results!$C$5,INDEX($B$9:$B$13,MATCH(MIN(C20:G20),C20:G20,0)),"no match"),"")</f>
        <v>alanine</v>
      </c>
    </row>
    <row r="21" customFormat="false" ht="15" hidden="false" customHeight="false" outlineLevel="0" collapsed="false">
      <c r="B21" s="15" t="str">
        <f aca="false">IFERROR(B15,"")</f>
        <v>unk2</v>
      </c>
      <c r="C21" s="17" t="n">
        <f aca="false">IFERROR(ABS($D$15-$D$9),"")</f>
        <v>0.0113635461953082</v>
      </c>
      <c r="D21" s="17" t="n">
        <f aca="false">IFERROR(ABS($D$15-$D$10),"")</f>
        <v>0.420418754676289</v>
      </c>
      <c r="E21" s="17" t="n">
        <f aca="false">IFERROR(ABS($D$15-$D$11),"")</f>
        <v>0.509085921598546</v>
      </c>
      <c r="F21" s="17" t="n">
        <f aca="false">IFERROR(ABS($D$15-$D$12),"")</f>
        <v>0.542841054013505</v>
      </c>
      <c r="G21" s="17" t="n">
        <f aca="false">IFERROR(ABS($D$15-$D$13),"")</f>
        <v>0.627953084506018</v>
      </c>
      <c r="H21" s="18" t="str">
        <f aca="false">IFERROR(IF(MIN(C21:G21)&lt;=Results!$C$5,INDEX($B$9:$B$13,MATCH(MIN(C21:G21),C21:G21,0)),"no match"),"")</f>
        <v>leucine</v>
      </c>
    </row>
    <row r="23" customFormat="false" ht="15" hidden="false" customHeight="false" outlineLevel="0" collapsed="false">
      <c r="B23" s="14" t="s">
        <v>57</v>
      </c>
      <c r="C23" s="19" t="n">
        <f aca="false">IFERROR(MAX($E$9:$E$13),"")</f>
        <v>0.0155178219852969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2026-10-01T00:29:48Z</dcterms:created>
  <dc:creator>Emmanuel G. Lozano</dc:creator>
  <dc:description>Compiled by Emmanuel G. Lozano, Department of Biology, College of Arts and Sciences, Pampanga State University. Original material is licensed CC BY-NC 4.0: credit required, non-commercial use only.</dc:description>
  <dc:language>en-US</dc:language>
  <cp:lastModifiedBy/>
  <dcterms:modified xsi:type="dcterms:W3CDTF">2026-10-01T00:29:48Z</dcterms:modified>
  <cp:revision>0</cp:revision>
  <dc:subject/>
  <dc:title>BCH-02 Amino acids by paper chromatography: Rf values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