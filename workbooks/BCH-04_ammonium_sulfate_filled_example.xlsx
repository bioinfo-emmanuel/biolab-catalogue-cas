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<sst xmlns="http://schemas.openxmlformats.org/spreadsheetml/2006/main" count="49" uniqueCount="46">
  <si>
    <t xml:space="preserve">BCH-04  Salting out proteins: ammonium sulfate amounts and fractions</t>
  </si>
  <si>
    <t xml:space="preserve">Excel version of the card. It does the same calculations as the R script bch04_ammonium_sulfate.R.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</si>
  <si>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</si>
  <si>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</si>
  <si>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</si>
  <si>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</si>
  <si>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</si>
  <si>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</si>
  <si>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</si>
  <si>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</si>
  <si>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Grams of solid ammonium sulfate = volume (L) x Sat x (S2 - S1) / (1 - Vs x Sat x S2 / 1000). S1 and S2 are fractions of saturation.</t>
  </si>
  <si>
    <t xml:space="preserve">Constants at 20 C (Wingfield, Current Protocols in Protein Science, appendix 3F): Sat = 536.34 g/L, Vs = 0.5414 mL/g. At 0 C use Sat 514.72 and Vs 0.5262. The equation matches the published 0 C table to within 1 percent.</t>
  </si>
  <si>
    <t xml:space="preserve">Weigh the recovered fractions as heat-coagulated protein, not as raw pellets (a pellet also holds salt and water).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</si>
  <si>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</si>
  <si>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</si>
  <si>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</si>
  <si>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</si>
  <si>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Salt additions (start with the volume of your diluted egg white)</t>
  </si>
  <si>
    <t xml:space="preserve">From saturation S1 (0 to 1)</t>
  </si>
  <si>
    <t xml:space="preserve">To saturation S2 (0 to 1)</t>
  </si>
  <si>
    <t xml:space="preserve">Volume at the start of this cut (mL)</t>
  </si>
  <si>
    <t xml:space="preserve">2. Coagulated protein recovered from each fraction (g). Type group labels in the header cells.</t>
  </si>
  <si>
    <t xml:space="preserve">Fraction</t>
  </si>
  <si>
    <t xml:space="preserve">Group 1</t>
  </si>
  <si>
    <t xml:space="preserve">Group 2</t>
  </si>
  <si>
    <t xml:space="preserve">Group 3</t>
  </si>
  <si>
    <t xml:space="preserve">Group 4</t>
  </si>
  <si>
    <t xml:space="preserve">0-33%</t>
  </si>
  <si>
    <t xml:space="preserve">33-50%</t>
  </si>
  <si>
    <t xml:space="preserve">50-100%</t>
  </si>
  <si>
    <t xml:space="preserve">Results</t>
  </si>
  <si>
    <t xml:space="preserve">Everything on this sheet is calculated. Change only the yellow settings.</t>
  </si>
  <si>
    <t xml:space="preserve">Settings</t>
  </si>
  <si>
    <t xml:space="preserve">Sat: grams that saturate 1 L (g/L)</t>
  </si>
  <si>
    <t xml:space="preserve">20 C value.</t>
  </si>
  <si>
    <t xml:space="preserve">Vs: apparent specific volume (mL/g)</t>
  </si>
  <si>
    <t xml:space="preserve">Salt to add for each cut</t>
  </si>
  <si>
    <t xml:space="preserve">Cut</t>
  </si>
  <si>
    <t xml:space="preserve">Grams to add</t>
  </si>
  <si>
    <t xml:space="preserve">Volume after dissolving (mL)</t>
  </si>
  <si>
    <t xml:space="preserve">Check against the 0 C table (0 to 50% saturation, 100 mL)</t>
  </si>
  <si>
    <t xml:space="preserve">Grams to add at 0 C (table value 29.5)</t>
  </si>
  <si>
    <t xml:space="preserve">Protein distribution across fractions</t>
  </si>
  <si>
    <t xml:space="preserve">Mean mass (g)</t>
  </si>
  <si>
    <t xml:space="preserve">SD (g)</t>
  </si>
  <si>
    <t xml:space="preserve">Share (%)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</si>
</sst>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  <c r="C5" s="10" t="s">
        <v>20</v>
      </c>
    </row>
    <row r="6" customFormat="false" ht="15" hidden="false" customHeight="false" outlineLevel="0" collapsed="false">
      <c r="A6" s="11" t="n">
        <v>0</v>
      </c>
      <c r="B6" s="11" t="n">
        <v>0.33</v>
      </c>
      <c r="C6" s="11" t="n">
        <v>250</v>
      </c>
    </row>
    <row r="7" customFormat="false" ht="15" hidden="false" customHeight="false" outlineLevel="0" collapsed="false">
      <c r="A7" s="12" t="n">
        <v>0</v>
      </c>
      <c r="B7" s="12" t="n">
        <v>0.33</v>
      </c>
      <c r="C7" s="12" t="n">
        <v>250</v>
      </c>
    </row>
    <row r="8" customFormat="false" ht="15" hidden="false" customHeight="false" outlineLevel="0" collapsed="false">
      <c r="A8" s="12" t="n">
        <v>0.33</v>
      </c>
      <c r="B8" s="12" t="n">
        <v>0.5</v>
      </c>
      <c r="C8" s="12" t="n">
        <v>276.47446</v>
      </c>
    </row>
    <row r="9" customFormat="false" ht="15" hidden="false" customHeight="false" outlineLevel="0" collapsed="false">
      <c r="A9" s="12" t="n">
        <v>0.5</v>
      </c>
      <c r="B9" s="12" t="n">
        <v>1</v>
      </c>
      <c r="C9" s="12" t="n">
        <v>292.44576</v>
      </c>
    </row>
    <row r="10" customFormat="false" ht="15" hidden="false" customHeight="false" outlineLevel="0" collapsed="false">
      <c r="A10" s="12"/>
      <c r="B10" s="12"/>
      <c r="C10" s="12"/>
    </row>
    <row r="11" customFormat="false" ht="15" hidden="false" customHeight="false" outlineLevel="0" collapsed="false">
      <c r="A11" s="12"/>
      <c r="B11" s="12"/>
      <c r="C11" s="12"/>
    </row>
    <row r="12" customFormat="false" ht="15" hidden="false" customHeight="false" outlineLevel="0" collapsed="false">
      <c r="A12" s="12"/>
      <c r="B12" s="12"/>
      <c r="C12" s="12"/>
    </row>
    <row r="15" customFormat="false" ht="15" hidden="false" customHeight="false" outlineLevel="0" collapsed="false">
      <c r="A15" s="9" t="s">
        <v>21</v>
      </c>
    </row>
    <row r="16" customFormat="false" ht="31.5" hidden="false" customHeight="true" outlineLevel="0" collapsed="false">
      <c r="A16" s="10" t="s">
        <v>22</v>
      </c>
      <c r="B16" s="13" t="s">
        <v>23</v>
      </c>
      <c r="C16" s="13" t="s">
        <v>24</v>
      </c>
      <c r="D16" s="13" t="s">
        <v>25</v>
      </c>
      <c r="E16" s="13" t="s">
        <v>26</v>
      </c>
    </row>
    <row r="17" customFormat="false" ht="15" hidden="false" customHeight="false" outlineLevel="0" collapsed="false">
      <c r="A17" s="11" t="s">
        <v>27</v>
      </c>
      <c r="B17" s="11" t="n">
        <v>0.9</v>
      </c>
      <c r="C17" s="11" t="n">
        <v>0.95</v>
      </c>
      <c r="D17" s="11" t="n">
        <v>0.85</v>
      </c>
      <c r="E17" s="11" t="n">
        <v>0.92</v>
      </c>
    </row>
    <row r="18" customFormat="false" ht="15" hidden="false" customHeight="false" outlineLevel="0" collapsed="false">
      <c r="A18" s="12" t="s">
        <v>27</v>
      </c>
      <c r="B18" s="12" t="n">
        <v>0.8</v>
      </c>
      <c r="C18" s="12" t="n">
        <v>0.83</v>
      </c>
      <c r="D18" s="12" t="n">
        <v>0.87</v>
      </c>
      <c r="E18" s="12" t="n">
        <v>1.03</v>
      </c>
    </row>
    <row r="19" customFormat="false" ht="15" hidden="false" customHeight="false" outlineLevel="0" collapsed="false">
      <c r="A19" s="12" t="s">
        <v>28</v>
      </c>
      <c r="B19" s="12" t="n">
        <v>0.45</v>
      </c>
      <c r="C19" s="12" t="n">
        <v>0.55</v>
      </c>
      <c r="D19" s="12" t="n">
        <v>0.45</v>
      </c>
      <c r="E19" s="12" t="n">
        <v>0.48</v>
      </c>
    </row>
    <row r="20" customFormat="false" ht="15" hidden="false" customHeight="false" outlineLevel="0" collapsed="false">
      <c r="A20" s="12" t="s">
        <v>29</v>
      </c>
      <c r="B20" s="12" t="n">
        <v>4.85</v>
      </c>
      <c r="C20" s="12" t="n">
        <v>4.76</v>
      </c>
      <c r="D20" s="12" t="n">
        <v>5.23</v>
      </c>
      <c r="E20" s="12" t="n">
        <v>4.48</v>
      </c>
    </row>
    <row r="21" customFormat="false" ht="15" hidden="false" customHeight="false" outlineLevel="0" collapsed="false">
      <c r="A21" s="12"/>
      <c r="B21" s="12"/>
      <c r="C21" s="12"/>
      <c r="D21" s="12"/>
      <c r="E21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C12 B18:E2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30</v>
      </c>
    </row>
    <row r="2" customFormat="false" ht="15" hidden="false" customHeight="false" outlineLevel="0" collapsed="false">
      <c r="B2" s="8" t="s">
        <v>31</v>
      </c>
    </row>
    <row r="4" customFormat="false" ht="15" hidden="false" customHeight="false" outlineLevel="0" collapsed="false">
      <c r="B4" s="9" t="s">
        <v>32</v>
      </c>
    </row>
    <row r="5" customFormat="false" ht="15" hidden="false" customHeight="false" outlineLevel="0" collapsed="false">
      <c r="B5" s="14" t="s">
        <v>33</v>
      </c>
      <c r="C5" s="12" t="n">
        <v>536.34</v>
      </c>
      <c r="D5" s="8" t="s">
        <v>34</v>
      </c>
    </row>
    <row r="6" customFormat="false" ht="15" hidden="false" customHeight="false" outlineLevel="0" collapsed="false">
      <c r="B6" s="14" t="s">
        <v>35</v>
      </c>
      <c r="C6" s="12" t="n">
        <v>0.5414</v>
      </c>
      <c r="D6" s="8" t="s">
        <v>34</v>
      </c>
    </row>
    <row r="8" customFormat="false" ht="15" hidden="false" customHeight="false" outlineLevel="0" collapsed="false">
      <c r="B8" s="9" t="s">
        <v>36</v>
      </c>
    </row>
    <row r="9" customFormat="false" ht="30" hidden="false" customHeight="true" outlineLevel="0" collapsed="false">
      <c r="B9" s="10" t="s">
        <v>37</v>
      </c>
      <c r="C9" s="10" t="s">
        <v>38</v>
      </c>
      <c r="D9" s="10" t="s">
        <v>39</v>
      </c>
    </row>
    <row r="10" customFormat="false" ht="15" hidden="false" customHeight="false" outlineLevel="0" collapsed="false">
      <c r="B10" s="15" t="str">
        <f aca="false">IFERROR("Cut 1","")</f>
        <v>Cut 1</v>
      </c>
      <c r="C10" s="16" t="n">
        <f aca="false">IFERROR(IF(AND(ISNUMBER('Enter data'!$A$7),ISNUMBER('Enter data'!$B$7),ISNUMBER('Enter data'!$C$7)),'Enter data'!$C$7/1000*Results!$C$5*('Enter data'!$B$7-'Enter data'!$A$7)/(1-Results!$C$6*Results!$C$5*'Enter data'!$B$7/1000),""),"")</f>
        <v>48.9374074332781</v>
      </c>
      <c r="D10" s="17" t="n">
        <f aca="false">IFERROR(IF(ISNUMBER(C10),'Enter data'!$C$7+C10*Results!$C$6,""),"")</f>
        <v>276.494712384377</v>
      </c>
    </row>
    <row r="11" customFormat="false" ht="15" hidden="false" customHeight="false" outlineLevel="0" collapsed="false">
      <c r="B11" s="15" t="str">
        <f aca="false">IFERROR("Cut 2","")</f>
        <v>Cut 2</v>
      </c>
      <c r="C11" s="16" t="n">
        <f aca="false">IFERROR(IF(AND(ISNUMBER('Enter data'!$A$8),ISNUMBER('Enter data'!$B$8),ISNUMBER('Enter data'!$C$8)),'Enter data'!$C$8/1000*Results!$C$5*('Enter data'!$B$8-'Enter data'!$A$8)/(1-Results!$C$6*Results!$C$5*'Enter data'!$B$8/1000),""),"")</f>
        <v>29.4898884757034</v>
      </c>
      <c r="D11" s="17" t="n">
        <f aca="false">IFERROR(IF(ISNUMBER(C11),'Enter data'!$C$8+C11*Results!$C$6,""),"")</f>
        <v>292.440285620746</v>
      </c>
    </row>
    <row r="12" customFormat="false" ht="15" hidden="false" customHeight="false" outlineLevel="0" collapsed="false">
      <c r="B12" s="15" t="str">
        <f aca="false">IFERROR("Cut 3","")</f>
        <v>Cut 3</v>
      </c>
      <c r="C12" s="16" t="n">
        <f aca="false">IFERROR(IF(AND(ISNUMBER('Enter data'!$A$9),ISNUMBER('Enter data'!$B$9),ISNUMBER('Enter data'!$C$9)),'Enter data'!$C$9/1000*Results!$C$5*('Enter data'!$B$9-'Enter data'!$A$9)/(1-Results!$C$6*Results!$C$5*'Enter data'!$B$9/1000),""),"")</f>
        <v>110.516288953552</v>
      </c>
      <c r="D12" s="17" t="n">
        <f aca="false">IFERROR(IF(ISNUMBER(C12),'Enter data'!$C$9+C12*Results!$C$6,""),"")</f>
        <v>352.279278839453</v>
      </c>
    </row>
    <row r="13" customFormat="false" ht="15" hidden="false" customHeight="false" outlineLevel="0" collapsed="false">
      <c r="B13" s="15" t="str">
        <f aca="false">IFERROR("Cut 4","")</f>
        <v>Cut 4</v>
      </c>
      <c r="C13" s="16" t="str">
        <f aca="false">IFERROR(IF(AND(ISNUMBER('Enter data'!$A$10),ISNUMBER('Enter data'!$B$10),ISNUMBER('Enter data'!$C$10)),'Enter data'!$C$10/1000*Results!$C$5*('Enter data'!$B$10-'Enter data'!$A$10)/(1-Results!$C$6*Results!$C$5*'Enter data'!$B$10/1000),""),"")</f>
        <v/>
      </c>
      <c r="D13" s="17" t="str">
        <f aca="false">IFERROR(IF(ISNUMBER(C13),'Enter data'!$C$10+C13*Results!$C$6,""),"")</f>
        <v/>
      </c>
    </row>
    <row r="14" customFormat="false" ht="15" hidden="false" customHeight="false" outlineLevel="0" collapsed="false">
      <c r="B14" s="15" t="str">
        <f aca="false">IFERROR("Cut 5","")</f>
        <v>Cut 5</v>
      </c>
      <c r="C14" s="16" t="str">
        <f aca="false">IFERROR(IF(AND(ISNUMBER('Enter data'!$A$11),ISNUMBER('Enter data'!$B$11),ISNUMBER('Enter data'!$C$11)),'Enter data'!$C$11/1000*Results!$C$5*('Enter data'!$B$11-'Enter data'!$A$11)/(1-Results!$C$6*Results!$C$5*'Enter data'!$B$11/1000),""),"")</f>
        <v/>
      </c>
      <c r="D14" s="17" t="str">
        <f aca="false">IFERROR(IF(ISNUMBER(C14),'Enter data'!$C$11+C14*Results!$C$6,""),"")</f>
        <v/>
      </c>
    </row>
    <row r="15" customFormat="false" ht="15" hidden="false" customHeight="false" outlineLevel="0" collapsed="false">
      <c r="B15" s="15" t="str">
        <f aca="false">IFERROR("Cut 6","")</f>
        <v>Cut 6</v>
      </c>
      <c r="C15" s="16" t="str">
        <f aca="false">IFERROR(IF(AND(ISNUMBER('Enter data'!$A$12),ISNUMBER('Enter data'!$B$12),ISNUMBER('Enter data'!$C$12)),'Enter data'!$C$12/1000*Results!$C$5*('Enter data'!$B$12-'Enter data'!$A$12)/(1-Results!$C$6*Results!$C$5*'Enter data'!$B$12/1000),""),"")</f>
        <v/>
      </c>
      <c r="D15" s="17" t="str">
        <f aca="false">IFERROR(IF(ISNUMBER(C15),'Enter data'!$C$12+C15*Results!$C$6,""),"")</f>
        <v/>
      </c>
    </row>
    <row r="18" customFormat="false" ht="15" hidden="false" customHeight="false" outlineLevel="0" collapsed="false">
      <c r="B18" s="9" t="s">
        <v>40</v>
      </c>
    </row>
    <row r="19" customFormat="false" ht="15" hidden="false" customHeight="false" outlineLevel="0" collapsed="false">
      <c r="B19" s="14" t="s">
        <v>41</v>
      </c>
      <c r="C19" s="18" t="n">
        <f aca="false">IFERROR(0.1*514.72*0.5/(1-0.5262*514.72*0.5/1000),"")</f>
        <v>29.7671520282386</v>
      </c>
    </row>
    <row r="21" customFormat="false" ht="15" hidden="false" customHeight="false" outlineLevel="0" collapsed="false">
      <c r="B21" s="9" t="s">
        <v>42</v>
      </c>
    </row>
    <row r="22" customFormat="false" ht="30" hidden="false" customHeight="true" outlineLevel="0" collapsed="false">
      <c r="B22" s="10" t="s">
        <v>22</v>
      </c>
      <c r="C22" s="10" t="s">
        <v>43</v>
      </c>
      <c r="D22" s="10" t="s">
        <v>44</v>
      </c>
      <c r="E22" s="10" t="s">
        <v>45</v>
      </c>
    </row>
    <row r="23" customFormat="false" ht="15" hidden="false" customHeight="false" outlineLevel="0" collapsed="false">
      <c r="B23" s="15" t="str">
        <f aca="false">IFERROR(IF('Enter data'!$A$18="","",'Enter data'!$A$18),"")</f>
        <v>0-33%</v>
      </c>
      <c r="C23" s="19" t="n">
        <f aca="false">IFERROR(IF(COUNT('Enter data'!$B$18:$E$18)=0,"",AVERAGE('Enter data'!$B$18:$E$18)),"")</f>
        <v>0.8825</v>
      </c>
      <c r="D23" s="19" t="n">
        <f aca="false">IFERROR(IF(COUNT('Enter data'!$B$18:$E$18)&lt;2,"",STDEV('Enter data'!$B$18:$E$18)),"")</f>
        <v>0.102428837085396</v>
      </c>
      <c r="E23" s="16" t="n">
        <f aca="false">IFERROR(IF(ISNUMBER(C23),100*C23/SUM($C$23:$C$26),""),"")</f>
        <v>14.2453591606134</v>
      </c>
    </row>
    <row r="24" customFormat="false" ht="15" hidden="false" customHeight="false" outlineLevel="0" collapsed="false">
      <c r="B24" s="15" t="str">
        <f aca="false">IFERROR(IF('Enter data'!$A$19="","",'Enter data'!$A$19),"")</f>
        <v>33-50%</v>
      </c>
      <c r="C24" s="19" t="n">
        <f aca="false">IFERROR(IF(COUNT('Enter data'!$B$19:$E$19)=0,"",AVERAGE('Enter data'!$B$19:$E$19)),"")</f>
        <v>0.4825</v>
      </c>
      <c r="D24" s="19" t="n">
        <f aca="false">IFERROR(IF(COUNT('Enter data'!$B$19:$E$19)&lt;2,"",STDEV('Enter data'!$B$19:$E$19)),"")</f>
        <v>0.047169905660283</v>
      </c>
      <c r="E24" s="16" t="n">
        <f aca="false">IFERROR(IF(ISNUMBER(C24),100*C24/SUM($C$23:$C$26),""),"")</f>
        <v>7.78853914447135</v>
      </c>
    </row>
    <row r="25" customFormat="false" ht="15" hidden="false" customHeight="false" outlineLevel="0" collapsed="false">
      <c r="B25" s="15" t="str">
        <f aca="false">IFERROR(IF('Enter data'!$A$20="","",'Enter data'!$A$20),"")</f>
        <v>50-100%</v>
      </c>
      <c r="C25" s="19" t="n">
        <f aca="false">IFERROR(IF(COUNT('Enter data'!$B$20:$E$20)=0,"",AVERAGE('Enter data'!$B$20:$E$20)),"")</f>
        <v>4.83</v>
      </c>
      <c r="D25" s="19" t="n">
        <f aca="false">IFERROR(IF(COUNT('Enter data'!$B$20:$E$20)&lt;2,"",STDEV('Enter data'!$B$20:$E$20)),"")</f>
        <v>0.309731066141796</v>
      </c>
      <c r="E25" s="16" t="n">
        <f aca="false">IFERROR(IF(ISNUMBER(C25),100*C25/SUM($C$23:$C$26),""),"")</f>
        <v>77.9661016949153</v>
      </c>
    </row>
    <row r="26" customFormat="false" ht="15" hidden="false" customHeight="false" outlineLevel="0" collapsed="false">
      <c r="B26" s="15" t="str">
        <f aca="false">IFERROR(IF('Enter data'!$A$21="","",'Enter data'!$A$21),"")</f>
        <v/>
      </c>
      <c r="C26" s="19" t="str">
        <f aca="false">IFERROR(IF(COUNT('Enter data'!$B$21:$E$21)=0,"",AVERAGE('Enter data'!$B$21:$E$21)),"")</f>
        <v/>
      </c>
      <c r="D26" s="19" t="str">
        <f aca="false">IFERROR(IF(COUNT('Enter data'!$B$21:$E$21)&lt;2,"",STDEV('Enter data'!$B$21:$E$21)),"")</f>
        <v/>
      </c>
      <c r="E26" s="16" t="str">
        <f aca="false">IFERROR(IF(ISNUMBER(C26),100*C26/SUM($C$23:$C$26),""),"")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2026-10-01T00:29:47Z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2026-10-01T00:29:47Z</dcterms:modified>
  <cp:revision>0</cp:revision>
  <dc:subject/>
  <dc:title>BCH-04 Salting out proteins: ammonium sulfate amounts and fractions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