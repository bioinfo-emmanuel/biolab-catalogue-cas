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<sst xmlns="http://schemas.openxmlformats.org/spreadsheetml/2006/main" count="49" uniqueCount="49">
  <si>
    <t xml:space="preserve">EM-06  Trend and exceedances in a monitoring series</t>
  </si>
  <si>
    <t xml:space="preserve">Excel version of the card. It does the same calculations as the R script em06_trend_exceedance.R.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</si>
  <si>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</si>
  <si>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</si>
  <si>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</si>
  <si>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</si>
  <si>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</si>
  <si>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</si>
  <si>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</si>
  <si>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</si>
  <si>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Enter the date (or day number) and the value in time order. The threshold is a setting: use a guideline for the SAME pollutant, averaging time and units, and cite it.</t>
  </si>
  <si>
    <t xml:space="preserve">The trend is an ordinary least squares slope per day. Daily values are autocorrelated, so the p value is too optimistic; check the lag-1 autocorrelation of the residuals.</t>
  </si>
  <si>
    <t xml:space="preserve">Differences from the R script on the card</t>
  </si>
  <si>
    <t xml:space="preserve">The R script uses Kendall's tau and the Theil-Sen slope, which are robust to outliers. Excel has no built-in versions, so this workbook uses least squares.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</si>
  <si>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</si>
  <si>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</si>
  <si>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</si>
  <si>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</si>
  <si>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Series (in time order; dates or day numbers)</t>
  </si>
  <si>
    <t xml:space="preserve">Date or day number</t>
  </si>
  <si>
    <t xml:space="preserve">Value</t>
  </si>
  <si>
    <t xml:space="preserve">Above threshold (1 or 0)</t>
  </si>
  <si>
    <t xml:space="preserve">Run of consecutive exceedances</t>
  </si>
  <si>
    <t xml:space="preserve">Residual from the trend line</t>
  </si>
  <si>
    <t xml:space="preserve">Results</t>
  </si>
  <si>
    <t xml:space="preserve">Everything on this sheet is calculated. Change only the yellow settings.</t>
  </si>
  <si>
    <t xml:space="preserve">Settings</t>
  </si>
  <si>
    <t xml:space="preserve">Threshold (same units as the data)</t>
  </si>
  <si>
    <t xml:space="preserve">Summary</t>
  </si>
  <si>
    <t xml:space="preserve">Records</t>
  </si>
  <si>
    <t xml:space="preserve">Mean</t>
  </si>
  <si>
    <t xml:space="preserve">Median</t>
  </si>
  <si>
    <t xml:space="preserve">Trend (least squares, value against date)</t>
  </si>
  <si>
    <t xml:space="preserve">Points used</t>
  </si>
  <si>
    <t xml:space="preserve">Slope (units per day)</t>
  </si>
  <si>
    <t xml:space="preserve">Intercept (units per day)</t>
  </si>
  <si>
    <t xml:space="preserve">R squared</t>
  </si>
  <si>
    <t xml:space="preserve">Residual standard deviation</t>
  </si>
  <si>
    <t xml:space="preserve">Standard error of the slope</t>
  </si>
  <si>
    <t xml:space="preserve">95% interval for the slope, lower</t>
  </si>
  <si>
    <t xml:space="preserve">95% interval for the slope, upper</t>
  </si>
  <si>
    <t xml:space="preserve">p value of the slope (two-sided)</t>
  </si>
  <si>
    <t xml:space="preserve">Exceedances</t>
  </si>
  <si>
    <t xml:space="preserve">Days above the threshold</t>
  </si>
  <si>
    <t xml:space="preserve">Share of days above (%)</t>
  </si>
  <si>
    <t xml:space="preserve">Longest run of consecutive days above</t>
  </si>
  <si>
    <t xml:space="preserve">Autocorrelation of the residuals</t>
  </si>
  <si>
    <t xml:space="preserve">Lag-1 autocorrelation</t>
  </si>
  <si>
    <t xml:space="preserve">A value well above 0 means the trend p value is too optimistic.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</si>
</sst>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0"/>
    <numFmt numFmtId="167" formatCode="0.0"/>
    <numFmt numFmtId="168" formatCode="0.00000"/>
    <numFmt numFmtId="169" formatCode="0.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Series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f4e78"/>
            </a:solidFill>
            <a:ln w="47520">
              <a:noFill/>
            </a:ln>
          </c:spPr>
          <c:marker>
            <c:symbol val="circle"/>
            <c:size val="8"/>
            <c:spPr>
              <a:solidFill>
                <a:srgbClr val="1f4e7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'Enter data'!$A$7:$A$406</c:f>
              <c:numCache>
                <c:formatCode>General</c:formatCode>
                <c:ptCount val="400"/>
              </c:numCache>
            </c:numRef>
          </c:xVal>
          <c:yVal>
            <c:numRef>
              <c:f>'Enter data'!$B$7:$B$406</c:f>
              <c:numCache>
                <c:formatCode>General</c:formatCode>
                <c:ptCount val="400"/>
              </c:numCache>
            </c:numRef>
          </c:yVal>
          <c:smooth val="1"/>
        </c:ser>
        <c:axId val="79022811"/>
        <c:axId val="2849145"/>
      </c:scatterChart>
      <c:valAx>
        <c:axId val="7902281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 or day number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49145"/>
        <c:crosses val="autoZero"/>
        <c:crossBetween val="midCat"/>
      </c:valAx>
      <c:valAx>
        <c:axId val="28491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02281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29</xdr:row>
      <xdr:rowOff>160560</xdr:rowOff>
    </xdr:from>
    <xdr:to>
      <xdr:col>3</xdr:col>
      <xdr:colOff>536040</xdr:colOff>
      <xdr:row>45</xdr:row>
      <xdr:rowOff>172440</xdr:rowOff>
    </xdr:to>
    <xdr:graphicFrame>
      <xdr:nvGraphicFramePr>
        <xdr:cNvPr id="0" name="Chart 1"/>
        <xdr:cNvGraphicFramePr/>
      </xdr:nvGraphicFramePr>
      <xdr:xfrm>
        <a:off x="211320" y="57150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23.8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0" t="s">
        <v>20</v>
      </c>
      <c r="C5" s="10" t="s">
        <v>21</v>
      </c>
      <c r="D5" s="10" t="s">
        <v>22</v>
      </c>
      <c r="E5" s="10" t="s">
        <v>23</v>
      </c>
    </row>
    <row r="6" customFormat="false" ht="15" hidden="false" customHeight="false" outlineLevel="0" collapsed="false">
      <c r="A6" s="11" t="n">
        <v>1</v>
      </c>
      <c r="B6" s="11" t="n">
        <v>41</v>
      </c>
    </row>
    <row r="7" customFormat="false" ht="15" hidden="false" customHeight="false" outlineLevel="0" collapsed="false">
      <c r="A7" s="12"/>
      <c r="B7" s="12"/>
      <c r="C7" s="13" t="str">
        <f aca="false">IF(ISNUMBER(B7),IF(B7&gt;Results!$C$5,1,0),"")</f>
        <v/>
      </c>
      <c r="D7" s="13" t="str">
        <f aca="false">IF(ISNUMBER(C7),IF(C7=1,N(D6)+1,0),"")</f>
        <v/>
      </c>
      <c r="E7" s="14" t="str">
        <f aca="false">IF(ISNUMBER(B7),B7-(Results!$C$15+Results!$C$14*A7),"")</f>
        <v/>
      </c>
    </row>
    <row r="8" customFormat="false" ht="15" hidden="false" customHeight="false" outlineLevel="0" collapsed="false">
      <c r="A8" s="12"/>
      <c r="B8" s="12"/>
      <c r="C8" s="13" t="str">
        <f aca="false">IF(ISNUMBER(B8),IF(B8&gt;Results!$C$5,1,0),"")</f>
        <v/>
      </c>
      <c r="D8" s="13" t="str">
        <f aca="false">IF(ISNUMBER(C8),IF(C8=1,N(D7)+1,0),"")</f>
        <v/>
      </c>
      <c r="E8" s="14" t="str">
        <f aca="false">IF(ISNUMBER(B8),B8-(Results!$C$15+Results!$C$14*A8),"")</f>
        <v/>
      </c>
    </row>
    <row r="9" customFormat="false" ht="15" hidden="false" customHeight="false" outlineLevel="0" collapsed="false">
      <c r="A9" s="12"/>
      <c r="B9" s="12"/>
      <c r="C9" s="13" t="str">
        <f aca="false">IF(ISNUMBER(B9),IF(B9&gt;Results!$C$5,1,0),"")</f>
        <v/>
      </c>
      <c r="D9" s="13" t="str">
        <f aca="false">IF(ISNUMBER(C9),IF(C9=1,N(D8)+1,0),"")</f>
        <v/>
      </c>
      <c r="E9" s="14" t="str">
        <f aca="false">IF(ISNUMBER(B9),B9-(Results!$C$15+Results!$C$14*A9),"")</f>
        <v/>
      </c>
    </row>
    <row r="10" customFormat="false" ht="15" hidden="false" customHeight="false" outlineLevel="0" collapsed="false">
      <c r="A10" s="12"/>
      <c r="B10" s="12"/>
      <c r="C10" s="13" t="str">
        <f aca="false">IF(ISNUMBER(B10),IF(B10&gt;Results!$C$5,1,0),"")</f>
        <v/>
      </c>
      <c r="D10" s="13" t="str">
        <f aca="false">IF(ISNUMBER(C10),IF(C10=1,N(D9)+1,0),"")</f>
        <v/>
      </c>
      <c r="E10" s="14" t="str">
        <f aca="false">IF(ISNUMBER(B10),B10-(Results!$C$15+Results!$C$14*A10),"")</f>
        <v/>
      </c>
    </row>
    <row r="11" customFormat="false" ht="15" hidden="false" customHeight="false" outlineLevel="0" collapsed="false">
      <c r="A11" s="12"/>
      <c r="B11" s="12"/>
      <c r="C11" s="13" t="str">
        <f aca="false">IF(ISNUMBER(B11),IF(B11&gt;Results!$C$5,1,0),"")</f>
        <v/>
      </c>
      <c r="D11" s="13" t="str">
        <f aca="false">IF(ISNUMBER(C11),IF(C11=1,N(D10)+1,0),"")</f>
        <v/>
      </c>
      <c r="E11" s="14" t="str">
        <f aca="false">IF(ISNUMBER(B11),B11-(Results!$C$15+Results!$C$14*A11),"")</f>
        <v/>
      </c>
    </row>
    <row r="12" customFormat="false" ht="15" hidden="false" customHeight="false" outlineLevel="0" collapsed="false">
      <c r="A12" s="12"/>
      <c r="B12" s="12"/>
      <c r="C12" s="13" t="str">
        <f aca="false">IF(ISNUMBER(B12),IF(B12&gt;Results!$C$5,1,0),"")</f>
        <v/>
      </c>
      <c r="D12" s="13" t="str">
        <f aca="false">IF(ISNUMBER(C12),IF(C12=1,N(D11)+1,0),"")</f>
        <v/>
      </c>
      <c r="E12" s="14" t="str">
        <f aca="false">IF(ISNUMBER(B12),B12-(Results!$C$15+Results!$C$14*A12),"")</f>
        <v/>
      </c>
    </row>
    <row r="13" customFormat="false" ht="15" hidden="false" customHeight="false" outlineLevel="0" collapsed="false">
      <c r="A13" s="12"/>
      <c r="B13" s="12"/>
      <c r="C13" s="13" t="str">
        <f aca="false">IF(ISNUMBER(B13),IF(B13&gt;Results!$C$5,1,0),"")</f>
        <v/>
      </c>
      <c r="D13" s="13" t="str">
        <f aca="false">IF(ISNUMBER(C13),IF(C13=1,N(D12)+1,0),"")</f>
        <v/>
      </c>
      <c r="E13" s="14" t="str">
        <f aca="false">IF(ISNUMBER(B13),B13-(Results!$C$15+Results!$C$14*A13),"")</f>
        <v/>
      </c>
    </row>
    <row r="14" customFormat="false" ht="15" hidden="false" customHeight="false" outlineLevel="0" collapsed="false">
      <c r="A14" s="12"/>
      <c r="B14" s="12"/>
      <c r="C14" s="13" t="str">
        <f aca="false">IF(ISNUMBER(B14),IF(B14&gt;Results!$C$5,1,0),"")</f>
        <v/>
      </c>
      <c r="D14" s="13" t="str">
        <f aca="false">IF(ISNUMBER(C14),IF(C14=1,N(D13)+1,0),"")</f>
        <v/>
      </c>
      <c r="E14" s="14" t="str">
        <f aca="false">IF(ISNUMBER(B14),B14-(Results!$C$15+Results!$C$14*A14),"")</f>
        <v/>
      </c>
    </row>
    <row r="15" customFormat="false" ht="15" hidden="false" customHeight="false" outlineLevel="0" collapsed="false">
      <c r="A15" s="12"/>
      <c r="B15" s="12"/>
      <c r="C15" s="13" t="str">
        <f aca="false">IF(ISNUMBER(B15),IF(B15&gt;Results!$C$5,1,0),"")</f>
        <v/>
      </c>
      <c r="D15" s="13" t="str">
        <f aca="false">IF(ISNUMBER(C15),IF(C15=1,N(D14)+1,0),"")</f>
        <v/>
      </c>
      <c r="E15" s="14" t="str">
        <f aca="false">IF(ISNUMBER(B15),B15-(Results!$C$15+Results!$C$14*A15),"")</f>
        <v/>
      </c>
    </row>
    <row r="16" customFormat="false" ht="15" hidden="false" customHeight="false" outlineLevel="0" collapsed="false">
      <c r="A16" s="12"/>
      <c r="B16" s="12"/>
      <c r="C16" s="13" t="str">
        <f aca="false">IF(ISNUMBER(B16),IF(B16&gt;Results!$C$5,1,0),"")</f>
        <v/>
      </c>
      <c r="D16" s="13" t="str">
        <f aca="false">IF(ISNUMBER(C16),IF(C16=1,N(D15)+1,0),"")</f>
        <v/>
      </c>
      <c r="E16" s="14" t="str">
        <f aca="false">IF(ISNUMBER(B16),B16-(Results!$C$15+Results!$C$14*A16),"")</f>
        <v/>
      </c>
    </row>
    <row r="17" customFormat="false" ht="15" hidden="false" customHeight="false" outlineLevel="0" collapsed="false">
      <c r="A17" s="12"/>
      <c r="B17" s="12"/>
      <c r="C17" s="13" t="str">
        <f aca="false">IF(ISNUMBER(B17),IF(B17&gt;Results!$C$5,1,0),"")</f>
        <v/>
      </c>
      <c r="D17" s="13" t="str">
        <f aca="false">IF(ISNUMBER(C17),IF(C17=1,N(D16)+1,0),"")</f>
        <v/>
      </c>
      <c r="E17" s="14" t="str">
        <f aca="false">IF(ISNUMBER(B17),B17-(Results!$C$15+Results!$C$14*A17),"")</f>
        <v/>
      </c>
    </row>
    <row r="18" customFormat="false" ht="15" hidden="false" customHeight="false" outlineLevel="0" collapsed="false">
      <c r="A18" s="12"/>
      <c r="B18" s="12"/>
      <c r="C18" s="13" t="str">
        <f aca="false">IF(ISNUMBER(B18),IF(B18&gt;Results!$C$5,1,0),"")</f>
        <v/>
      </c>
      <c r="D18" s="13" t="str">
        <f aca="false">IF(ISNUMBER(C18),IF(C18=1,N(D17)+1,0),"")</f>
        <v/>
      </c>
      <c r="E18" s="14" t="str">
        <f aca="false">IF(ISNUMBER(B18),B18-(Results!$C$15+Results!$C$14*A18),"")</f>
        <v/>
      </c>
    </row>
    <row r="19" customFormat="false" ht="15" hidden="false" customHeight="false" outlineLevel="0" collapsed="false">
      <c r="A19" s="12"/>
      <c r="B19" s="12"/>
      <c r="C19" s="13" t="str">
        <f aca="false">IF(ISNUMBER(B19),IF(B19&gt;Results!$C$5,1,0),"")</f>
        <v/>
      </c>
      <c r="D19" s="13" t="str">
        <f aca="false">IF(ISNUMBER(C19),IF(C19=1,N(D18)+1,0),"")</f>
        <v/>
      </c>
      <c r="E19" s="14" t="str">
        <f aca="false">IF(ISNUMBER(B19),B19-(Results!$C$15+Results!$C$14*A19),"")</f>
        <v/>
      </c>
    </row>
    <row r="20" customFormat="false" ht="15" hidden="false" customHeight="false" outlineLevel="0" collapsed="false">
      <c r="A20" s="12"/>
      <c r="B20" s="12"/>
      <c r="C20" s="13" t="str">
        <f aca="false">IF(ISNUMBER(B20),IF(B20&gt;Results!$C$5,1,0),"")</f>
        <v/>
      </c>
      <c r="D20" s="13" t="str">
        <f aca="false">IF(ISNUMBER(C20),IF(C20=1,N(D19)+1,0),"")</f>
        <v/>
      </c>
      <c r="E20" s="14" t="str">
        <f aca="false">IF(ISNUMBER(B20),B20-(Results!$C$15+Results!$C$14*A20),"")</f>
        <v/>
      </c>
    </row>
    <row r="21" customFormat="false" ht="15" hidden="false" customHeight="false" outlineLevel="0" collapsed="false">
      <c r="A21" s="12"/>
      <c r="B21" s="12"/>
      <c r="C21" s="13" t="str">
        <f aca="false">IF(ISNUMBER(B21),IF(B21&gt;Results!$C$5,1,0),"")</f>
        <v/>
      </c>
      <c r="D21" s="13" t="str">
        <f aca="false">IF(ISNUMBER(C21),IF(C21=1,N(D20)+1,0),"")</f>
        <v/>
      </c>
      <c r="E21" s="14" t="str">
        <f aca="false">IF(ISNUMBER(B21),B21-(Results!$C$15+Results!$C$14*A21),"")</f>
        <v/>
      </c>
    </row>
    <row r="22" customFormat="false" ht="15" hidden="false" customHeight="false" outlineLevel="0" collapsed="false">
      <c r="A22" s="12"/>
      <c r="B22" s="12"/>
      <c r="C22" s="13" t="str">
        <f aca="false">IF(ISNUMBER(B22),IF(B22&gt;Results!$C$5,1,0),"")</f>
        <v/>
      </c>
      <c r="D22" s="13" t="str">
        <f aca="false">IF(ISNUMBER(C22),IF(C22=1,N(D21)+1,0),"")</f>
        <v/>
      </c>
      <c r="E22" s="14" t="str">
        <f aca="false">IF(ISNUMBER(B22),B22-(Results!$C$15+Results!$C$14*A22),"")</f>
        <v/>
      </c>
    </row>
    <row r="23" customFormat="false" ht="15" hidden="false" customHeight="false" outlineLevel="0" collapsed="false">
      <c r="A23" s="12"/>
      <c r="B23" s="12"/>
      <c r="C23" s="13" t="str">
        <f aca="false">IF(ISNUMBER(B23),IF(B23&gt;Results!$C$5,1,0),"")</f>
        <v/>
      </c>
      <c r="D23" s="13" t="str">
        <f aca="false">IF(ISNUMBER(C23),IF(C23=1,N(D22)+1,0),"")</f>
        <v/>
      </c>
      <c r="E23" s="14" t="str">
        <f aca="false">IF(ISNUMBER(B23),B23-(Results!$C$15+Results!$C$14*A23),"")</f>
        <v/>
      </c>
    </row>
    <row r="24" customFormat="false" ht="15" hidden="false" customHeight="false" outlineLevel="0" collapsed="false">
      <c r="A24" s="12"/>
      <c r="B24" s="12"/>
      <c r="C24" s="13" t="str">
        <f aca="false">IF(ISNUMBER(B24),IF(B24&gt;Results!$C$5,1,0),"")</f>
        <v/>
      </c>
      <c r="D24" s="13" t="str">
        <f aca="false">IF(ISNUMBER(C24),IF(C24=1,N(D23)+1,0),"")</f>
        <v/>
      </c>
      <c r="E24" s="14" t="str">
        <f aca="false">IF(ISNUMBER(B24),B24-(Results!$C$15+Results!$C$14*A24),"")</f>
        <v/>
      </c>
    </row>
    <row r="25" customFormat="false" ht="15" hidden="false" customHeight="false" outlineLevel="0" collapsed="false">
      <c r="A25" s="12"/>
      <c r="B25" s="12"/>
      <c r="C25" s="13" t="str">
        <f aca="false">IF(ISNUMBER(B25),IF(B25&gt;Results!$C$5,1,0),"")</f>
        <v/>
      </c>
      <c r="D25" s="13" t="str">
        <f aca="false">IF(ISNUMBER(C25),IF(C25=1,N(D24)+1,0),"")</f>
        <v/>
      </c>
      <c r="E25" s="14" t="str">
        <f aca="false">IF(ISNUMBER(B25),B25-(Results!$C$15+Results!$C$14*A25),"")</f>
        <v/>
      </c>
    </row>
    <row r="26" customFormat="false" ht="15" hidden="false" customHeight="false" outlineLevel="0" collapsed="false">
      <c r="A26" s="12"/>
      <c r="B26" s="12"/>
      <c r="C26" s="13" t="str">
        <f aca="false">IF(ISNUMBER(B26),IF(B26&gt;Results!$C$5,1,0),"")</f>
        <v/>
      </c>
      <c r="D26" s="13" t="str">
        <f aca="false">IF(ISNUMBER(C26),IF(C26=1,N(D25)+1,0),"")</f>
        <v/>
      </c>
      <c r="E26" s="14" t="str">
        <f aca="false">IF(ISNUMBER(B26),B26-(Results!$C$15+Results!$C$14*A26),"")</f>
        <v/>
      </c>
    </row>
    <row r="27" customFormat="false" ht="15" hidden="false" customHeight="false" outlineLevel="0" collapsed="false">
      <c r="A27" s="12"/>
      <c r="B27" s="12"/>
      <c r="C27" s="13" t="str">
        <f aca="false">IF(ISNUMBER(B27),IF(B27&gt;Results!$C$5,1,0),"")</f>
        <v/>
      </c>
      <c r="D27" s="13" t="str">
        <f aca="false">IF(ISNUMBER(C27),IF(C27=1,N(D26)+1,0),"")</f>
        <v/>
      </c>
      <c r="E27" s="14" t="str">
        <f aca="false">IF(ISNUMBER(B27),B27-(Results!$C$15+Results!$C$14*A27),"")</f>
        <v/>
      </c>
    </row>
    <row r="28" customFormat="false" ht="15" hidden="false" customHeight="false" outlineLevel="0" collapsed="false">
      <c r="A28" s="12"/>
      <c r="B28" s="12"/>
      <c r="C28" s="13" t="str">
        <f aca="false">IF(ISNUMBER(B28),IF(B28&gt;Results!$C$5,1,0),"")</f>
        <v/>
      </c>
      <c r="D28" s="13" t="str">
        <f aca="false">IF(ISNUMBER(C28),IF(C28=1,N(D27)+1,0),"")</f>
        <v/>
      </c>
      <c r="E28" s="14" t="str">
        <f aca="false">IF(ISNUMBER(B28),B28-(Results!$C$15+Results!$C$14*A28),"")</f>
        <v/>
      </c>
    </row>
    <row r="29" customFormat="false" ht="15" hidden="false" customHeight="false" outlineLevel="0" collapsed="false">
      <c r="A29" s="12"/>
      <c r="B29" s="12"/>
      <c r="C29" s="13" t="str">
        <f aca="false">IF(ISNUMBER(B29),IF(B29&gt;Results!$C$5,1,0),"")</f>
        <v/>
      </c>
      <c r="D29" s="13" t="str">
        <f aca="false">IF(ISNUMBER(C29),IF(C29=1,N(D28)+1,0),"")</f>
        <v/>
      </c>
      <c r="E29" s="14" t="str">
        <f aca="false">IF(ISNUMBER(B29),B29-(Results!$C$15+Results!$C$14*A29),"")</f>
        <v/>
      </c>
    </row>
    <row r="30" customFormat="false" ht="15" hidden="false" customHeight="false" outlineLevel="0" collapsed="false">
      <c r="A30" s="12"/>
      <c r="B30" s="12"/>
      <c r="C30" s="13" t="str">
        <f aca="false">IF(ISNUMBER(B30),IF(B30&gt;Results!$C$5,1,0),"")</f>
        <v/>
      </c>
      <c r="D30" s="13" t="str">
        <f aca="false">IF(ISNUMBER(C30),IF(C30=1,N(D29)+1,0),"")</f>
        <v/>
      </c>
      <c r="E30" s="14" t="str">
        <f aca="false">IF(ISNUMBER(B30),B30-(Results!$C$15+Results!$C$14*A30),"")</f>
        <v/>
      </c>
    </row>
    <row r="31" customFormat="false" ht="15" hidden="false" customHeight="false" outlineLevel="0" collapsed="false">
      <c r="A31" s="12"/>
      <c r="B31" s="12"/>
      <c r="C31" s="13" t="str">
        <f aca="false">IF(ISNUMBER(B31),IF(B31&gt;Results!$C$5,1,0),"")</f>
        <v/>
      </c>
      <c r="D31" s="13" t="str">
        <f aca="false">IF(ISNUMBER(C31),IF(C31=1,N(D30)+1,0),"")</f>
        <v/>
      </c>
      <c r="E31" s="14" t="str">
        <f aca="false">IF(ISNUMBER(B31),B31-(Results!$C$15+Results!$C$14*A31),"")</f>
        <v/>
      </c>
    </row>
    <row r="32" customFormat="false" ht="15" hidden="false" customHeight="false" outlineLevel="0" collapsed="false">
      <c r="A32" s="12"/>
      <c r="B32" s="12"/>
      <c r="C32" s="13" t="str">
        <f aca="false">IF(ISNUMBER(B32),IF(B32&gt;Results!$C$5,1,0),"")</f>
        <v/>
      </c>
      <c r="D32" s="13" t="str">
        <f aca="false">IF(ISNUMBER(C32),IF(C32=1,N(D31)+1,0),"")</f>
        <v/>
      </c>
      <c r="E32" s="14" t="str">
        <f aca="false">IF(ISNUMBER(B32),B32-(Results!$C$15+Results!$C$14*A32),"")</f>
        <v/>
      </c>
    </row>
    <row r="33" customFormat="false" ht="15" hidden="false" customHeight="false" outlineLevel="0" collapsed="false">
      <c r="A33" s="12"/>
      <c r="B33" s="12"/>
      <c r="C33" s="13" t="str">
        <f aca="false">IF(ISNUMBER(B33),IF(B33&gt;Results!$C$5,1,0),"")</f>
        <v/>
      </c>
      <c r="D33" s="13" t="str">
        <f aca="false">IF(ISNUMBER(C33),IF(C33=1,N(D32)+1,0),"")</f>
        <v/>
      </c>
      <c r="E33" s="14" t="str">
        <f aca="false">IF(ISNUMBER(B33),B33-(Results!$C$15+Results!$C$14*A33),"")</f>
        <v/>
      </c>
    </row>
    <row r="34" customFormat="false" ht="15" hidden="false" customHeight="false" outlineLevel="0" collapsed="false">
      <c r="A34" s="12"/>
      <c r="B34" s="12"/>
      <c r="C34" s="13" t="str">
        <f aca="false">IF(ISNUMBER(B34),IF(B34&gt;Results!$C$5,1,0),"")</f>
        <v/>
      </c>
      <c r="D34" s="13" t="str">
        <f aca="false">IF(ISNUMBER(C34),IF(C34=1,N(D33)+1,0),"")</f>
        <v/>
      </c>
      <c r="E34" s="14" t="str">
        <f aca="false">IF(ISNUMBER(B34),B34-(Results!$C$15+Results!$C$14*A34),"")</f>
        <v/>
      </c>
    </row>
    <row r="35" customFormat="false" ht="15" hidden="false" customHeight="false" outlineLevel="0" collapsed="false">
      <c r="A35" s="12"/>
      <c r="B35" s="12"/>
      <c r="C35" s="13" t="str">
        <f aca="false">IF(ISNUMBER(B35),IF(B35&gt;Results!$C$5,1,0),"")</f>
        <v/>
      </c>
      <c r="D35" s="13" t="str">
        <f aca="false">IF(ISNUMBER(C35),IF(C35=1,N(D34)+1,0),"")</f>
        <v/>
      </c>
      <c r="E35" s="14" t="str">
        <f aca="false">IF(ISNUMBER(B35),B35-(Results!$C$15+Results!$C$14*A35),"")</f>
        <v/>
      </c>
    </row>
    <row r="36" customFormat="false" ht="15" hidden="false" customHeight="false" outlineLevel="0" collapsed="false">
      <c r="A36" s="12"/>
      <c r="B36" s="12"/>
      <c r="C36" s="13" t="str">
        <f aca="false">IF(ISNUMBER(B36),IF(B36&gt;Results!$C$5,1,0),"")</f>
        <v/>
      </c>
      <c r="D36" s="13" t="str">
        <f aca="false">IF(ISNUMBER(C36),IF(C36=1,N(D35)+1,0),"")</f>
        <v/>
      </c>
      <c r="E36" s="14" t="str">
        <f aca="false">IF(ISNUMBER(B36),B36-(Results!$C$15+Results!$C$14*A36),"")</f>
        <v/>
      </c>
    </row>
    <row r="37" customFormat="false" ht="15" hidden="false" customHeight="false" outlineLevel="0" collapsed="false">
      <c r="A37" s="12"/>
      <c r="B37" s="12"/>
      <c r="C37" s="13" t="str">
        <f aca="false">IF(ISNUMBER(B37),IF(B37&gt;Results!$C$5,1,0),"")</f>
        <v/>
      </c>
      <c r="D37" s="13" t="str">
        <f aca="false">IF(ISNUMBER(C37),IF(C37=1,N(D36)+1,0),"")</f>
        <v/>
      </c>
      <c r="E37" s="14" t="str">
        <f aca="false">IF(ISNUMBER(B37),B37-(Results!$C$15+Results!$C$14*A37),"")</f>
        <v/>
      </c>
    </row>
    <row r="38" customFormat="false" ht="15" hidden="false" customHeight="false" outlineLevel="0" collapsed="false">
      <c r="A38" s="12"/>
      <c r="B38" s="12"/>
      <c r="C38" s="13" t="str">
        <f aca="false">IF(ISNUMBER(B38),IF(B38&gt;Results!$C$5,1,0),"")</f>
        <v/>
      </c>
      <c r="D38" s="13" t="str">
        <f aca="false">IF(ISNUMBER(C38),IF(C38=1,N(D37)+1,0),"")</f>
        <v/>
      </c>
      <c r="E38" s="14" t="str">
        <f aca="false">IF(ISNUMBER(B38),B38-(Results!$C$15+Results!$C$14*A38),"")</f>
        <v/>
      </c>
    </row>
    <row r="39" customFormat="false" ht="15" hidden="false" customHeight="false" outlineLevel="0" collapsed="false">
      <c r="A39" s="12"/>
      <c r="B39" s="12"/>
      <c r="C39" s="13" t="str">
        <f aca="false">IF(ISNUMBER(B39),IF(B39&gt;Results!$C$5,1,0),"")</f>
        <v/>
      </c>
      <c r="D39" s="13" t="str">
        <f aca="false">IF(ISNUMBER(C39),IF(C39=1,N(D38)+1,0),"")</f>
        <v/>
      </c>
      <c r="E39" s="14" t="str">
        <f aca="false">IF(ISNUMBER(B39),B39-(Results!$C$15+Results!$C$14*A39),"")</f>
        <v/>
      </c>
    </row>
    <row r="40" customFormat="false" ht="15" hidden="false" customHeight="false" outlineLevel="0" collapsed="false">
      <c r="A40" s="12"/>
      <c r="B40" s="12"/>
      <c r="C40" s="13" t="str">
        <f aca="false">IF(ISNUMBER(B40),IF(B40&gt;Results!$C$5,1,0),"")</f>
        <v/>
      </c>
      <c r="D40" s="13" t="str">
        <f aca="false">IF(ISNUMBER(C40),IF(C40=1,N(D39)+1,0),"")</f>
        <v/>
      </c>
      <c r="E40" s="14" t="str">
        <f aca="false">IF(ISNUMBER(B40),B40-(Results!$C$15+Results!$C$14*A40),"")</f>
        <v/>
      </c>
    </row>
    <row r="41" customFormat="false" ht="15" hidden="false" customHeight="false" outlineLevel="0" collapsed="false">
      <c r="A41" s="12"/>
      <c r="B41" s="12"/>
      <c r="C41" s="13" t="str">
        <f aca="false">IF(ISNUMBER(B41),IF(B41&gt;Results!$C$5,1,0),"")</f>
        <v/>
      </c>
      <c r="D41" s="13" t="str">
        <f aca="false">IF(ISNUMBER(C41),IF(C41=1,N(D40)+1,0),"")</f>
        <v/>
      </c>
      <c r="E41" s="14" t="str">
        <f aca="false">IF(ISNUMBER(B41),B41-(Results!$C$15+Results!$C$14*A41),"")</f>
        <v/>
      </c>
    </row>
    <row r="42" customFormat="false" ht="15" hidden="false" customHeight="false" outlineLevel="0" collapsed="false">
      <c r="A42" s="12"/>
      <c r="B42" s="12"/>
      <c r="C42" s="13" t="str">
        <f aca="false">IF(ISNUMBER(B42),IF(B42&gt;Results!$C$5,1,0),"")</f>
        <v/>
      </c>
      <c r="D42" s="13" t="str">
        <f aca="false">IF(ISNUMBER(C42),IF(C42=1,N(D41)+1,0),"")</f>
        <v/>
      </c>
      <c r="E42" s="14" t="str">
        <f aca="false">IF(ISNUMBER(B42),B42-(Results!$C$15+Results!$C$14*A42),"")</f>
        <v/>
      </c>
    </row>
    <row r="43" customFormat="false" ht="15" hidden="false" customHeight="false" outlineLevel="0" collapsed="false">
      <c r="A43" s="12"/>
      <c r="B43" s="12"/>
      <c r="C43" s="13" t="str">
        <f aca="false">IF(ISNUMBER(B43),IF(B43&gt;Results!$C$5,1,0),"")</f>
        <v/>
      </c>
      <c r="D43" s="13" t="str">
        <f aca="false">IF(ISNUMBER(C43),IF(C43=1,N(D42)+1,0),"")</f>
        <v/>
      </c>
      <c r="E43" s="14" t="str">
        <f aca="false">IF(ISNUMBER(B43),B43-(Results!$C$15+Results!$C$14*A43),"")</f>
        <v/>
      </c>
    </row>
    <row r="44" customFormat="false" ht="15" hidden="false" customHeight="false" outlineLevel="0" collapsed="false">
      <c r="A44" s="12"/>
      <c r="B44" s="12"/>
      <c r="C44" s="13" t="str">
        <f aca="false">IF(ISNUMBER(B44),IF(B44&gt;Results!$C$5,1,0),"")</f>
        <v/>
      </c>
      <c r="D44" s="13" t="str">
        <f aca="false">IF(ISNUMBER(C44),IF(C44=1,N(D43)+1,0),"")</f>
        <v/>
      </c>
      <c r="E44" s="14" t="str">
        <f aca="false">IF(ISNUMBER(B44),B44-(Results!$C$15+Results!$C$14*A44),"")</f>
        <v/>
      </c>
    </row>
    <row r="45" customFormat="false" ht="15" hidden="false" customHeight="false" outlineLevel="0" collapsed="false">
      <c r="A45" s="12"/>
      <c r="B45" s="12"/>
      <c r="C45" s="13" t="str">
        <f aca="false">IF(ISNUMBER(B45),IF(B45&gt;Results!$C$5,1,0),"")</f>
        <v/>
      </c>
      <c r="D45" s="13" t="str">
        <f aca="false">IF(ISNUMBER(C45),IF(C45=1,N(D44)+1,0),"")</f>
        <v/>
      </c>
      <c r="E45" s="14" t="str">
        <f aca="false">IF(ISNUMBER(B45),B45-(Results!$C$15+Results!$C$14*A45),"")</f>
        <v/>
      </c>
    </row>
    <row r="46" customFormat="false" ht="15" hidden="false" customHeight="false" outlineLevel="0" collapsed="false">
      <c r="A46" s="12"/>
      <c r="B46" s="12"/>
      <c r="C46" s="13" t="str">
        <f aca="false">IF(ISNUMBER(B46),IF(B46&gt;Results!$C$5,1,0),"")</f>
        <v/>
      </c>
      <c r="D46" s="13" t="str">
        <f aca="false">IF(ISNUMBER(C46),IF(C46=1,N(D45)+1,0),"")</f>
        <v/>
      </c>
      <c r="E46" s="14" t="str">
        <f aca="false">IF(ISNUMBER(B46),B46-(Results!$C$15+Results!$C$14*A46),"")</f>
        <v/>
      </c>
    </row>
    <row r="47" customFormat="false" ht="15" hidden="false" customHeight="false" outlineLevel="0" collapsed="false">
      <c r="A47" s="12"/>
      <c r="B47" s="12"/>
      <c r="C47" s="13" t="str">
        <f aca="false">IF(ISNUMBER(B47),IF(B47&gt;Results!$C$5,1,0),"")</f>
        <v/>
      </c>
      <c r="D47" s="13" t="str">
        <f aca="false">IF(ISNUMBER(C47),IF(C47=1,N(D46)+1,0),"")</f>
        <v/>
      </c>
      <c r="E47" s="14" t="str">
        <f aca="false">IF(ISNUMBER(B47),B47-(Results!$C$15+Results!$C$14*A47),"")</f>
        <v/>
      </c>
    </row>
    <row r="48" customFormat="false" ht="15" hidden="false" customHeight="false" outlineLevel="0" collapsed="false">
      <c r="A48" s="12"/>
      <c r="B48" s="12"/>
      <c r="C48" s="13" t="str">
        <f aca="false">IF(ISNUMBER(B48),IF(B48&gt;Results!$C$5,1,0),"")</f>
        <v/>
      </c>
      <c r="D48" s="13" t="str">
        <f aca="false">IF(ISNUMBER(C48),IF(C48=1,N(D47)+1,0),"")</f>
        <v/>
      </c>
      <c r="E48" s="14" t="str">
        <f aca="false">IF(ISNUMBER(B48),B48-(Results!$C$15+Results!$C$14*A48),"")</f>
        <v/>
      </c>
    </row>
    <row r="49" customFormat="false" ht="15" hidden="false" customHeight="false" outlineLevel="0" collapsed="false">
      <c r="A49" s="12"/>
      <c r="B49" s="12"/>
      <c r="C49" s="13" t="str">
        <f aca="false">IF(ISNUMBER(B49),IF(B49&gt;Results!$C$5,1,0),"")</f>
        <v/>
      </c>
      <c r="D49" s="13" t="str">
        <f aca="false">IF(ISNUMBER(C49),IF(C49=1,N(D48)+1,0),"")</f>
        <v/>
      </c>
      <c r="E49" s="14" t="str">
        <f aca="false">IF(ISNUMBER(B49),B49-(Results!$C$15+Results!$C$14*A49),"")</f>
        <v/>
      </c>
    </row>
    <row r="50" customFormat="false" ht="15" hidden="false" customHeight="false" outlineLevel="0" collapsed="false">
      <c r="A50" s="12"/>
      <c r="B50" s="12"/>
      <c r="C50" s="13" t="str">
        <f aca="false">IF(ISNUMBER(B50),IF(B50&gt;Results!$C$5,1,0),"")</f>
        <v/>
      </c>
      <c r="D50" s="13" t="str">
        <f aca="false">IF(ISNUMBER(C50),IF(C50=1,N(D49)+1,0),"")</f>
        <v/>
      </c>
      <c r="E50" s="14" t="str">
        <f aca="false">IF(ISNUMBER(B50),B50-(Results!$C$15+Results!$C$14*A50),"")</f>
        <v/>
      </c>
    </row>
    <row r="51" customFormat="false" ht="15" hidden="false" customHeight="false" outlineLevel="0" collapsed="false">
      <c r="A51" s="12"/>
      <c r="B51" s="12"/>
      <c r="C51" s="13" t="str">
        <f aca="false">IF(ISNUMBER(B51),IF(B51&gt;Results!$C$5,1,0),"")</f>
        <v/>
      </c>
      <c r="D51" s="13" t="str">
        <f aca="false">IF(ISNUMBER(C51),IF(C51=1,N(D50)+1,0),"")</f>
        <v/>
      </c>
      <c r="E51" s="14" t="str">
        <f aca="false">IF(ISNUMBER(B51),B51-(Results!$C$15+Results!$C$14*A51),"")</f>
        <v/>
      </c>
    </row>
    <row r="52" customFormat="false" ht="15" hidden="false" customHeight="false" outlineLevel="0" collapsed="false">
      <c r="A52" s="12"/>
      <c r="B52" s="12"/>
      <c r="C52" s="13" t="str">
        <f aca="false">IF(ISNUMBER(B52),IF(B52&gt;Results!$C$5,1,0),"")</f>
        <v/>
      </c>
      <c r="D52" s="13" t="str">
        <f aca="false">IF(ISNUMBER(C52),IF(C52=1,N(D51)+1,0),"")</f>
        <v/>
      </c>
      <c r="E52" s="14" t="str">
        <f aca="false">IF(ISNUMBER(B52),B52-(Results!$C$15+Results!$C$14*A52),"")</f>
        <v/>
      </c>
    </row>
    <row r="53" customFormat="false" ht="15" hidden="false" customHeight="false" outlineLevel="0" collapsed="false">
      <c r="A53" s="12"/>
      <c r="B53" s="12"/>
      <c r="C53" s="13" t="str">
        <f aca="false">IF(ISNUMBER(B53),IF(B53&gt;Results!$C$5,1,0),"")</f>
        <v/>
      </c>
      <c r="D53" s="13" t="str">
        <f aca="false">IF(ISNUMBER(C53),IF(C53=1,N(D52)+1,0),"")</f>
        <v/>
      </c>
      <c r="E53" s="14" t="str">
        <f aca="false">IF(ISNUMBER(B53),B53-(Results!$C$15+Results!$C$14*A53),"")</f>
        <v/>
      </c>
    </row>
    <row r="54" customFormat="false" ht="15" hidden="false" customHeight="false" outlineLevel="0" collapsed="false">
      <c r="A54" s="12"/>
      <c r="B54" s="12"/>
      <c r="C54" s="13" t="str">
        <f aca="false">IF(ISNUMBER(B54),IF(B54&gt;Results!$C$5,1,0),"")</f>
        <v/>
      </c>
      <c r="D54" s="13" t="str">
        <f aca="false">IF(ISNUMBER(C54),IF(C54=1,N(D53)+1,0),"")</f>
        <v/>
      </c>
      <c r="E54" s="14" t="str">
        <f aca="false">IF(ISNUMBER(B54),B54-(Results!$C$15+Results!$C$14*A54),"")</f>
        <v/>
      </c>
    </row>
    <row r="55" customFormat="false" ht="15" hidden="false" customHeight="false" outlineLevel="0" collapsed="false">
      <c r="A55" s="12"/>
      <c r="B55" s="12"/>
      <c r="C55" s="13" t="str">
        <f aca="false">IF(ISNUMBER(B55),IF(B55&gt;Results!$C$5,1,0),"")</f>
        <v/>
      </c>
      <c r="D55" s="13" t="str">
        <f aca="false">IF(ISNUMBER(C55),IF(C55=1,N(D54)+1,0),"")</f>
        <v/>
      </c>
      <c r="E55" s="14" t="str">
        <f aca="false">IF(ISNUMBER(B55),B55-(Results!$C$15+Results!$C$14*A55),"")</f>
        <v/>
      </c>
    </row>
    <row r="56" customFormat="false" ht="15" hidden="false" customHeight="false" outlineLevel="0" collapsed="false">
      <c r="A56" s="12"/>
      <c r="B56" s="12"/>
      <c r="C56" s="13" t="str">
        <f aca="false">IF(ISNUMBER(B56),IF(B56&gt;Results!$C$5,1,0),"")</f>
        <v/>
      </c>
      <c r="D56" s="13" t="str">
        <f aca="false">IF(ISNUMBER(C56),IF(C56=1,N(D55)+1,0),"")</f>
        <v/>
      </c>
      <c r="E56" s="14" t="str">
        <f aca="false">IF(ISNUMBER(B56),B56-(Results!$C$15+Results!$C$14*A56),"")</f>
        <v/>
      </c>
    </row>
    <row r="57" customFormat="false" ht="15" hidden="false" customHeight="false" outlineLevel="0" collapsed="false">
      <c r="A57" s="12"/>
      <c r="B57" s="12"/>
      <c r="C57" s="13" t="str">
        <f aca="false">IF(ISNUMBER(B57),IF(B57&gt;Results!$C$5,1,0),"")</f>
        <v/>
      </c>
      <c r="D57" s="13" t="str">
        <f aca="false">IF(ISNUMBER(C57),IF(C57=1,N(D56)+1,0),"")</f>
        <v/>
      </c>
      <c r="E57" s="14" t="str">
        <f aca="false">IF(ISNUMBER(B57),B57-(Results!$C$15+Results!$C$14*A57),"")</f>
        <v/>
      </c>
    </row>
    <row r="58" customFormat="false" ht="15" hidden="false" customHeight="false" outlineLevel="0" collapsed="false">
      <c r="A58" s="12"/>
      <c r="B58" s="12"/>
      <c r="C58" s="13" t="str">
        <f aca="false">IF(ISNUMBER(B58),IF(B58&gt;Results!$C$5,1,0),"")</f>
        <v/>
      </c>
      <c r="D58" s="13" t="str">
        <f aca="false">IF(ISNUMBER(C58),IF(C58=1,N(D57)+1,0),"")</f>
        <v/>
      </c>
      <c r="E58" s="14" t="str">
        <f aca="false">IF(ISNUMBER(B58),B58-(Results!$C$15+Results!$C$14*A58),"")</f>
        <v/>
      </c>
    </row>
    <row r="59" customFormat="false" ht="15" hidden="false" customHeight="false" outlineLevel="0" collapsed="false">
      <c r="A59" s="12"/>
      <c r="B59" s="12"/>
      <c r="C59" s="13" t="str">
        <f aca="false">IF(ISNUMBER(B59),IF(B59&gt;Results!$C$5,1,0),"")</f>
        <v/>
      </c>
      <c r="D59" s="13" t="str">
        <f aca="false">IF(ISNUMBER(C59),IF(C59=1,N(D58)+1,0),"")</f>
        <v/>
      </c>
      <c r="E59" s="14" t="str">
        <f aca="false">IF(ISNUMBER(B59),B59-(Results!$C$15+Results!$C$14*A59),"")</f>
        <v/>
      </c>
    </row>
    <row r="60" customFormat="false" ht="15" hidden="false" customHeight="false" outlineLevel="0" collapsed="false">
      <c r="A60" s="12"/>
      <c r="B60" s="12"/>
      <c r="C60" s="13" t="str">
        <f aca="false">IF(ISNUMBER(B60),IF(B60&gt;Results!$C$5,1,0),"")</f>
        <v/>
      </c>
      <c r="D60" s="13" t="str">
        <f aca="false">IF(ISNUMBER(C60),IF(C60=1,N(D59)+1,0),"")</f>
        <v/>
      </c>
      <c r="E60" s="14" t="str">
        <f aca="false">IF(ISNUMBER(B60),B60-(Results!$C$15+Results!$C$14*A60),"")</f>
        <v/>
      </c>
    </row>
    <row r="61" customFormat="false" ht="15" hidden="false" customHeight="false" outlineLevel="0" collapsed="false">
      <c r="A61" s="12"/>
      <c r="B61" s="12"/>
      <c r="C61" s="13" t="str">
        <f aca="false">IF(ISNUMBER(B61),IF(B61&gt;Results!$C$5,1,0),"")</f>
        <v/>
      </c>
      <c r="D61" s="13" t="str">
        <f aca="false">IF(ISNUMBER(C61),IF(C61=1,N(D60)+1,0),"")</f>
        <v/>
      </c>
      <c r="E61" s="14" t="str">
        <f aca="false">IF(ISNUMBER(B61),B61-(Results!$C$15+Results!$C$14*A61),"")</f>
        <v/>
      </c>
    </row>
    <row r="62" customFormat="false" ht="15" hidden="false" customHeight="false" outlineLevel="0" collapsed="false">
      <c r="A62" s="12"/>
      <c r="B62" s="12"/>
      <c r="C62" s="13" t="str">
        <f aca="false">IF(ISNUMBER(B62),IF(B62&gt;Results!$C$5,1,0),"")</f>
        <v/>
      </c>
      <c r="D62" s="13" t="str">
        <f aca="false">IF(ISNUMBER(C62),IF(C62=1,N(D61)+1,0),"")</f>
        <v/>
      </c>
      <c r="E62" s="14" t="str">
        <f aca="false">IF(ISNUMBER(B62),B62-(Results!$C$15+Results!$C$14*A62),"")</f>
        <v/>
      </c>
    </row>
    <row r="63" customFormat="false" ht="15" hidden="false" customHeight="false" outlineLevel="0" collapsed="false">
      <c r="A63" s="12"/>
      <c r="B63" s="12"/>
      <c r="C63" s="13" t="str">
        <f aca="false">IF(ISNUMBER(B63),IF(B63&gt;Results!$C$5,1,0),"")</f>
        <v/>
      </c>
      <c r="D63" s="13" t="str">
        <f aca="false">IF(ISNUMBER(C63),IF(C63=1,N(D62)+1,0),"")</f>
        <v/>
      </c>
      <c r="E63" s="14" t="str">
        <f aca="false">IF(ISNUMBER(B63),B63-(Results!$C$15+Results!$C$14*A63),"")</f>
        <v/>
      </c>
    </row>
    <row r="64" customFormat="false" ht="15" hidden="false" customHeight="false" outlineLevel="0" collapsed="false">
      <c r="A64" s="12"/>
      <c r="B64" s="12"/>
      <c r="C64" s="13" t="str">
        <f aca="false">IF(ISNUMBER(B64),IF(B64&gt;Results!$C$5,1,0),"")</f>
        <v/>
      </c>
      <c r="D64" s="13" t="str">
        <f aca="false">IF(ISNUMBER(C64),IF(C64=1,N(D63)+1,0),"")</f>
        <v/>
      </c>
      <c r="E64" s="14" t="str">
        <f aca="false">IF(ISNUMBER(B64),B64-(Results!$C$15+Results!$C$14*A64),"")</f>
        <v/>
      </c>
    </row>
    <row r="65" customFormat="false" ht="15" hidden="false" customHeight="false" outlineLevel="0" collapsed="false">
      <c r="A65" s="12"/>
      <c r="B65" s="12"/>
      <c r="C65" s="13" t="str">
        <f aca="false">IF(ISNUMBER(B65),IF(B65&gt;Results!$C$5,1,0),"")</f>
        <v/>
      </c>
      <c r="D65" s="13" t="str">
        <f aca="false">IF(ISNUMBER(C65),IF(C65=1,N(D64)+1,0),"")</f>
        <v/>
      </c>
      <c r="E65" s="14" t="str">
        <f aca="false">IF(ISNUMBER(B65),B65-(Results!$C$15+Results!$C$14*A65),"")</f>
        <v/>
      </c>
    </row>
    <row r="66" customFormat="false" ht="15" hidden="false" customHeight="false" outlineLevel="0" collapsed="false">
      <c r="A66" s="12"/>
      <c r="B66" s="12"/>
      <c r="C66" s="13" t="str">
        <f aca="false">IF(ISNUMBER(B66),IF(B66&gt;Results!$C$5,1,0),"")</f>
        <v/>
      </c>
      <c r="D66" s="13" t="str">
        <f aca="false">IF(ISNUMBER(C66),IF(C66=1,N(D65)+1,0),"")</f>
        <v/>
      </c>
      <c r="E66" s="14" t="str">
        <f aca="false">IF(ISNUMBER(B66),B66-(Results!$C$15+Results!$C$14*A66),"")</f>
        <v/>
      </c>
    </row>
    <row r="67" customFormat="false" ht="15" hidden="false" customHeight="false" outlineLevel="0" collapsed="false">
      <c r="A67" s="12"/>
      <c r="B67" s="12"/>
      <c r="C67" s="13" t="str">
        <f aca="false">IF(ISNUMBER(B67),IF(B67&gt;Results!$C$5,1,0),"")</f>
        <v/>
      </c>
      <c r="D67" s="13" t="str">
        <f aca="false">IF(ISNUMBER(C67),IF(C67=1,N(D66)+1,0),"")</f>
        <v/>
      </c>
      <c r="E67" s="14" t="str">
        <f aca="false">IF(ISNUMBER(B67),B67-(Results!$C$15+Results!$C$14*A67),"")</f>
        <v/>
      </c>
    </row>
    <row r="68" customFormat="false" ht="15" hidden="false" customHeight="false" outlineLevel="0" collapsed="false">
      <c r="A68" s="12"/>
      <c r="B68" s="12"/>
      <c r="C68" s="13" t="str">
        <f aca="false">IF(ISNUMBER(B68),IF(B68&gt;Results!$C$5,1,0),"")</f>
        <v/>
      </c>
      <c r="D68" s="13" t="str">
        <f aca="false">IF(ISNUMBER(C68),IF(C68=1,N(D67)+1,0),"")</f>
        <v/>
      </c>
      <c r="E68" s="14" t="str">
        <f aca="false">IF(ISNUMBER(B68),B68-(Results!$C$15+Results!$C$14*A68),"")</f>
        <v/>
      </c>
    </row>
    <row r="69" customFormat="false" ht="15" hidden="false" customHeight="false" outlineLevel="0" collapsed="false">
      <c r="A69" s="12"/>
      <c r="B69" s="12"/>
      <c r="C69" s="13" t="str">
        <f aca="false">IF(ISNUMBER(B69),IF(B69&gt;Results!$C$5,1,0),"")</f>
        <v/>
      </c>
      <c r="D69" s="13" t="str">
        <f aca="false">IF(ISNUMBER(C69),IF(C69=1,N(D68)+1,0),"")</f>
        <v/>
      </c>
      <c r="E69" s="14" t="str">
        <f aca="false">IF(ISNUMBER(B69),B69-(Results!$C$15+Results!$C$14*A69),"")</f>
        <v/>
      </c>
    </row>
    <row r="70" customFormat="false" ht="15" hidden="false" customHeight="false" outlineLevel="0" collapsed="false">
      <c r="A70" s="12"/>
      <c r="B70" s="12"/>
      <c r="C70" s="13" t="str">
        <f aca="false">IF(ISNUMBER(B70),IF(B70&gt;Results!$C$5,1,0),"")</f>
        <v/>
      </c>
      <c r="D70" s="13" t="str">
        <f aca="false">IF(ISNUMBER(C70),IF(C70=1,N(D69)+1,0),"")</f>
        <v/>
      </c>
      <c r="E70" s="14" t="str">
        <f aca="false">IF(ISNUMBER(B70),B70-(Results!$C$15+Results!$C$14*A70),"")</f>
        <v/>
      </c>
    </row>
    <row r="71" customFormat="false" ht="15" hidden="false" customHeight="false" outlineLevel="0" collapsed="false">
      <c r="A71" s="12"/>
      <c r="B71" s="12"/>
      <c r="C71" s="13" t="str">
        <f aca="false">IF(ISNUMBER(B71),IF(B71&gt;Results!$C$5,1,0),"")</f>
        <v/>
      </c>
      <c r="D71" s="13" t="str">
        <f aca="false">IF(ISNUMBER(C71),IF(C71=1,N(D70)+1,0),"")</f>
        <v/>
      </c>
      <c r="E71" s="14" t="str">
        <f aca="false">IF(ISNUMBER(B71),B71-(Results!$C$15+Results!$C$14*A71),"")</f>
        <v/>
      </c>
    </row>
    <row r="72" customFormat="false" ht="15" hidden="false" customHeight="false" outlineLevel="0" collapsed="false">
      <c r="A72" s="12"/>
      <c r="B72" s="12"/>
      <c r="C72" s="13" t="str">
        <f aca="false">IF(ISNUMBER(B72),IF(B72&gt;Results!$C$5,1,0),"")</f>
        <v/>
      </c>
      <c r="D72" s="13" t="str">
        <f aca="false">IF(ISNUMBER(C72),IF(C72=1,N(D71)+1,0),"")</f>
        <v/>
      </c>
      <c r="E72" s="14" t="str">
        <f aca="false">IF(ISNUMBER(B72),B72-(Results!$C$15+Results!$C$14*A72),"")</f>
        <v/>
      </c>
    </row>
    <row r="73" customFormat="false" ht="15" hidden="false" customHeight="false" outlineLevel="0" collapsed="false">
      <c r="A73" s="12"/>
      <c r="B73" s="12"/>
      <c r="C73" s="13" t="str">
        <f aca="false">IF(ISNUMBER(B73),IF(B73&gt;Results!$C$5,1,0),"")</f>
        <v/>
      </c>
      <c r="D73" s="13" t="str">
        <f aca="false">IF(ISNUMBER(C73),IF(C73=1,N(D72)+1,0),"")</f>
        <v/>
      </c>
      <c r="E73" s="14" t="str">
        <f aca="false">IF(ISNUMBER(B73),B73-(Results!$C$15+Results!$C$14*A73),"")</f>
        <v/>
      </c>
    </row>
    <row r="74" customFormat="false" ht="15" hidden="false" customHeight="false" outlineLevel="0" collapsed="false">
      <c r="A74" s="12"/>
      <c r="B74" s="12"/>
      <c r="C74" s="13" t="str">
        <f aca="false">IF(ISNUMBER(B74),IF(B74&gt;Results!$C$5,1,0),"")</f>
        <v/>
      </c>
      <c r="D74" s="13" t="str">
        <f aca="false">IF(ISNUMBER(C74),IF(C74=1,N(D73)+1,0),"")</f>
        <v/>
      </c>
      <c r="E74" s="14" t="str">
        <f aca="false">IF(ISNUMBER(B74),B74-(Results!$C$15+Results!$C$14*A74),"")</f>
        <v/>
      </c>
    </row>
    <row r="75" customFormat="false" ht="15" hidden="false" customHeight="false" outlineLevel="0" collapsed="false">
      <c r="A75" s="12"/>
      <c r="B75" s="12"/>
      <c r="C75" s="13" t="str">
        <f aca="false">IF(ISNUMBER(B75),IF(B75&gt;Results!$C$5,1,0),"")</f>
        <v/>
      </c>
      <c r="D75" s="13" t="str">
        <f aca="false">IF(ISNUMBER(C75),IF(C75=1,N(D74)+1,0),"")</f>
        <v/>
      </c>
      <c r="E75" s="14" t="str">
        <f aca="false">IF(ISNUMBER(B75),B75-(Results!$C$15+Results!$C$14*A75),"")</f>
        <v/>
      </c>
    </row>
    <row r="76" customFormat="false" ht="15" hidden="false" customHeight="false" outlineLevel="0" collapsed="false">
      <c r="A76" s="12"/>
      <c r="B76" s="12"/>
      <c r="C76" s="13" t="str">
        <f aca="false">IF(ISNUMBER(B76),IF(B76&gt;Results!$C$5,1,0),"")</f>
        <v/>
      </c>
      <c r="D76" s="13" t="str">
        <f aca="false">IF(ISNUMBER(C76),IF(C76=1,N(D75)+1,0),"")</f>
        <v/>
      </c>
      <c r="E76" s="14" t="str">
        <f aca="false">IF(ISNUMBER(B76),B76-(Results!$C$15+Results!$C$14*A76),"")</f>
        <v/>
      </c>
    </row>
    <row r="77" customFormat="false" ht="15" hidden="false" customHeight="false" outlineLevel="0" collapsed="false">
      <c r="A77" s="12"/>
      <c r="B77" s="12"/>
      <c r="C77" s="13" t="str">
        <f aca="false">IF(ISNUMBER(B77),IF(B77&gt;Results!$C$5,1,0),"")</f>
        <v/>
      </c>
      <c r="D77" s="13" t="str">
        <f aca="false">IF(ISNUMBER(C77),IF(C77=1,N(D76)+1,0),"")</f>
        <v/>
      </c>
      <c r="E77" s="14" t="str">
        <f aca="false">IF(ISNUMBER(B77),B77-(Results!$C$15+Results!$C$14*A77),"")</f>
        <v/>
      </c>
    </row>
    <row r="78" customFormat="false" ht="15" hidden="false" customHeight="false" outlineLevel="0" collapsed="false">
      <c r="A78" s="12"/>
      <c r="B78" s="12"/>
      <c r="C78" s="13" t="str">
        <f aca="false">IF(ISNUMBER(B78),IF(B78&gt;Results!$C$5,1,0),"")</f>
        <v/>
      </c>
      <c r="D78" s="13" t="str">
        <f aca="false">IF(ISNUMBER(C78),IF(C78=1,N(D77)+1,0),"")</f>
        <v/>
      </c>
      <c r="E78" s="14" t="str">
        <f aca="false">IF(ISNUMBER(B78),B78-(Results!$C$15+Results!$C$14*A78),"")</f>
        <v/>
      </c>
    </row>
    <row r="79" customFormat="false" ht="15" hidden="false" customHeight="false" outlineLevel="0" collapsed="false">
      <c r="A79" s="12"/>
      <c r="B79" s="12"/>
      <c r="C79" s="13" t="str">
        <f aca="false">IF(ISNUMBER(B79),IF(B79&gt;Results!$C$5,1,0),"")</f>
        <v/>
      </c>
      <c r="D79" s="13" t="str">
        <f aca="false">IF(ISNUMBER(C79),IF(C79=1,N(D78)+1,0),"")</f>
        <v/>
      </c>
      <c r="E79" s="14" t="str">
        <f aca="false">IF(ISNUMBER(B79),B79-(Results!$C$15+Results!$C$14*A79),"")</f>
        <v/>
      </c>
    </row>
    <row r="80" customFormat="false" ht="15" hidden="false" customHeight="false" outlineLevel="0" collapsed="false">
      <c r="A80" s="12"/>
      <c r="B80" s="12"/>
      <c r="C80" s="13" t="str">
        <f aca="false">IF(ISNUMBER(B80),IF(B80&gt;Results!$C$5,1,0),"")</f>
        <v/>
      </c>
      <c r="D80" s="13" t="str">
        <f aca="false">IF(ISNUMBER(C80),IF(C80=1,N(D79)+1,0),"")</f>
        <v/>
      </c>
      <c r="E80" s="14" t="str">
        <f aca="false">IF(ISNUMBER(B80),B80-(Results!$C$15+Results!$C$14*A80),"")</f>
        <v/>
      </c>
    </row>
    <row r="81" customFormat="false" ht="15" hidden="false" customHeight="false" outlineLevel="0" collapsed="false">
      <c r="A81" s="12"/>
      <c r="B81" s="12"/>
      <c r="C81" s="13" t="str">
        <f aca="false">IF(ISNUMBER(B81),IF(B81&gt;Results!$C$5,1,0),"")</f>
        <v/>
      </c>
      <c r="D81" s="13" t="str">
        <f aca="false">IF(ISNUMBER(C81),IF(C81=1,N(D80)+1,0),"")</f>
        <v/>
      </c>
      <c r="E81" s="14" t="str">
        <f aca="false">IF(ISNUMBER(B81),B81-(Results!$C$15+Results!$C$14*A81),"")</f>
        <v/>
      </c>
    </row>
    <row r="82" customFormat="false" ht="15" hidden="false" customHeight="false" outlineLevel="0" collapsed="false">
      <c r="A82" s="12"/>
      <c r="B82" s="12"/>
      <c r="C82" s="13" t="str">
        <f aca="false">IF(ISNUMBER(B82),IF(B82&gt;Results!$C$5,1,0),"")</f>
        <v/>
      </c>
      <c r="D82" s="13" t="str">
        <f aca="false">IF(ISNUMBER(C82),IF(C82=1,N(D81)+1,0),"")</f>
        <v/>
      </c>
      <c r="E82" s="14" t="str">
        <f aca="false">IF(ISNUMBER(B82),B82-(Results!$C$15+Results!$C$14*A82),"")</f>
        <v/>
      </c>
    </row>
    <row r="83" customFormat="false" ht="15" hidden="false" customHeight="false" outlineLevel="0" collapsed="false">
      <c r="A83" s="12"/>
      <c r="B83" s="12"/>
      <c r="C83" s="13" t="str">
        <f aca="false">IF(ISNUMBER(B83),IF(B83&gt;Results!$C$5,1,0),"")</f>
        <v/>
      </c>
      <c r="D83" s="13" t="str">
        <f aca="false">IF(ISNUMBER(C83),IF(C83=1,N(D82)+1,0),"")</f>
        <v/>
      </c>
      <c r="E83" s="14" t="str">
        <f aca="false">IF(ISNUMBER(B83),B83-(Results!$C$15+Results!$C$14*A83),"")</f>
        <v/>
      </c>
    </row>
    <row r="84" customFormat="false" ht="15" hidden="false" customHeight="false" outlineLevel="0" collapsed="false">
      <c r="A84" s="12"/>
      <c r="B84" s="12"/>
      <c r="C84" s="13" t="str">
        <f aca="false">IF(ISNUMBER(B84),IF(B84&gt;Results!$C$5,1,0),"")</f>
        <v/>
      </c>
      <c r="D84" s="13" t="str">
        <f aca="false">IF(ISNUMBER(C84),IF(C84=1,N(D83)+1,0),"")</f>
        <v/>
      </c>
      <c r="E84" s="14" t="str">
        <f aca="false">IF(ISNUMBER(B84),B84-(Results!$C$15+Results!$C$14*A84),"")</f>
        <v/>
      </c>
    </row>
    <row r="85" customFormat="false" ht="15" hidden="false" customHeight="false" outlineLevel="0" collapsed="false">
      <c r="A85" s="12"/>
      <c r="B85" s="12"/>
      <c r="C85" s="13" t="str">
        <f aca="false">IF(ISNUMBER(B85),IF(B85&gt;Results!$C$5,1,0),"")</f>
        <v/>
      </c>
      <c r="D85" s="13" t="str">
        <f aca="false">IF(ISNUMBER(C85),IF(C85=1,N(D84)+1,0),"")</f>
        <v/>
      </c>
      <c r="E85" s="14" t="str">
        <f aca="false">IF(ISNUMBER(B85),B85-(Results!$C$15+Results!$C$14*A85),"")</f>
        <v/>
      </c>
    </row>
    <row r="86" customFormat="false" ht="15" hidden="false" customHeight="false" outlineLevel="0" collapsed="false">
      <c r="A86" s="12"/>
      <c r="B86" s="12"/>
      <c r="C86" s="13" t="str">
        <f aca="false">IF(ISNUMBER(B86),IF(B86&gt;Results!$C$5,1,0),"")</f>
        <v/>
      </c>
      <c r="D86" s="13" t="str">
        <f aca="false">IF(ISNUMBER(C86),IF(C86=1,N(D85)+1,0),"")</f>
        <v/>
      </c>
      <c r="E86" s="14" t="str">
        <f aca="false">IF(ISNUMBER(B86),B86-(Results!$C$15+Results!$C$14*A86),"")</f>
        <v/>
      </c>
    </row>
    <row r="87" customFormat="false" ht="15" hidden="false" customHeight="false" outlineLevel="0" collapsed="false">
      <c r="A87" s="12"/>
      <c r="B87" s="12"/>
      <c r="C87" s="13" t="str">
        <f aca="false">IF(ISNUMBER(B87),IF(B87&gt;Results!$C$5,1,0),"")</f>
        <v/>
      </c>
      <c r="D87" s="13" t="str">
        <f aca="false">IF(ISNUMBER(C87),IF(C87=1,N(D86)+1,0),"")</f>
        <v/>
      </c>
      <c r="E87" s="14" t="str">
        <f aca="false">IF(ISNUMBER(B87),B87-(Results!$C$15+Results!$C$14*A87),"")</f>
        <v/>
      </c>
    </row>
    <row r="88" customFormat="false" ht="15" hidden="false" customHeight="false" outlineLevel="0" collapsed="false">
      <c r="A88" s="12"/>
      <c r="B88" s="12"/>
      <c r="C88" s="13" t="str">
        <f aca="false">IF(ISNUMBER(B88),IF(B88&gt;Results!$C$5,1,0),"")</f>
        <v/>
      </c>
      <c r="D88" s="13" t="str">
        <f aca="false">IF(ISNUMBER(C88),IF(C88=1,N(D87)+1,0),"")</f>
        <v/>
      </c>
      <c r="E88" s="14" t="str">
        <f aca="false">IF(ISNUMBER(B88),B88-(Results!$C$15+Results!$C$14*A88),"")</f>
        <v/>
      </c>
    </row>
    <row r="89" customFormat="false" ht="15" hidden="false" customHeight="false" outlineLevel="0" collapsed="false">
      <c r="A89" s="12"/>
      <c r="B89" s="12"/>
      <c r="C89" s="13" t="str">
        <f aca="false">IF(ISNUMBER(B89),IF(B89&gt;Results!$C$5,1,0),"")</f>
        <v/>
      </c>
      <c r="D89" s="13" t="str">
        <f aca="false">IF(ISNUMBER(C89),IF(C89=1,N(D88)+1,0),"")</f>
        <v/>
      </c>
      <c r="E89" s="14" t="str">
        <f aca="false">IF(ISNUMBER(B89),B89-(Results!$C$15+Results!$C$14*A89),"")</f>
        <v/>
      </c>
    </row>
    <row r="90" customFormat="false" ht="15" hidden="false" customHeight="false" outlineLevel="0" collapsed="false">
      <c r="A90" s="12"/>
      <c r="B90" s="12"/>
      <c r="C90" s="13" t="str">
        <f aca="false">IF(ISNUMBER(B90),IF(B90&gt;Results!$C$5,1,0),"")</f>
        <v/>
      </c>
      <c r="D90" s="13" t="str">
        <f aca="false">IF(ISNUMBER(C90),IF(C90=1,N(D89)+1,0),"")</f>
        <v/>
      </c>
      <c r="E90" s="14" t="str">
        <f aca="false">IF(ISNUMBER(B90),B90-(Results!$C$15+Results!$C$14*A90),"")</f>
        <v/>
      </c>
    </row>
    <row r="91" customFormat="false" ht="15" hidden="false" customHeight="false" outlineLevel="0" collapsed="false">
      <c r="A91" s="12"/>
      <c r="B91" s="12"/>
      <c r="C91" s="13" t="str">
        <f aca="false">IF(ISNUMBER(B91),IF(B91&gt;Results!$C$5,1,0),"")</f>
        <v/>
      </c>
      <c r="D91" s="13" t="str">
        <f aca="false">IF(ISNUMBER(C91),IF(C91=1,N(D90)+1,0),"")</f>
        <v/>
      </c>
      <c r="E91" s="14" t="str">
        <f aca="false">IF(ISNUMBER(B91),B91-(Results!$C$15+Results!$C$14*A91),"")</f>
        <v/>
      </c>
    </row>
    <row r="92" customFormat="false" ht="15" hidden="false" customHeight="false" outlineLevel="0" collapsed="false">
      <c r="A92" s="12"/>
      <c r="B92" s="12"/>
      <c r="C92" s="13" t="str">
        <f aca="false">IF(ISNUMBER(B92),IF(B92&gt;Results!$C$5,1,0),"")</f>
        <v/>
      </c>
      <c r="D92" s="13" t="str">
        <f aca="false">IF(ISNUMBER(C92),IF(C92=1,N(D91)+1,0),"")</f>
        <v/>
      </c>
      <c r="E92" s="14" t="str">
        <f aca="false">IF(ISNUMBER(B92),B92-(Results!$C$15+Results!$C$14*A92),"")</f>
        <v/>
      </c>
    </row>
    <row r="93" customFormat="false" ht="15" hidden="false" customHeight="false" outlineLevel="0" collapsed="false">
      <c r="A93" s="12"/>
      <c r="B93" s="12"/>
      <c r="C93" s="13" t="str">
        <f aca="false">IF(ISNUMBER(B93),IF(B93&gt;Results!$C$5,1,0),"")</f>
        <v/>
      </c>
      <c r="D93" s="13" t="str">
        <f aca="false">IF(ISNUMBER(C93),IF(C93=1,N(D92)+1,0),"")</f>
        <v/>
      </c>
      <c r="E93" s="14" t="str">
        <f aca="false">IF(ISNUMBER(B93),B93-(Results!$C$15+Results!$C$14*A93),"")</f>
        <v/>
      </c>
    </row>
    <row r="94" customFormat="false" ht="15" hidden="false" customHeight="false" outlineLevel="0" collapsed="false">
      <c r="A94" s="12"/>
      <c r="B94" s="12"/>
      <c r="C94" s="13" t="str">
        <f aca="false">IF(ISNUMBER(B94),IF(B94&gt;Results!$C$5,1,0),"")</f>
        <v/>
      </c>
      <c r="D94" s="13" t="str">
        <f aca="false">IF(ISNUMBER(C94),IF(C94=1,N(D93)+1,0),"")</f>
        <v/>
      </c>
      <c r="E94" s="14" t="str">
        <f aca="false">IF(ISNUMBER(B94),B94-(Results!$C$15+Results!$C$14*A94),"")</f>
        <v/>
      </c>
    </row>
    <row r="95" customFormat="false" ht="15" hidden="false" customHeight="false" outlineLevel="0" collapsed="false">
      <c r="A95" s="12"/>
      <c r="B95" s="12"/>
      <c r="C95" s="13" t="str">
        <f aca="false">IF(ISNUMBER(B95),IF(B95&gt;Results!$C$5,1,0),"")</f>
        <v/>
      </c>
      <c r="D95" s="13" t="str">
        <f aca="false">IF(ISNUMBER(C95),IF(C95=1,N(D94)+1,0),"")</f>
        <v/>
      </c>
      <c r="E95" s="14" t="str">
        <f aca="false">IF(ISNUMBER(B95),B95-(Results!$C$15+Results!$C$14*A95),"")</f>
        <v/>
      </c>
    </row>
    <row r="96" customFormat="false" ht="15" hidden="false" customHeight="false" outlineLevel="0" collapsed="false">
      <c r="A96" s="12"/>
      <c r="B96" s="12"/>
      <c r="C96" s="13" t="str">
        <f aca="false">IF(ISNUMBER(B96),IF(B96&gt;Results!$C$5,1,0),"")</f>
        <v/>
      </c>
      <c r="D96" s="13" t="str">
        <f aca="false">IF(ISNUMBER(C96),IF(C96=1,N(D95)+1,0),"")</f>
        <v/>
      </c>
      <c r="E96" s="14" t="str">
        <f aca="false">IF(ISNUMBER(B96),B96-(Results!$C$15+Results!$C$14*A96),"")</f>
        <v/>
      </c>
    </row>
    <row r="97" customFormat="false" ht="15" hidden="false" customHeight="false" outlineLevel="0" collapsed="false">
      <c r="A97" s="12"/>
      <c r="B97" s="12"/>
      <c r="C97" s="13" t="str">
        <f aca="false">IF(ISNUMBER(B97),IF(B97&gt;Results!$C$5,1,0),"")</f>
        <v/>
      </c>
      <c r="D97" s="13" t="str">
        <f aca="false">IF(ISNUMBER(C97),IF(C97=1,N(D96)+1,0),"")</f>
        <v/>
      </c>
      <c r="E97" s="14" t="str">
        <f aca="false">IF(ISNUMBER(B97),B97-(Results!$C$15+Results!$C$14*A97),"")</f>
        <v/>
      </c>
    </row>
    <row r="98" customFormat="false" ht="15" hidden="false" customHeight="false" outlineLevel="0" collapsed="false">
      <c r="A98" s="12"/>
      <c r="B98" s="12"/>
      <c r="C98" s="13" t="str">
        <f aca="false">IF(ISNUMBER(B98),IF(B98&gt;Results!$C$5,1,0),"")</f>
        <v/>
      </c>
      <c r="D98" s="13" t="str">
        <f aca="false">IF(ISNUMBER(C98),IF(C98=1,N(D97)+1,0),"")</f>
        <v/>
      </c>
      <c r="E98" s="14" t="str">
        <f aca="false">IF(ISNUMBER(B98),B98-(Results!$C$15+Results!$C$14*A98),"")</f>
        <v/>
      </c>
    </row>
    <row r="99" customFormat="false" ht="15" hidden="false" customHeight="false" outlineLevel="0" collapsed="false">
      <c r="A99" s="12"/>
      <c r="B99" s="12"/>
      <c r="C99" s="13" t="str">
        <f aca="false">IF(ISNUMBER(B99),IF(B99&gt;Results!$C$5,1,0),"")</f>
        <v/>
      </c>
      <c r="D99" s="13" t="str">
        <f aca="false">IF(ISNUMBER(C99),IF(C99=1,N(D98)+1,0),"")</f>
        <v/>
      </c>
      <c r="E99" s="14" t="str">
        <f aca="false">IF(ISNUMBER(B99),B99-(Results!$C$15+Results!$C$14*A99),"")</f>
        <v/>
      </c>
    </row>
    <row r="100" customFormat="false" ht="15" hidden="false" customHeight="false" outlineLevel="0" collapsed="false">
      <c r="A100" s="12"/>
      <c r="B100" s="12"/>
      <c r="C100" s="13" t="str">
        <f aca="false">IF(ISNUMBER(B100),IF(B100&gt;Results!$C$5,1,0),"")</f>
        <v/>
      </c>
      <c r="D100" s="13" t="str">
        <f aca="false">IF(ISNUMBER(C100),IF(C100=1,N(D99)+1,0),"")</f>
        <v/>
      </c>
      <c r="E100" s="14" t="str">
        <f aca="false">IF(ISNUMBER(B100),B100-(Results!$C$15+Results!$C$14*A100),"")</f>
        <v/>
      </c>
    </row>
    <row r="101" customFormat="false" ht="15" hidden="false" customHeight="false" outlineLevel="0" collapsed="false">
      <c r="A101" s="12"/>
      <c r="B101" s="12"/>
      <c r="C101" s="13" t="str">
        <f aca="false">IF(ISNUMBER(B101),IF(B101&gt;Results!$C$5,1,0),"")</f>
        <v/>
      </c>
      <c r="D101" s="13" t="str">
        <f aca="false">IF(ISNUMBER(C101),IF(C101=1,N(D100)+1,0),"")</f>
        <v/>
      </c>
      <c r="E101" s="14" t="str">
        <f aca="false">IF(ISNUMBER(B101),B101-(Results!$C$15+Results!$C$14*A101),"")</f>
        <v/>
      </c>
    </row>
    <row r="102" customFormat="false" ht="15" hidden="false" customHeight="false" outlineLevel="0" collapsed="false">
      <c r="A102" s="12"/>
      <c r="B102" s="12"/>
      <c r="C102" s="13" t="str">
        <f aca="false">IF(ISNUMBER(B102),IF(B102&gt;Results!$C$5,1,0),"")</f>
        <v/>
      </c>
      <c r="D102" s="13" t="str">
        <f aca="false">IF(ISNUMBER(C102),IF(C102=1,N(D101)+1,0),"")</f>
        <v/>
      </c>
      <c r="E102" s="14" t="str">
        <f aca="false">IF(ISNUMBER(B102),B102-(Results!$C$15+Results!$C$14*A102),"")</f>
        <v/>
      </c>
    </row>
    <row r="103" customFormat="false" ht="15" hidden="false" customHeight="false" outlineLevel="0" collapsed="false">
      <c r="A103" s="12"/>
      <c r="B103" s="12"/>
      <c r="C103" s="13" t="str">
        <f aca="false">IF(ISNUMBER(B103),IF(B103&gt;Results!$C$5,1,0),"")</f>
        <v/>
      </c>
      <c r="D103" s="13" t="str">
        <f aca="false">IF(ISNUMBER(C103),IF(C103=1,N(D102)+1,0),"")</f>
        <v/>
      </c>
      <c r="E103" s="14" t="str">
        <f aca="false">IF(ISNUMBER(B103),B103-(Results!$C$15+Results!$C$14*A103),"")</f>
        <v/>
      </c>
    </row>
    <row r="104" customFormat="false" ht="15" hidden="false" customHeight="false" outlineLevel="0" collapsed="false">
      <c r="A104" s="12"/>
      <c r="B104" s="12"/>
      <c r="C104" s="13" t="str">
        <f aca="false">IF(ISNUMBER(B104),IF(B104&gt;Results!$C$5,1,0),"")</f>
        <v/>
      </c>
      <c r="D104" s="13" t="str">
        <f aca="false">IF(ISNUMBER(C104),IF(C104=1,N(D103)+1,0),"")</f>
        <v/>
      </c>
      <c r="E104" s="14" t="str">
        <f aca="false">IF(ISNUMBER(B104),B104-(Results!$C$15+Results!$C$14*A104),"")</f>
        <v/>
      </c>
    </row>
    <row r="105" customFormat="false" ht="15" hidden="false" customHeight="false" outlineLevel="0" collapsed="false">
      <c r="A105" s="12"/>
      <c r="B105" s="12"/>
      <c r="C105" s="13" t="str">
        <f aca="false">IF(ISNUMBER(B105),IF(B105&gt;Results!$C$5,1,0),"")</f>
        <v/>
      </c>
      <c r="D105" s="13" t="str">
        <f aca="false">IF(ISNUMBER(C105),IF(C105=1,N(D104)+1,0),"")</f>
        <v/>
      </c>
      <c r="E105" s="14" t="str">
        <f aca="false">IF(ISNUMBER(B105),B105-(Results!$C$15+Results!$C$14*A105),"")</f>
        <v/>
      </c>
    </row>
    <row r="106" customFormat="false" ht="15" hidden="false" customHeight="false" outlineLevel="0" collapsed="false">
      <c r="A106" s="12"/>
      <c r="B106" s="12"/>
      <c r="C106" s="13" t="str">
        <f aca="false">IF(ISNUMBER(B106),IF(B106&gt;Results!$C$5,1,0),"")</f>
        <v/>
      </c>
      <c r="D106" s="13" t="str">
        <f aca="false">IF(ISNUMBER(C106),IF(C106=1,N(D105)+1,0),"")</f>
        <v/>
      </c>
      <c r="E106" s="14" t="str">
        <f aca="false">IF(ISNUMBER(B106),B106-(Results!$C$15+Results!$C$14*A106),"")</f>
        <v/>
      </c>
    </row>
    <row r="107" customFormat="false" ht="15" hidden="false" customHeight="false" outlineLevel="0" collapsed="false">
      <c r="A107" s="12"/>
      <c r="B107" s="12"/>
      <c r="C107" s="13" t="str">
        <f aca="false">IF(ISNUMBER(B107),IF(B107&gt;Results!$C$5,1,0),"")</f>
        <v/>
      </c>
      <c r="D107" s="13" t="str">
        <f aca="false">IF(ISNUMBER(C107),IF(C107=1,N(D106)+1,0),"")</f>
        <v/>
      </c>
      <c r="E107" s="14" t="str">
        <f aca="false">IF(ISNUMBER(B107),B107-(Results!$C$15+Results!$C$14*A107),"")</f>
        <v/>
      </c>
    </row>
    <row r="108" customFormat="false" ht="15" hidden="false" customHeight="false" outlineLevel="0" collapsed="false">
      <c r="A108" s="12"/>
      <c r="B108" s="12"/>
      <c r="C108" s="13" t="str">
        <f aca="false">IF(ISNUMBER(B108),IF(B108&gt;Results!$C$5,1,0),"")</f>
        <v/>
      </c>
      <c r="D108" s="13" t="str">
        <f aca="false">IF(ISNUMBER(C108),IF(C108=1,N(D107)+1,0),"")</f>
        <v/>
      </c>
      <c r="E108" s="14" t="str">
        <f aca="false">IF(ISNUMBER(B108),B108-(Results!$C$15+Results!$C$14*A108),"")</f>
        <v/>
      </c>
    </row>
    <row r="109" customFormat="false" ht="15" hidden="false" customHeight="false" outlineLevel="0" collapsed="false">
      <c r="A109" s="12"/>
      <c r="B109" s="12"/>
      <c r="C109" s="13" t="str">
        <f aca="false">IF(ISNUMBER(B109),IF(B109&gt;Results!$C$5,1,0),"")</f>
        <v/>
      </c>
      <c r="D109" s="13" t="str">
        <f aca="false">IF(ISNUMBER(C109),IF(C109=1,N(D108)+1,0),"")</f>
        <v/>
      </c>
      <c r="E109" s="14" t="str">
        <f aca="false">IF(ISNUMBER(B109),B109-(Results!$C$15+Results!$C$14*A109),"")</f>
        <v/>
      </c>
    </row>
    <row r="110" customFormat="false" ht="15" hidden="false" customHeight="false" outlineLevel="0" collapsed="false">
      <c r="A110" s="12"/>
      <c r="B110" s="12"/>
      <c r="C110" s="13" t="str">
        <f aca="false">IF(ISNUMBER(B110),IF(B110&gt;Results!$C$5,1,0),"")</f>
        <v/>
      </c>
      <c r="D110" s="13" t="str">
        <f aca="false">IF(ISNUMBER(C110),IF(C110=1,N(D109)+1,0),"")</f>
        <v/>
      </c>
      <c r="E110" s="14" t="str">
        <f aca="false">IF(ISNUMBER(B110),B110-(Results!$C$15+Results!$C$14*A110),"")</f>
        <v/>
      </c>
    </row>
    <row r="111" customFormat="false" ht="15" hidden="false" customHeight="false" outlineLevel="0" collapsed="false">
      <c r="A111" s="12"/>
      <c r="B111" s="12"/>
      <c r="C111" s="13" t="str">
        <f aca="false">IF(ISNUMBER(B111),IF(B111&gt;Results!$C$5,1,0),"")</f>
        <v/>
      </c>
      <c r="D111" s="13" t="str">
        <f aca="false">IF(ISNUMBER(C111),IF(C111=1,N(D110)+1,0),"")</f>
        <v/>
      </c>
      <c r="E111" s="14" t="str">
        <f aca="false">IF(ISNUMBER(B111),B111-(Results!$C$15+Results!$C$14*A111),"")</f>
        <v/>
      </c>
    </row>
    <row r="112" customFormat="false" ht="15" hidden="false" customHeight="false" outlineLevel="0" collapsed="false">
      <c r="A112" s="12"/>
      <c r="B112" s="12"/>
      <c r="C112" s="13" t="str">
        <f aca="false">IF(ISNUMBER(B112),IF(B112&gt;Results!$C$5,1,0),"")</f>
        <v/>
      </c>
      <c r="D112" s="13" t="str">
        <f aca="false">IF(ISNUMBER(C112),IF(C112=1,N(D111)+1,0),"")</f>
        <v/>
      </c>
      <c r="E112" s="14" t="str">
        <f aca="false">IF(ISNUMBER(B112),B112-(Results!$C$15+Results!$C$14*A112),"")</f>
        <v/>
      </c>
    </row>
    <row r="113" customFormat="false" ht="15" hidden="false" customHeight="false" outlineLevel="0" collapsed="false">
      <c r="A113" s="12"/>
      <c r="B113" s="12"/>
      <c r="C113" s="13" t="str">
        <f aca="false">IF(ISNUMBER(B113),IF(B113&gt;Results!$C$5,1,0),"")</f>
        <v/>
      </c>
      <c r="D113" s="13" t="str">
        <f aca="false">IF(ISNUMBER(C113),IF(C113=1,N(D112)+1,0),"")</f>
        <v/>
      </c>
      <c r="E113" s="14" t="str">
        <f aca="false">IF(ISNUMBER(B113),B113-(Results!$C$15+Results!$C$14*A113),"")</f>
        <v/>
      </c>
    </row>
    <row r="114" customFormat="false" ht="15" hidden="false" customHeight="false" outlineLevel="0" collapsed="false">
      <c r="A114" s="12"/>
      <c r="B114" s="12"/>
      <c r="C114" s="13" t="str">
        <f aca="false">IF(ISNUMBER(B114),IF(B114&gt;Results!$C$5,1,0),"")</f>
        <v/>
      </c>
      <c r="D114" s="13" t="str">
        <f aca="false">IF(ISNUMBER(C114),IF(C114=1,N(D113)+1,0),"")</f>
        <v/>
      </c>
      <c r="E114" s="14" t="str">
        <f aca="false">IF(ISNUMBER(B114),B114-(Results!$C$15+Results!$C$14*A114),"")</f>
        <v/>
      </c>
    </row>
    <row r="115" customFormat="false" ht="15" hidden="false" customHeight="false" outlineLevel="0" collapsed="false">
      <c r="A115" s="12"/>
      <c r="B115" s="12"/>
      <c r="C115" s="13" t="str">
        <f aca="false">IF(ISNUMBER(B115),IF(B115&gt;Results!$C$5,1,0),"")</f>
        <v/>
      </c>
      <c r="D115" s="13" t="str">
        <f aca="false">IF(ISNUMBER(C115),IF(C115=1,N(D114)+1,0),"")</f>
        <v/>
      </c>
      <c r="E115" s="14" t="str">
        <f aca="false">IF(ISNUMBER(B115),B115-(Results!$C$15+Results!$C$14*A115),"")</f>
        <v/>
      </c>
    </row>
    <row r="116" customFormat="false" ht="15" hidden="false" customHeight="false" outlineLevel="0" collapsed="false">
      <c r="A116" s="12"/>
      <c r="B116" s="12"/>
      <c r="C116" s="13" t="str">
        <f aca="false">IF(ISNUMBER(B116),IF(B116&gt;Results!$C$5,1,0),"")</f>
        <v/>
      </c>
      <c r="D116" s="13" t="str">
        <f aca="false">IF(ISNUMBER(C116),IF(C116=1,N(D115)+1,0),"")</f>
        <v/>
      </c>
      <c r="E116" s="14" t="str">
        <f aca="false">IF(ISNUMBER(B116),B116-(Results!$C$15+Results!$C$14*A116),"")</f>
        <v/>
      </c>
    </row>
    <row r="117" customFormat="false" ht="15" hidden="false" customHeight="false" outlineLevel="0" collapsed="false">
      <c r="A117" s="12"/>
      <c r="B117" s="12"/>
      <c r="C117" s="13" t="str">
        <f aca="false">IF(ISNUMBER(B117),IF(B117&gt;Results!$C$5,1,0),"")</f>
        <v/>
      </c>
      <c r="D117" s="13" t="str">
        <f aca="false">IF(ISNUMBER(C117),IF(C117=1,N(D116)+1,0),"")</f>
        <v/>
      </c>
      <c r="E117" s="14" t="str">
        <f aca="false">IF(ISNUMBER(B117),B117-(Results!$C$15+Results!$C$14*A117),"")</f>
        <v/>
      </c>
    </row>
    <row r="118" customFormat="false" ht="15" hidden="false" customHeight="false" outlineLevel="0" collapsed="false">
      <c r="A118" s="12"/>
      <c r="B118" s="12"/>
      <c r="C118" s="13" t="str">
        <f aca="false">IF(ISNUMBER(B118),IF(B118&gt;Results!$C$5,1,0),"")</f>
        <v/>
      </c>
      <c r="D118" s="13" t="str">
        <f aca="false">IF(ISNUMBER(C118),IF(C118=1,N(D117)+1,0),"")</f>
        <v/>
      </c>
      <c r="E118" s="14" t="str">
        <f aca="false">IF(ISNUMBER(B118),B118-(Results!$C$15+Results!$C$14*A118),"")</f>
        <v/>
      </c>
    </row>
    <row r="119" customFormat="false" ht="15" hidden="false" customHeight="false" outlineLevel="0" collapsed="false">
      <c r="A119" s="12"/>
      <c r="B119" s="12"/>
      <c r="C119" s="13" t="str">
        <f aca="false">IF(ISNUMBER(B119),IF(B119&gt;Results!$C$5,1,0),"")</f>
        <v/>
      </c>
      <c r="D119" s="13" t="str">
        <f aca="false">IF(ISNUMBER(C119),IF(C119=1,N(D118)+1,0),"")</f>
        <v/>
      </c>
      <c r="E119" s="14" t="str">
        <f aca="false">IF(ISNUMBER(B119),B119-(Results!$C$15+Results!$C$14*A119),"")</f>
        <v/>
      </c>
    </row>
    <row r="120" customFormat="false" ht="15" hidden="false" customHeight="false" outlineLevel="0" collapsed="false">
      <c r="A120" s="12"/>
      <c r="B120" s="12"/>
      <c r="C120" s="13" t="str">
        <f aca="false">IF(ISNUMBER(B120),IF(B120&gt;Results!$C$5,1,0),"")</f>
        <v/>
      </c>
      <c r="D120" s="13" t="str">
        <f aca="false">IF(ISNUMBER(C120),IF(C120=1,N(D119)+1,0),"")</f>
        <v/>
      </c>
      <c r="E120" s="14" t="str">
        <f aca="false">IF(ISNUMBER(B120),B120-(Results!$C$15+Results!$C$14*A120),"")</f>
        <v/>
      </c>
    </row>
    <row r="121" customFormat="false" ht="15" hidden="false" customHeight="false" outlineLevel="0" collapsed="false">
      <c r="A121" s="12"/>
      <c r="B121" s="12"/>
      <c r="C121" s="13" t="str">
        <f aca="false">IF(ISNUMBER(B121),IF(B121&gt;Results!$C$5,1,0),"")</f>
        <v/>
      </c>
      <c r="D121" s="13" t="str">
        <f aca="false">IF(ISNUMBER(C121),IF(C121=1,N(D120)+1,0),"")</f>
        <v/>
      </c>
      <c r="E121" s="14" t="str">
        <f aca="false">IF(ISNUMBER(B121),B121-(Results!$C$15+Results!$C$14*A121),"")</f>
        <v/>
      </c>
    </row>
    <row r="122" customFormat="false" ht="15" hidden="false" customHeight="false" outlineLevel="0" collapsed="false">
      <c r="A122" s="12"/>
      <c r="B122" s="12"/>
      <c r="C122" s="13" t="str">
        <f aca="false">IF(ISNUMBER(B122),IF(B122&gt;Results!$C$5,1,0),"")</f>
        <v/>
      </c>
      <c r="D122" s="13" t="str">
        <f aca="false">IF(ISNUMBER(C122),IF(C122=1,N(D121)+1,0),"")</f>
        <v/>
      </c>
      <c r="E122" s="14" t="str">
        <f aca="false">IF(ISNUMBER(B122),B122-(Results!$C$15+Results!$C$14*A122),"")</f>
        <v/>
      </c>
    </row>
    <row r="123" customFormat="false" ht="15" hidden="false" customHeight="false" outlineLevel="0" collapsed="false">
      <c r="A123" s="12"/>
      <c r="B123" s="12"/>
      <c r="C123" s="13" t="str">
        <f aca="false">IF(ISNUMBER(B123),IF(B123&gt;Results!$C$5,1,0),"")</f>
        <v/>
      </c>
      <c r="D123" s="13" t="str">
        <f aca="false">IF(ISNUMBER(C123),IF(C123=1,N(D122)+1,0),"")</f>
        <v/>
      </c>
      <c r="E123" s="14" t="str">
        <f aca="false">IF(ISNUMBER(B123),B123-(Results!$C$15+Results!$C$14*A123),"")</f>
        <v/>
      </c>
    </row>
    <row r="124" customFormat="false" ht="15" hidden="false" customHeight="false" outlineLevel="0" collapsed="false">
      <c r="A124" s="12"/>
      <c r="B124" s="12"/>
      <c r="C124" s="13" t="str">
        <f aca="false">IF(ISNUMBER(B124),IF(B124&gt;Results!$C$5,1,0),"")</f>
        <v/>
      </c>
      <c r="D124" s="13" t="str">
        <f aca="false">IF(ISNUMBER(C124),IF(C124=1,N(D123)+1,0),"")</f>
        <v/>
      </c>
      <c r="E124" s="14" t="str">
        <f aca="false">IF(ISNUMBER(B124),B124-(Results!$C$15+Results!$C$14*A124),"")</f>
        <v/>
      </c>
    </row>
    <row r="125" customFormat="false" ht="15" hidden="false" customHeight="false" outlineLevel="0" collapsed="false">
      <c r="A125" s="12"/>
      <c r="B125" s="12"/>
      <c r="C125" s="13" t="str">
        <f aca="false">IF(ISNUMBER(B125),IF(B125&gt;Results!$C$5,1,0),"")</f>
        <v/>
      </c>
      <c r="D125" s="13" t="str">
        <f aca="false">IF(ISNUMBER(C125),IF(C125=1,N(D124)+1,0),"")</f>
        <v/>
      </c>
      <c r="E125" s="14" t="str">
        <f aca="false">IF(ISNUMBER(B125),B125-(Results!$C$15+Results!$C$14*A125),"")</f>
        <v/>
      </c>
    </row>
    <row r="126" customFormat="false" ht="15" hidden="false" customHeight="false" outlineLevel="0" collapsed="false">
      <c r="A126" s="12"/>
      <c r="B126" s="12"/>
      <c r="C126" s="13" t="str">
        <f aca="false">IF(ISNUMBER(B126),IF(B126&gt;Results!$C$5,1,0),"")</f>
        <v/>
      </c>
      <c r="D126" s="13" t="str">
        <f aca="false">IF(ISNUMBER(C126),IF(C126=1,N(D125)+1,0),"")</f>
        <v/>
      </c>
      <c r="E126" s="14" t="str">
        <f aca="false">IF(ISNUMBER(B126),B126-(Results!$C$15+Results!$C$14*A126),"")</f>
        <v/>
      </c>
    </row>
    <row r="127" customFormat="false" ht="15" hidden="false" customHeight="false" outlineLevel="0" collapsed="false">
      <c r="A127" s="12"/>
      <c r="B127" s="12"/>
      <c r="C127" s="13" t="str">
        <f aca="false">IF(ISNUMBER(B127),IF(B127&gt;Results!$C$5,1,0),"")</f>
        <v/>
      </c>
      <c r="D127" s="13" t="str">
        <f aca="false">IF(ISNUMBER(C127),IF(C127=1,N(D126)+1,0),"")</f>
        <v/>
      </c>
      <c r="E127" s="14" t="str">
        <f aca="false">IF(ISNUMBER(B127),B127-(Results!$C$15+Results!$C$14*A127),"")</f>
        <v/>
      </c>
    </row>
    <row r="128" customFormat="false" ht="15" hidden="false" customHeight="false" outlineLevel="0" collapsed="false">
      <c r="A128" s="12"/>
      <c r="B128" s="12"/>
      <c r="C128" s="13" t="str">
        <f aca="false">IF(ISNUMBER(B128),IF(B128&gt;Results!$C$5,1,0),"")</f>
        <v/>
      </c>
      <c r="D128" s="13" t="str">
        <f aca="false">IF(ISNUMBER(C128),IF(C128=1,N(D127)+1,0),"")</f>
        <v/>
      </c>
      <c r="E128" s="14" t="str">
        <f aca="false">IF(ISNUMBER(B128),B128-(Results!$C$15+Results!$C$14*A128),"")</f>
        <v/>
      </c>
    </row>
    <row r="129" customFormat="false" ht="15" hidden="false" customHeight="false" outlineLevel="0" collapsed="false">
      <c r="A129" s="12"/>
      <c r="B129" s="12"/>
      <c r="C129" s="13" t="str">
        <f aca="false">IF(ISNUMBER(B129),IF(B129&gt;Results!$C$5,1,0),"")</f>
        <v/>
      </c>
      <c r="D129" s="13" t="str">
        <f aca="false">IF(ISNUMBER(C129),IF(C129=1,N(D128)+1,0),"")</f>
        <v/>
      </c>
      <c r="E129" s="14" t="str">
        <f aca="false">IF(ISNUMBER(B129),B129-(Results!$C$15+Results!$C$14*A129),"")</f>
        <v/>
      </c>
    </row>
    <row r="130" customFormat="false" ht="15" hidden="false" customHeight="false" outlineLevel="0" collapsed="false">
      <c r="A130" s="12"/>
      <c r="B130" s="12"/>
      <c r="C130" s="13" t="str">
        <f aca="false">IF(ISNUMBER(B130),IF(B130&gt;Results!$C$5,1,0),"")</f>
        <v/>
      </c>
      <c r="D130" s="13" t="str">
        <f aca="false">IF(ISNUMBER(C130),IF(C130=1,N(D129)+1,0),"")</f>
        <v/>
      </c>
      <c r="E130" s="14" t="str">
        <f aca="false">IF(ISNUMBER(B130),B130-(Results!$C$15+Results!$C$14*A130),"")</f>
        <v/>
      </c>
    </row>
    <row r="131" customFormat="false" ht="15" hidden="false" customHeight="false" outlineLevel="0" collapsed="false">
      <c r="A131" s="12"/>
      <c r="B131" s="12"/>
      <c r="C131" s="13" t="str">
        <f aca="false">IF(ISNUMBER(B131),IF(B131&gt;Results!$C$5,1,0),"")</f>
        <v/>
      </c>
      <c r="D131" s="13" t="str">
        <f aca="false">IF(ISNUMBER(C131),IF(C131=1,N(D130)+1,0),"")</f>
        <v/>
      </c>
      <c r="E131" s="14" t="str">
        <f aca="false">IF(ISNUMBER(B131),B131-(Results!$C$15+Results!$C$14*A131),"")</f>
        <v/>
      </c>
    </row>
    <row r="132" customFormat="false" ht="15" hidden="false" customHeight="false" outlineLevel="0" collapsed="false">
      <c r="A132" s="12"/>
      <c r="B132" s="12"/>
      <c r="C132" s="13" t="str">
        <f aca="false">IF(ISNUMBER(B132),IF(B132&gt;Results!$C$5,1,0),"")</f>
        <v/>
      </c>
      <c r="D132" s="13" t="str">
        <f aca="false">IF(ISNUMBER(C132),IF(C132=1,N(D131)+1,0),"")</f>
        <v/>
      </c>
      <c r="E132" s="14" t="str">
        <f aca="false">IF(ISNUMBER(B132),B132-(Results!$C$15+Results!$C$14*A132),"")</f>
        <v/>
      </c>
    </row>
    <row r="133" customFormat="false" ht="15" hidden="false" customHeight="false" outlineLevel="0" collapsed="false">
      <c r="A133" s="12"/>
      <c r="B133" s="12"/>
      <c r="C133" s="13" t="str">
        <f aca="false">IF(ISNUMBER(B133),IF(B133&gt;Results!$C$5,1,0),"")</f>
        <v/>
      </c>
      <c r="D133" s="13" t="str">
        <f aca="false">IF(ISNUMBER(C133),IF(C133=1,N(D132)+1,0),"")</f>
        <v/>
      </c>
      <c r="E133" s="14" t="str">
        <f aca="false">IF(ISNUMBER(B133),B133-(Results!$C$15+Results!$C$14*A133),"")</f>
        <v/>
      </c>
    </row>
    <row r="134" customFormat="false" ht="15" hidden="false" customHeight="false" outlineLevel="0" collapsed="false">
      <c r="A134" s="12"/>
      <c r="B134" s="12"/>
      <c r="C134" s="13" t="str">
        <f aca="false">IF(ISNUMBER(B134),IF(B134&gt;Results!$C$5,1,0),"")</f>
        <v/>
      </c>
      <c r="D134" s="13" t="str">
        <f aca="false">IF(ISNUMBER(C134),IF(C134=1,N(D133)+1,0),"")</f>
        <v/>
      </c>
      <c r="E134" s="14" t="str">
        <f aca="false">IF(ISNUMBER(B134),B134-(Results!$C$15+Results!$C$14*A134),"")</f>
        <v/>
      </c>
    </row>
    <row r="135" customFormat="false" ht="15" hidden="false" customHeight="false" outlineLevel="0" collapsed="false">
      <c r="A135" s="12"/>
      <c r="B135" s="12"/>
      <c r="C135" s="13" t="str">
        <f aca="false">IF(ISNUMBER(B135),IF(B135&gt;Results!$C$5,1,0),"")</f>
        <v/>
      </c>
      <c r="D135" s="13" t="str">
        <f aca="false">IF(ISNUMBER(C135),IF(C135=1,N(D134)+1,0),"")</f>
        <v/>
      </c>
      <c r="E135" s="14" t="str">
        <f aca="false">IF(ISNUMBER(B135),B135-(Results!$C$15+Results!$C$14*A135),"")</f>
        <v/>
      </c>
    </row>
    <row r="136" customFormat="false" ht="15" hidden="false" customHeight="false" outlineLevel="0" collapsed="false">
      <c r="A136" s="12"/>
      <c r="B136" s="12"/>
      <c r="C136" s="13" t="str">
        <f aca="false">IF(ISNUMBER(B136),IF(B136&gt;Results!$C$5,1,0),"")</f>
        <v/>
      </c>
      <c r="D136" s="13" t="str">
        <f aca="false">IF(ISNUMBER(C136),IF(C136=1,N(D135)+1,0),"")</f>
        <v/>
      </c>
      <c r="E136" s="14" t="str">
        <f aca="false">IF(ISNUMBER(B136),B136-(Results!$C$15+Results!$C$14*A136),"")</f>
        <v/>
      </c>
    </row>
    <row r="137" customFormat="false" ht="15" hidden="false" customHeight="false" outlineLevel="0" collapsed="false">
      <c r="A137" s="12"/>
      <c r="B137" s="12"/>
      <c r="C137" s="13" t="str">
        <f aca="false">IF(ISNUMBER(B137),IF(B137&gt;Results!$C$5,1,0),"")</f>
        <v/>
      </c>
      <c r="D137" s="13" t="str">
        <f aca="false">IF(ISNUMBER(C137),IF(C137=1,N(D136)+1,0),"")</f>
        <v/>
      </c>
      <c r="E137" s="14" t="str">
        <f aca="false">IF(ISNUMBER(B137),B137-(Results!$C$15+Results!$C$14*A137),"")</f>
        <v/>
      </c>
    </row>
    <row r="138" customFormat="false" ht="15" hidden="false" customHeight="false" outlineLevel="0" collapsed="false">
      <c r="A138" s="12"/>
      <c r="B138" s="12"/>
      <c r="C138" s="13" t="str">
        <f aca="false">IF(ISNUMBER(B138),IF(B138&gt;Results!$C$5,1,0),"")</f>
        <v/>
      </c>
      <c r="D138" s="13" t="str">
        <f aca="false">IF(ISNUMBER(C138),IF(C138=1,N(D137)+1,0),"")</f>
        <v/>
      </c>
      <c r="E138" s="14" t="str">
        <f aca="false">IF(ISNUMBER(B138),B138-(Results!$C$15+Results!$C$14*A138),"")</f>
        <v/>
      </c>
    </row>
    <row r="139" customFormat="false" ht="15" hidden="false" customHeight="false" outlineLevel="0" collapsed="false">
      <c r="A139" s="12"/>
      <c r="B139" s="12"/>
      <c r="C139" s="13" t="str">
        <f aca="false">IF(ISNUMBER(B139),IF(B139&gt;Results!$C$5,1,0),"")</f>
        <v/>
      </c>
      <c r="D139" s="13" t="str">
        <f aca="false">IF(ISNUMBER(C139),IF(C139=1,N(D138)+1,0),"")</f>
        <v/>
      </c>
      <c r="E139" s="14" t="str">
        <f aca="false">IF(ISNUMBER(B139),B139-(Results!$C$15+Results!$C$14*A139),"")</f>
        <v/>
      </c>
    </row>
    <row r="140" customFormat="false" ht="15" hidden="false" customHeight="false" outlineLevel="0" collapsed="false">
      <c r="A140" s="12"/>
      <c r="B140" s="12"/>
      <c r="C140" s="13" t="str">
        <f aca="false">IF(ISNUMBER(B140),IF(B140&gt;Results!$C$5,1,0),"")</f>
        <v/>
      </c>
      <c r="D140" s="13" t="str">
        <f aca="false">IF(ISNUMBER(C140),IF(C140=1,N(D139)+1,0),"")</f>
        <v/>
      </c>
      <c r="E140" s="14" t="str">
        <f aca="false">IF(ISNUMBER(B140),B140-(Results!$C$15+Results!$C$14*A140),"")</f>
        <v/>
      </c>
    </row>
    <row r="141" customFormat="false" ht="15" hidden="false" customHeight="false" outlineLevel="0" collapsed="false">
      <c r="A141" s="12"/>
      <c r="B141" s="12"/>
      <c r="C141" s="13" t="str">
        <f aca="false">IF(ISNUMBER(B141),IF(B141&gt;Results!$C$5,1,0),"")</f>
        <v/>
      </c>
      <c r="D141" s="13" t="str">
        <f aca="false">IF(ISNUMBER(C141),IF(C141=1,N(D140)+1,0),"")</f>
        <v/>
      </c>
      <c r="E141" s="14" t="str">
        <f aca="false">IF(ISNUMBER(B141),B141-(Results!$C$15+Results!$C$14*A141),"")</f>
        <v/>
      </c>
    </row>
    <row r="142" customFormat="false" ht="15" hidden="false" customHeight="false" outlineLevel="0" collapsed="false">
      <c r="A142" s="12"/>
      <c r="B142" s="12"/>
      <c r="C142" s="13" t="str">
        <f aca="false">IF(ISNUMBER(B142),IF(B142&gt;Results!$C$5,1,0),"")</f>
        <v/>
      </c>
      <c r="D142" s="13" t="str">
        <f aca="false">IF(ISNUMBER(C142),IF(C142=1,N(D141)+1,0),"")</f>
        <v/>
      </c>
      <c r="E142" s="14" t="str">
        <f aca="false">IF(ISNUMBER(B142),B142-(Results!$C$15+Results!$C$14*A142),"")</f>
        <v/>
      </c>
    </row>
    <row r="143" customFormat="false" ht="15" hidden="false" customHeight="false" outlineLevel="0" collapsed="false">
      <c r="A143" s="12"/>
      <c r="B143" s="12"/>
      <c r="C143" s="13" t="str">
        <f aca="false">IF(ISNUMBER(B143),IF(B143&gt;Results!$C$5,1,0),"")</f>
        <v/>
      </c>
      <c r="D143" s="13" t="str">
        <f aca="false">IF(ISNUMBER(C143),IF(C143=1,N(D142)+1,0),"")</f>
        <v/>
      </c>
      <c r="E143" s="14" t="str">
        <f aca="false">IF(ISNUMBER(B143),B143-(Results!$C$15+Results!$C$14*A143),"")</f>
        <v/>
      </c>
    </row>
    <row r="144" customFormat="false" ht="15" hidden="false" customHeight="false" outlineLevel="0" collapsed="false">
      <c r="A144" s="12"/>
      <c r="B144" s="12"/>
      <c r="C144" s="13" t="str">
        <f aca="false">IF(ISNUMBER(B144),IF(B144&gt;Results!$C$5,1,0),"")</f>
        <v/>
      </c>
      <c r="D144" s="13" t="str">
        <f aca="false">IF(ISNUMBER(C144),IF(C144=1,N(D143)+1,0),"")</f>
        <v/>
      </c>
      <c r="E144" s="14" t="str">
        <f aca="false">IF(ISNUMBER(B144),B144-(Results!$C$15+Results!$C$14*A144),"")</f>
        <v/>
      </c>
    </row>
    <row r="145" customFormat="false" ht="15" hidden="false" customHeight="false" outlineLevel="0" collapsed="false">
      <c r="A145" s="12"/>
      <c r="B145" s="12"/>
      <c r="C145" s="13" t="str">
        <f aca="false">IF(ISNUMBER(B145),IF(B145&gt;Results!$C$5,1,0),"")</f>
        <v/>
      </c>
      <c r="D145" s="13" t="str">
        <f aca="false">IF(ISNUMBER(C145),IF(C145=1,N(D144)+1,0),"")</f>
        <v/>
      </c>
      <c r="E145" s="14" t="str">
        <f aca="false">IF(ISNUMBER(B145),B145-(Results!$C$15+Results!$C$14*A145),"")</f>
        <v/>
      </c>
    </row>
    <row r="146" customFormat="false" ht="15" hidden="false" customHeight="false" outlineLevel="0" collapsed="false">
      <c r="A146" s="12"/>
      <c r="B146" s="12"/>
      <c r="C146" s="13" t="str">
        <f aca="false">IF(ISNUMBER(B146),IF(B146&gt;Results!$C$5,1,0),"")</f>
        <v/>
      </c>
      <c r="D146" s="13" t="str">
        <f aca="false">IF(ISNUMBER(C146),IF(C146=1,N(D145)+1,0),"")</f>
        <v/>
      </c>
      <c r="E146" s="14" t="str">
        <f aca="false">IF(ISNUMBER(B146),B146-(Results!$C$15+Results!$C$14*A146),"")</f>
        <v/>
      </c>
    </row>
    <row r="147" customFormat="false" ht="15" hidden="false" customHeight="false" outlineLevel="0" collapsed="false">
      <c r="A147" s="12"/>
      <c r="B147" s="12"/>
      <c r="C147" s="13" t="str">
        <f aca="false">IF(ISNUMBER(B147),IF(B147&gt;Results!$C$5,1,0),"")</f>
        <v/>
      </c>
      <c r="D147" s="13" t="str">
        <f aca="false">IF(ISNUMBER(C147),IF(C147=1,N(D146)+1,0),"")</f>
        <v/>
      </c>
      <c r="E147" s="14" t="str">
        <f aca="false">IF(ISNUMBER(B147),B147-(Results!$C$15+Results!$C$14*A147),"")</f>
        <v/>
      </c>
    </row>
    <row r="148" customFormat="false" ht="15" hidden="false" customHeight="false" outlineLevel="0" collapsed="false">
      <c r="A148" s="12"/>
      <c r="B148" s="12"/>
      <c r="C148" s="13" t="str">
        <f aca="false">IF(ISNUMBER(B148),IF(B148&gt;Results!$C$5,1,0),"")</f>
        <v/>
      </c>
      <c r="D148" s="13" t="str">
        <f aca="false">IF(ISNUMBER(C148),IF(C148=1,N(D147)+1,0),"")</f>
        <v/>
      </c>
      <c r="E148" s="14" t="str">
        <f aca="false">IF(ISNUMBER(B148),B148-(Results!$C$15+Results!$C$14*A148),"")</f>
        <v/>
      </c>
    </row>
    <row r="149" customFormat="false" ht="15" hidden="false" customHeight="false" outlineLevel="0" collapsed="false">
      <c r="A149" s="12"/>
      <c r="B149" s="12"/>
      <c r="C149" s="13" t="str">
        <f aca="false">IF(ISNUMBER(B149),IF(B149&gt;Results!$C$5,1,0),"")</f>
        <v/>
      </c>
      <c r="D149" s="13" t="str">
        <f aca="false">IF(ISNUMBER(C149),IF(C149=1,N(D148)+1,0),"")</f>
        <v/>
      </c>
      <c r="E149" s="14" t="str">
        <f aca="false">IF(ISNUMBER(B149),B149-(Results!$C$15+Results!$C$14*A149),"")</f>
        <v/>
      </c>
    </row>
    <row r="150" customFormat="false" ht="15" hidden="false" customHeight="false" outlineLevel="0" collapsed="false">
      <c r="A150" s="12"/>
      <c r="B150" s="12"/>
      <c r="C150" s="13" t="str">
        <f aca="false">IF(ISNUMBER(B150),IF(B150&gt;Results!$C$5,1,0),"")</f>
        <v/>
      </c>
      <c r="D150" s="13" t="str">
        <f aca="false">IF(ISNUMBER(C150),IF(C150=1,N(D149)+1,0),"")</f>
        <v/>
      </c>
      <c r="E150" s="14" t="str">
        <f aca="false">IF(ISNUMBER(B150),B150-(Results!$C$15+Results!$C$14*A150),"")</f>
        <v/>
      </c>
    </row>
    <row r="151" customFormat="false" ht="15" hidden="false" customHeight="false" outlineLevel="0" collapsed="false">
      <c r="A151" s="12"/>
      <c r="B151" s="12"/>
      <c r="C151" s="13" t="str">
        <f aca="false">IF(ISNUMBER(B151),IF(B151&gt;Results!$C$5,1,0),"")</f>
        <v/>
      </c>
      <c r="D151" s="13" t="str">
        <f aca="false">IF(ISNUMBER(C151),IF(C151=1,N(D150)+1,0),"")</f>
        <v/>
      </c>
      <c r="E151" s="14" t="str">
        <f aca="false">IF(ISNUMBER(B151),B151-(Results!$C$15+Results!$C$14*A151),"")</f>
        <v/>
      </c>
    </row>
    <row r="152" customFormat="false" ht="15" hidden="false" customHeight="false" outlineLevel="0" collapsed="false">
      <c r="A152" s="12"/>
      <c r="B152" s="12"/>
      <c r="C152" s="13" t="str">
        <f aca="false">IF(ISNUMBER(B152),IF(B152&gt;Results!$C$5,1,0),"")</f>
        <v/>
      </c>
      <c r="D152" s="13" t="str">
        <f aca="false">IF(ISNUMBER(C152),IF(C152=1,N(D151)+1,0),"")</f>
        <v/>
      </c>
      <c r="E152" s="14" t="str">
        <f aca="false">IF(ISNUMBER(B152),B152-(Results!$C$15+Results!$C$14*A152),"")</f>
        <v/>
      </c>
    </row>
    <row r="153" customFormat="false" ht="15" hidden="false" customHeight="false" outlineLevel="0" collapsed="false">
      <c r="A153" s="12"/>
      <c r="B153" s="12"/>
      <c r="C153" s="13" t="str">
        <f aca="false">IF(ISNUMBER(B153),IF(B153&gt;Results!$C$5,1,0),"")</f>
        <v/>
      </c>
      <c r="D153" s="13" t="str">
        <f aca="false">IF(ISNUMBER(C153),IF(C153=1,N(D152)+1,0),"")</f>
        <v/>
      </c>
      <c r="E153" s="14" t="str">
        <f aca="false">IF(ISNUMBER(B153),B153-(Results!$C$15+Results!$C$14*A153),"")</f>
        <v/>
      </c>
    </row>
    <row r="154" customFormat="false" ht="15" hidden="false" customHeight="false" outlineLevel="0" collapsed="false">
      <c r="A154" s="12"/>
      <c r="B154" s="12"/>
      <c r="C154" s="13" t="str">
        <f aca="false">IF(ISNUMBER(B154),IF(B154&gt;Results!$C$5,1,0),"")</f>
        <v/>
      </c>
      <c r="D154" s="13" t="str">
        <f aca="false">IF(ISNUMBER(C154),IF(C154=1,N(D153)+1,0),"")</f>
        <v/>
      </c>
      <c r="E154" s="14" t="str">
        <f aca="false">IF(ISNUMBER(B154),B154-(Results!$C$15+Results!$C$14*A154),"")</f>
        <v/>
      </c>
    </row>
    <row r="155" customFormat="false" ht="15" hidden="false" customHeight="false" outlineLevel="0" collapsed="false">
      <c r="A155" s="12"/>
      <c r="B155" s="12"/>
      <c r="C155" s="13" t="str">
        <f aca="false">IF(ISNUMBER(B155),IF(B155&gt;Results!$C$5,1,0),"")</f>
        <v/>
      </c>
      <c r="D155" s="13" t="str">
        <f aca="false">IF(ISNUMBER(C155),IF(C155=1,N(D154)+1,0),"")</f>
        <v/>
      </c>
      <c r="E155" s="14" t="str">
        <f aca="false">IF(ISNUMBER(B155),B155-(Results!$C$15+Results!$C$14*A155),"")</f>
        <v/>
      </c>
    </row>
    <row r="156" customFormat="false" ht="15" hidden="false" customHeight="false" outlineLevel="0" collapsed="false">
      <c r="A156" s="12"/>
      <c r="B156" s="12"/>
      <c r="C156" s="13" t="str">
        <f aca="false">IF(ISNUMBER(B156),IF(B156&gt;Results!$C$5,1,0),"")</f>
        <v/>
      </c>
      <c r="D156" s="13" t="str">
        <f aca="false">IF(ISNUMBER(C156),IF(C156=1,N(D155)+1,0),"")</f>
        <v/>
      </c>
      <c r="E156" s="14" t="str">
        <f aca="false">IF(ISNUMBER(B156),B156-(Results!$C$15+Results!$C$14*A156),"")</f>
        <v/>
      </c>
    </row>
    <row r="157" customFormat="false" ht="15" hidden="false" customHeight="false" outlineLevel="0" collapsed="false">
      <c r="A157" s="12"/>
      <c r="B157" s="12"/>
      <c r="C157" s="13" t="str">
        <f aca="false">IF(ISNUMBER(B157),IF(B157&gt;Results!$C$5,1,0),"")</f>
        <v/>
      </c>
      <c r="D157" s="13" t="str">
        <f aca="false">IF(ISNUMBER(C157),IF(C157=1,N(D156)+1,0),"")</f>
        <v/>
      </c>
      <c r="E157" s="14" t="str">
        <f aca="false">IF(ISNUMBER(B157),B157-(Results!$C$15+Results!$C$14*A157),"")</f>
        <v/>
      </c>
    </row>
    <row r="158" customFormat="false" ht="15" hidden="false" customHeight="false" outlineLevel="0" collapsed="false">
      <c r="A158" s="12"/>
      <c r="B158" s="12"/>
      <c r="C158" s="13" t="str">
        <f aca="false">IF(ISNUMBER(B158),IF(B158&gt;Results!$C$5,1,0),"")</f>
        <v/>
      </c>
      <c r="D158" s="13" t="str">
        <f aca="false">IF(ISNUMBER(C158),IF(C158=1,N(D157)+1,0),"")</f>
        <v/>
      </c>
      <c r="E158" s="14" t="str">
        <f aca="false">IF(ISNUMBER(B158),B158-(Results!$C$15+Results!$C$14*A158),"")</f>
        <v/>
      </c>
    </row>
    <row r="159" customFormat="false" ht="15" hidden="false" customHeight="false" outlineLevel="0" collapsed="false">
      <c r="A159" s="12"/>
      <c r="B159" s="12"/>
      <c r="C159" s="13" t="str">
        <f aca="false">IF(ISNUMBER(B159),IF(B159&gt;Results!$C$5,1,0),"")</f>
        <v/>
      </c>
      <c r="D159" s="13" t="str">
        <f aca="false">IF(ISNUMBER(C159),IF(C159=1,N(D158)+1,0),"")</f>
        <v/>
      </c>
      <c r="E159" s="14" t="str">
        <f aca="false">IF(ISNUMBER(B159),B159-(Results!$C$15+Results!$C$14*A159),"")</f>
        <v/>
      </c>
    </row>
    <row r="160" customFormat="false" ht="15" hidden="false" customHeight="false" outlineLevel="0" collapsed="false">
      <c r="A160" s="12"/>
      <c r="B160" s="12"/>
      <c r="C160" s="13" t="str">
        <f aca="false">IF(ISNUMBER(B160),IF(B160&gt;Results!$C$5,1,0),"")</f>
        <v/>
      </c>
      <c r="D160" s="13" t="str">
        <f aca="false">IF(ISNUMBER(C160),IF(C160=1,N(D159)+1,0),"")</f>
        <v/>
      </c>
      <c r="E160" s="14" t="str">
        <f aca="false">IF(ISNUMBER(B160),B160-(Results!$C$15+Results!$C$14*A160),"")</f>
        <v/>
      </c>
    </row>
    <row r="161" customFormat="false" ht="15" hidden="false" customHeight="false" outlineLevel="0" collapsed="false">
      <c r="A161" s="12"/>
      <c r="B161" s="12"/>
      <c r="C161" s="13" t="str">
        <f aca="false">IF(ISNUMBER(B161),IF(B161&gt;Results!$C$5,1,0),"")</f>
        <v/>
      </c>
      <c r="D161" s="13" t="str">
        <f aca="false">IF(ISNUMBER(C161),IF(C161=1,N(D160)+1,0),"")</f>
        <v/>
      </c>
      <c r="E161" s="14" t="str">
        <f aca="false">IF(ISNUMBER(B161),B161-(Results!$C$15+Results!$C$14*A161),"")</f>
        <v/>
      </c>
    </row>
    <row r="162" customFormat="false" ht="15" hidden="false" customHeight="false" outlineLevel="0" collapsed="false">
      <c r="A162" s="12"/>
      <c r="B162" s="12"/>
      <c r="C162" s="13" t="str">
        <f aca="false">IF(ISNUMBER(B162),IF(B162&gt;Results!$C$5,1,0),"")</f>
        <v/>
      </c>
      <c r="D162" s="13" t="str">
        <f aca="false">IF(ISNUMBER(C162),IF(C162=1,N(D161)+1,0),"")</f>
        <v/>
      </c>
      <c r="E162" s="14" t="str">
        <f aca="false">IF(ISNUMBER(B162),B162-(Results!$C$15+Results!$C$14*A162),"")</f>
        <v/>
      </c>
    </row>
    <row r="163" customFormat="false" ht="15" hidden="false" customHeight="false" outlineLevel="0" collapsed="false">
      <c r="A163" s="12"/>
      <c r="B163" s="12"/>
      <c r="C163" s="13" t="str">
        <f aca="false">IF(ISNUMBER(B163),IF(B163&gt;Results!$C$5,1,0),"")</f>
        <v/>
      </c>
      <c r="D163" s="13" t="str">
        <f aca="false">IF(ISNUMBER(C163),IF(C163=1,N(D162)+1,0),"")</f>
        <v/>
      </c>
      <c r="E163" s="14" t="str">
        <f aca="false">IF(ISNUMBER(B163),B163-(Results!$C$15+Results!$C$14*A163),"")</f>
        <v/>
      </c>
    </row>
    <row r="164" customFormat="false" ht="15" hidden="false" customHeight="false" outlineLevel="0" collapsed="false">
      <c r="A164" s="12"/>
      <c r="B164" s="12"/>
      <c r="C164" s="13" t="str">
        <f aca="false">IF(ISNUMBER(B164),IF(B164&gt;Results!$C$5,1,0),"")</f>
        <v/>
      </c>
      <c r="D164" s="13" t="str">
        <f aca="false">IF(ISNUMBER(C164),IF(C164=1,N(D163)+1,0),"")</f>
        <v/>
      </c>
      <c r="E164" s="14" t="str">
        <f aca="false">IF(ISNUMBER(B164),B164-(Results!$C$15+Results!$C$14*A164),"")</f>
        <v/>
      </c>
    </row>
    <row r="165" customFormat="false" ht="15" hidden="false" customHeight="false" outlineLevel="0" collapsed="false">
      <c r="A165" s="12"/>
      <c r="B165" s="12"/>
      <c r="C165" s="13" t="str">
        <f aca="false">IF(ISNUMBER(B165),IF(B165&gt;Results!$C$5,1,0),"")</f>
        <v/>
      </c>
      <c r="D165" s="13" t="str">
        <f aca="false">IF(ISNUMBER(C165),IF(C165=1,N(D164)+1,0),"")</f>
        <v/>
      </c>
      <c r="E165" s="14" t="str">
        <f aca="false">IF(ISNUMBER(B165),B165-(Results!$C$15+Results!$C$14*A165),"")</f>
        <v/>
      </c>
    </row>
    <row r="166" customFormat="false" ht="15" hidden="false" customHeight="false" outlineLevel="0" collapsed="false">
      <c r="A166" s="12"/>
      <c r="B166" s="12"/>
      <c r="C166" s="13" t="str">
        <f aca="false">IF(ISNUMBER(B166),IF(B166&gt;Results!$C$5,1,0),"")</f>
        <v/>
      </c>
      <c r="D166" s="13" t="str">
        <f aca="false">IF(ISNUMBER(C166),IF(C166=1,N(D165)+1,0),"")</f>
        <v/>
      </c>
      <c r="E166" s="14" t="str">
        <f aca="false">IF(ISNUMBER(B166),B166-(Results!$C$15+Results!$C$14*A166),"")</f>
        <v/>
      </c>
    </row>
    <row r="167" customFormat="false" ht="15" hidden="false" customHeight="false" outlineLevel="0" collapsed="false">
      <c r="A167" s="12"/>
      <c r="B167" s="12"/>
      <c r="C167" s="13" t="str">
        <f aca="false">IF(ISNUMBER(B167),IF(B167&gt;Results!$C$5,1,0),"")</f>
        <v/>
      </c>
      <c r="D167" s="13" t="str">
        <f aca="false">IF(ISNUMBER(C167),IF(C167=1,N(D166)+1,0),"")</f>
        <v/>
      </c>
      <c r="E167" s="14" t="str">
        <f aca="false">IF(ISNUMBER(B167),B167-(Results!$C$15+Results!$C$14*A167),"")</f>
        <v/>
      </c>
    </row>
    <row r="168" customFormat="false" ht="15" hidden="false" customHeight="false" outlineLevel="0" collapsed="false">
      <c r="A168" s="12"/>
      <c r="B168" s="12"/>
      <c r="C168" s="13" t="str">
        <f aca="false">IF(ISNUMBER(B168),IF(B168&gt;Results!$C$5,1,0),"")</f>
        <v/>
      </c>
      <c r="D168" s="13" t="str">
        <f aca="false">IF(ISNUMBER(C168),IF(C168=1,N(D167)+1,0),"")</f>
        <v/>
      </c>
      <c r="E168" s="14" t="str">
        <f aca="false">IF(ISNUMBER(B168),B168-(Results!$C$15+Results!$C$14*A168),"")</f>
        <v/>
      </c>
    </row>
    <row r="169" customFormat="false" ht="15" hidden="false" customHeight="false" outlineLevel="0" collapsed="false">
      <c r="A169" s="12"/>
      <c r="B169" s="12"/>
      <c r="C169" s="13" t="str">
        <f aca="false">IF(ISNUMBER(B169),IF(B169&gt;Results!$C$5,1,0),"")</f>
        <v/>
      </c>
      <c r="D169" s="13" t="str">
        <f aca="false">IF(ISNUMBER(C169),IF(C169=1,N(D168)+1,0),"")</f>
        <v/>
      </c>
      <c r="E169" s="14" t="str">
        <f aca="false">IF(ISNUMBER(B169),B169-(Results!$C$15+Results!$C$14*A169),"")</f>
        <v/>
      </c>
    </row>
    <row r="170" customFormat="false" ht="15" hidden="false" customHeight="false" outlineLevel="0" collapsed="false">
      <c r="A170" s="12"/>
      <c r="B170" s="12"/>
      <c r="C170" s="13" t="str">
        <f aca="false">IF(ISNUMBER(B170),IF(B170&gt;Results!$C$5,1,0),"")</f>
        <v/>
      </c>
      <c r="D170" s="13" t="str">
        <f aca="false">IF(ISNUMBER(C170),IF(C170=1,N(D169)+1,0),"")</f>
        <v/>
      </c>
      <c r="E170" s="14" t="str">
        <f aca="false">IF(ISNUMBER(B170),B170-(Results!$C$15+Results!$C$14*A170),"")</f>
        <v/>
      </c>
    </row>
    <row r="171" customFormat="false" ht="15" hidden="false" customHeight="false" outlineLevel="0" collapsed="false">
      <c r="A171" s="12"/>
      <c r="B171" s="12"/>
      <c r="C171" s="13" t="str">
        <f aca="false">IF(ISNUMBER(B171),IF(B171&gt;Results!$C$5,1,0),"")</f>
        <v/>
      </c>
      <c r="D171" s="13" t="str">
        <f aca="false">IF(ISNUMBER(C171),IF(C171=1,N(D170)+1,0),"")</f>
        <v/>
      </c>
      <c r="E171" s="14" t="str">
        <f aca="false">IF(ISNUMBER(B171),B171-(Results!$C$15+Results!$C$14*A171),"")</f>
        <v/>
      </c>
    </row>
    <row r="172" customFormat="false" ht="15" hidden="false" customHeight="false" outlineLevel="0" collapsed="false">
      <c r="A172" s="12"/>
      <c r="B172" s="12"/>
      <c r="C172" s="13" t="str">
        <f aca="false">IF(ISNUMBER(B172),IF(B172&gt;Results!$C$5,1,0),"")</f>
        <v/>
      </c>
      <c r="D172" s="13" t="str">
        <f aca="false">IF(ISNUMBER(C172),IF(C172=1,N(D171)+1,0),"")</f>
        <v/>
      </c>
      <c r="E172" s="14" t="str">
        <f aca="false">IF(ISNUMBER(B172),B172-(Results!$C$15+Results!$C$14*A172),"")</f>
        <v/>
      </c>
    </row>
    <row r="173" customFormat="false" ht="15" hidden="false" customHeight="false" outlineLevel="0" collapsed="false">
      <c r="A173" s="12"/>
      <c r="B173" s="12"/>
      <c r="C173" s="13" t="str">
        <f aca="false">IF(ISNUMBER(B173),IF(B173&gt;Results!$C$5,1,0),"")</f>
        <v/>
      </c>
      <c r="D173" s="13" t="str">
        <f aca="false">IF(ISNUMBER(C173),IF(C173=1,N(D172)+1,0),"")</f>
        <v/>
      </c>
      <c r="E173" s="14" t="str">
        <f aca="false">IF(ISNUMBER(B173),B173-(Results!$C$15+Results!$C$14*A173),"")</f>
        <v/>
      </c>
    </row>
    <row r="174" customFormat="false" ht="15" hidden="false" customHeight="false" outlineLevel="0" collapsed="false">
      <c r="A174" s="12"/>
      <c r="B174" s="12"/>
      <c r="C174" s="13" t="str">
        <f aca="false">IF(ISNUMBER(B174),IF(B174&gt;Results!$C$5,1,0),"")</f>
        <v/>
      </c>
      <c r="D174" s="13" t="str">
        <f aca="false">IF(ISNUMBER(C174),IF(C174=1,N(D173)+1,0),"")</f>
        <v/>
      </c>
      <c r="E174" s="14" t="str">
        <f aca="false">IF(ISNUMBER(B174),B174-(Results!$C$15+Results!$C$14*A174),"")</f>
        <v/>
      </c>
    </row>
    <row r="175" customFormat="false" ht="15" hidden="false" customHeight="false" outlineLevel="0" collapsed="false">
      <c r="A175" s="12"/>
      <c r="B175" s="12"/>
      <c r="C175" s="13" t="str">
        <f aca="false">IF(ISNUMBER(B175),IF(B175&gt;Results!$C$5,1,0),"")</f>
        <v/>
      </c>
      <c r="D175" s="13" t="str">
        <f aca="false">IF(ISNUMBER(C175),IF(C175=1,N(D174)+1,0),"")</f>
        <v/>
      </c>
      <c r="E175" s="14" t="str">
        <f aca="false">IF(ISNUMBER(B175),B175-(Results!$C$15+Results!$C$14*A175),"")</f>
        <v/>
      </c>
    </row>
    <row r="176" customFormat="false" ht="15" hidden="false" customHeight="false" outlineLevel="0" collapsed="false">
      <c r="A176" s="12"/>
      <c r="B176" s="12"/>
      <c r="C176" s="13" t="str">
        <f aca="false">IF(ISNUMBER(B176),IF(B176&gt;Results!$C$5,1,0),"")</f>
        <v/>
      </c>
      <c r="D176" s="13" t="str">
        <f aca="false">IF(ISNUMBER(C176),IF(C176=1,N(D175)+1,0),"")</f>
        <v/>
      </c>
      <c r="E176" s="14" t="str">
        <f aca="false">IF(ISNUMBER(B176),B176-(Results!$C$15+Results!$C$14*A176),"")</f>
        <v/>
      </c>
    </row>
    <row r="177" customFormat="false" ht="15" hidden="false" customHeight="false" outlineLevel="0" collapsed="false">
      <c r="A177" s="12"/>
      <c r="B177" s="12"/>
      <c r="C177" s="13" t="str">
        <f aca="false">IF(ISNUMBER(B177),IF(B177&gt;Results!$C$5,1,0),"")</f>
        <v/>
      </c>
      <c r="D177" s="13" t="str">
        <f aca="false">IF(ISNUMBER(C177),IF(C177=1,N(D176)+1,0),"")</f>
        <v/>
      </c>
      <c r="E177" s="14" t="str">
        <f aca="false">IF(ISNUMBER(B177),B177-(Results!$C$15+Results!$C$14*A177),"")</f>
        <v/>
      </c>
    </row>
    <row r="178" customFormat="false" ht="15" hidden="false" customHeight="false" outlineLevel="0" collapsed="false">
      <c r="A178" s="12"/>
      <c r="B178" s="12"/>
      <c r="C178" s="13" t="str">
        <f aca="false">IF(ISNUMBER(B178),IF(B178&gt;Results!$C$5,1,0),"")</f>
        <v/>
      </c>
      <c r="D178" s="13" t="str">
        <f aca="false">IF(ISNUMBER(C178),IF(C178=1,N(D177)+1,0),"")</f>
        <v/>
      </c>
      <c r="E178" s="14" t="str">
        <f aca="false">IF(ISNUMBER(B178),B178-(Results!$C$15+Results!$C$14*A178),"")</f>
        <v/>
      </c>
    </row>
    <row r="179" customFormat="false" ht="15" hidden="false" customHeight="false" outlineLevel="0" collapsed="false">
      <c r="A179" s="12"/>
      <c r="B179" s="12"/>
      <c r="C179" s="13" t="str">
        <f aca="false">IF(ISNUMBER(B179),IF(B179&gt;Results!$C$5,1,0),"")</f>
        <v/>
      </c>
      <c r="D179" s="13" t="str">
        <f aca="false">IF(ISNUMBER(C179),IF(C179=1,N(D178)+1,0),"")</f>
        <v/>
      </c>
      <c r="E179" s="14" t="str">
        <f aca="false">IF(ISNUMBER(B179),B179-(Results!$C$15+Results!$C$14*A179),"")</f>
        <v/>
      </c>
    </row>
    <row r="180" customFormat="false" ht="15" hidden="false" customHeight="false" outlineLevel="0" collapsed="false">
      <c r="A180" s="12"/>
      <c r="B180" s="12"/>
      <c r="C180" s="13" t="str">
        <f aca="false">IF(ISNUMBER(B180),IF(B180&gt;Results!$C$5,1,0),"")</f>
        <v/>
      </c>
      <c r="D180" s="13" t="str">
        <f aca="false">IF(ISNUMBER(C180),IF(C180=1,N(D179)+1,0),"")</f>
        <v/>
      </c>
      <c r="E180" s="14" t="str">
        <f aca="false">IF(ISNUMBER(B180),B180-(Results!$C$15+Results!$C$14*A180),"")</f>
        <v/>
      </c>
    </row>
    <row r="181" customFormat="false" ht="15" hidden="false" customHeight="false" outlineLevel="0" collapsed="false">
      <c r="A181" s="12"/>
      <c r="B181" s="12"/>
      <c r="C181" s="13" t="str">
        <f aca="false">IF(ISNUMBER(B181),IF(B181&gt;Results!$C$5,1,0),"")</f>
        <v/>
      </c>
      <c r="D181" s="13" t="str">
        <f aca="false">IF(ISNUMBER(C181),IF(C181=1,N(D180)+1,0),"")</f>
        <v/>
      </c>
      <c r="E181" s="14" t="str">
        <f aca="false">IF(ISNUMBER(B181),B181-(Results!$C$15+Results!$C$14*A181),"")</f>
        <v/>
      </c>
    </row>
    <row r="182" customFormat="false" ht="15" hidden="false" customHeight="false" outlineLevel="0" collapsed="false">
      <c r="A182" s="12"/>
      <c r="B182" s="12"/>
      <c r="C182" s="13" t="str">
        <f aca="false">IF(ISNUMBER(B182),IF(B182&gt;Results!$C$5,1,0),"")</f>
        <v/>
      </c>
      <c r="D182" s="13" t="str">
        <f aca="false">IF(ISNUMBER(C182),IF(C182=1,N(D181)+1,0),"")</f>
        <v/>
      </c>
      <c r="E182" s="14" t="str">
        <f aca="false">IF(ISNUMBER(B182),B182-(Results!$C$15+Results!$C$14*A182),"")</f>
        <v/>
      </c>
    </row>
    <row r="183" customFormat="false" ht="15" hidden="false" customHeight="false" outlineLevel="0" collapsed="false">
      <c r="A183" s="12"/>
      <c r="B183" s="12"/>
      <c r="C183" s="13" t="str">
        <f aca="false">IF(ISNUMBER(B183),IF(B183&gt;Results!$C$5,1,0),"")</f>
        <v/>
      </c>
      <c r="D183" s="13" t="str">
        <f aca="false">IF(ISNUMBER(C183),IF(C183=1,N(D182)+1,0),"")</f>
        <v/>
      </c>
      <c r="E183" s="14" t="str">
        <f aca="false">IF(ISNUMBER(B183),B183-(Results!$C$15+Results!$C$14*A183),"")</f>
        <v/>
      </c>
    </row>
    <row r="184" customFormat="false" ht="15" hidden="false" customHeight="false" outlineLevel="0" collapsed="false">
      <c r="A184" s="12"/>
      <c r="B184" s="12"/>
      <c r="C184" s="13" t="str">
        <f aca="false">IF(ISNUMBER(B184),IF(B184&gt;Results!$C$5,1,0),"")</f>
        <v/>
      </c>
      <c r="D184" s="13" t="str">
        <f aca="false">IF(ISNUMBER(C184),IF(C184=1,N(D183)+1,0),"")</f>
        <v/>
      </c>
      <c r="E184" s="14" t="str">
        <f aca="false">IF(ISNUMBER(B184),B184-(Results!$C$15+Results!$C$14*A184),"")</f>
        <v/>
      </c>
    </row>
    <row r="185" customFormat="false" ht="15" hidden="false" customHeight="false" outlineLevel="0" collapsed="false">
      <c r="A185" s="12"/>
      <c r="B185" s="12"/>
      <c r="C185" s="13" t="str">
        <f aca="false">IF(ISNUMBER(B185),IF(B185&gt;Results!$C$5,1,0),"")</f>
        <v/>
      </c>
      <c r="D185" s="13" t="str">
        <f aca="false">IF(ISNUMBER(C185),IF(C185=1,N(D184)+1,0),"")</f>
        <v/>
      </c>
      <c r="E185" s="14" t="str">
        <f aca="false">IF(ISNUMBER(B185),B185-(Results!$C$15+Results!$C$14*A185),"")</f>
        <v/>
      </c>
    </row>
    <row r="186" customFormat="false" ht="15" hidden="false" customHeight="false" outlineLevel="0" collapsed="false">
      <c r="A186" s="12"/>
      <c r="B186" s="12"/>
      <c r="C186" s="13" t="str">
        <f aca="false">IF(ISNUMBER(B186),IF(B186&gt;Results!$C$5,1,0),"")</f>
        <v/>
      </c>
      <c r="D186" s="13" t="str">
        <f aca="false">IF(ISNUMBER(C186),IF(C186=1,N(D185)+1,0),"")</f>
        <v/>
      </c>
      <c r="E186" s="14" t="str">
        <f aca="false">IF(ISNUMBER(B186),B186-(Results!$C$15+Results!$C$14*A186),"")</f>
        <v/>
      </c>
    </row>
    <row r="187" customFormat="false" ht="15" hidden="false" customHeight="false" outlineLevel="0" collapsed="false">
      <c r="A187" s="12"/>
      <c r="B187" s="12"/>
      <c r="C187" s="13" t="str">
        <f aca="false">IF(ISNUMBER(B187),IF(B187&gt;Results!$C$5,1,0),"")</f>
        <v/>
      </c>
      <c r="D187" s="13" t="str">
        <f aca="false">IF(ISNUMBER(C187),IF(C187=1,N(D186)+1,0),"")</f>
        <v/>
      </c>
      <c r="E187" s="14" t="str">
        <f aca="false">IF(ISNUMBER(B187),B187-(Results!$C$15+Results!$C$14*A187),"")</f>
        <v/>
      </c>
    </row>
    <row r="188" customFormat="false" ht="15" hidden="false" customHeight="false" outlineLevel="0" collapsed="false">
      <c r="A188" s="12"/>
      <c r="B188" s="12"/>
      <c r="C188" s="13" t="str">
        <f aca="false">IF(ISNUMBER(B188),IF(B188&gt;Results!$C$5,1,0),"")</f>
        <v/>
      </c>
      <c r="D188" s="13" t="str">
        <f aca="false">IF(ISNUMBER(C188),IF(C188=1,N(D187)+1,0),"")</f>
        <v/>
      </c>
      <c r="E188" s="14" t="str">
        <f aca="false">IF(ISNUMBER(B188),B188-(Results!$C$15+Results!$C$14*A188),"")</f>
        <v/>
      </c>
    </row>
    <row r="189" customFormat="false" ht="15" hidden="false" customHeight="false" outlineLevel="0" collapsed="false">
      <c r="A189" s="12"/>
      <c r="B189" s="12"/>
      <c r="C189" s="13" t="str">
        <f aca="false">IF(ISNUMBER(B189),IF(B189&gt;Results!$C$5,1,0),"")</f>
        <v/>
      </c>
      <c r="D189" s="13" t="str">
        <f aca="false">IF(ISNUMBER(C189),IF(C189=1,N(D188)+1,0),"")</f>
        <v/>
      </c>
      <c r="E189" s="14" t="str">
        <f aca="false">IF(ISNUMBER(B189),B189-(Results!$C$15+Results!$C$14*A189),"")</f>
        <v/>
      </c>
    </row>
    <row r="190" customFormat="false" ht="15" hidden="false" customHeight="false" outlineLevel="0" collapsed="false">
      <c r="A190" s="12"/>
      <c r="B190" s="12"/>
      <c r="C190" s="13" t="str">
        <f aca="false">IF(ISNUMBER(B190),IF(B190&gt;Results!$C$5,1,0),"")</f>
        <v/>
      </c>
      <c r="D190" s="13" t="str">
        <f aca="false">IF(ISNUMBER(C190),IF(C190=1,N(D189)+1,0),"")</f>
        <v/>
      </c>
      <c r="E190" s="14" t="str">
        <f aca="false">IF(ISNUMBER(B190),B190-(Results!$C$15+Results!$C$14*A190),"")</f>
        <v/>
      </c>
    </row>
    <row r="191" customFormat="false" ht="15" hidden="false" customHeight="false" outlineLevel="0" collapsed="false">
      <c r="A191" s="12"/>
      <c r="B191" s="12"/>
      <c r="C191" s="13" t="str">
        <f aca="false">IF(ISNUMBER(B191),IF(B191&gt;Results!$C$5,1,0),"")</f>
        <v/>
      </c>
      <c r="D191" s="13" t="str">
        <f aca="false">IF(ISNUMBER(C191),IF(C191=1,N(D190)+1,0),"")</f>
        <v/>
      </c>
      <c r="E191" s="14" t="str">
        <f aca="false">IF(ISNUMBER(B191),B191-(Results!$C$15+Results!$C$14*A191),"")</f>
        <v/>
      </c>
    </row>
    <row r="192" customFormat="false" ht="15" hidden="false" customHeight="false" outlineLevel="0" collapsed="false">
      <c r="A192" s="12"/>
      <c r="B192" s="12"/>
      <c r="C192" s="13" t="str">
        <f aca="false">IF(ISNUMBER(B192),IF(B192&gt;Results!$C$5,1,0),"")</f>
        <v/>
      </c>
      <c r="D192" s="13" t="str">
        <f aca="false">IF(ISNUMBER(C192),IF(C192=1,N(D191)+1,0),"")</f>
        <v/>
      </c>
      <c r="E192" s="14" t="str">
        <f aca="false">IF(ISNUMBER(B192),B192-(Results!$C$15+Results!$C$14*A192),"")</f>
        <v/>
      </c>
    </row>
    <row r="193" customFormat="false" ht="15" hidden="false" customHeight="false" outlineLevel="0" collapsed="false">
      <c r="A193" s="12"/>
      <c r="B193" s="12"/>
      <c r="C193" s="13" t="str">
        <f aca="false">IF(ISNUMBER(B193),IF(B193&gt;Results!$C$5,1,0),"")</f>
        <v/>
      </c>
      <c r="D193" s="13" t="str">
        <f aca="false">IF(ISNUMBER(C193),IF(C193=1,N(D192)+1,0),"")</f>
        <v/>
      </c>
      <c r="E193" s="14" t="str">
        <f aca="false">IF(ISNUMBER(B193),B193-(Results!$C$15+Results!$C$14*A193),"")</f>
        <v/>
      </c>
    </row>
    <row r="194" customFormat="false" ht="15" hidden="false" customHeight="false" outlineLevel="0" collapsed="false">
      <c r="A194" s="12"/>
      <c r="B194" s="12"/>
      <c r="C194" s="13" t="str">
        <f aca="false">IF(ISNUMBER(B194),IF(B194&gt;Results!$C$5,1,0),"")</f>
        <v/>
      </c>
      <c r="D194" s="13" t="str">
        <f aca="false">IF(ISNUMBER(C194),IF(C194=1,N(D193)+1,0),"")</f>
        <v/>
      </c>
      <c r="E194" s="14" t="str">
        <f aca="false">IF(ISNUMBER(B194),B194-(Results!$C$15+Results!$C$14*A194),"")</f>
        <v/>
      </c>
    </row>
    <row r="195" customFormat="false" ht="15" hidden="false" customHeight="false" outlineLevel="0" collapsed="false">
      <c r="A195" s="12"/>
      <c r="B195" s="12"/>
      <c r="C195" s="13" t="str">
        <f aca="false">IF(ISNUMBER(B195),IF(B195&gt;Results!$C$5,1,0),"")</f>
        <v/>
      </c>
      <c r="D195" s="13" t="str">
        <f aca="false">IF(ISNUMBER(C195),IF(C195=1,N(D194)+1,0),"")</f>
        <v/>
      </c>
      <c r="E195" s="14" t="str">
        <f aca="false">IF(ISNUMBER(B195),B195-(Results!$C$15+Results!$C$14*A195),"")</f>
        <v/>
      </c>
    </row>
    <row r="196" customFormat="false" ht="15" hidden="false" customHeight="false" outlineLevel="0" collapsed="false">
      <c r="A196" s="12"/>
      <c r="B196" s="12"/>
      <c r="C196" s="13" t="str">
        <f aca="false">IF(ISNUMBER(B196),IF(B196&gt;Results!$C$5,1,0),"")</f>
        <v/>
      </c>
      <c r="D196" s="13" t="str">
        <f aca="false">IF(ISNUMBER(C196),IF(C196=1,N(D195)+1,0),"")</f>
        <v/>
      </c>
      <c r="E196" s="14" t="str">
        <f aca="false">IF(ISNUMBER(B196),B196-(Results!$C$15+Results!$C$14*A196),"")</f>
        <v/>
      </c>
    </row>
    <row r="197" customFormat="false" ht="15" hidden="false" customHeight="false" outlineLevel="0" collapsed="false">
      <c r="A197" s="12"/>
      <c r="B197" s="12"/>
      <c r="C197" s="13" t="str">
        <f aca="false">IF(ISNUMBER(B197),IF(B197&gt;Results!$C$5,1,0),"")</f>
        <v/>
      </c>
      <c r="D197" s="13" t="str">
        <f aca="false">IF(ISNUMBER(C197),IF(C197=1,N(D196)+1,0),"")</f>
        <v/>
      </c>
      <c r="E197" s="14" t="str">
        <f aca="false">IF(ISNUMBER(B197),B197-(Results!$C$15+Results!$C$14*A197),"")</f>
        <v/>
      </c>
    </row>
    <row r="198" customFormat="false" ht="15" hidden="false" customHeight="false" outlineLevel="0" collapsed="false">
      <c r="A198" s="12"/>
      <c r="B198" s="12"/>
      <c r="C198" s="13" t="str">
        <f aca="false">IF(ISNUMBER(B198),IF(B198&gt;Results!$C$5,1,0),"")</f>
        <v/>
      </c>
      <c r="D198" s="13" t="str">
        <f aca="false">IF(ISNUMBER(C198),IF(C198=1,N(D197)+1,0),"")</f>
        <v/>
      </c>
      <c r="E198" s="14" t="str">
        <f aca="false">IF(ISNUMBER(B198),B198-(Results!$C$15+Results!$C$14*A198),"")</f>
        <v/>
      </c>
    </row>
    <row r="199" customFormat="false" ht="15" hidden="false" customHeight="false" outlineLevel="0" collapsed="false">
      <c r="A199" s="12"/>
      <c r="B199" s="12"/>
      <c r="C199" s="13" t="str">
        <f aca="false">IF(ISNUMBER(B199),IF(B199&gt;Results!$C$5,1,0),"")</f>
        <v/>
      </c>
      <c r="D199" s="13" t="str">
        <f aca="false">IF(ISNUMBER(C199),IF(C199=1,N(D198)+1,0),"")</f>
        <v/>
      </c>
      <c r="E199" s="14" t="str">
        <f aca="false">IF(ISNUMBER(B199),B199-(Results!$C$15+Results!$C$14*A199),"")</f>
        <v/>
      </c>
    </row>
    <row r="200" customFormat="false" ht="15" hidden="false" customHeight="false" outlineLevel="0" collapsed="false">
      <c r="A200" s="12"/>
      <c r="B200" s="12"/>
      <c r="C200" s="13" t="str">
        <f aca="false">IF(ISNUMBER(B200),IF(B200&gt;Results!$C$5,1,0),"")</f>
        <v/>
      </c>
      <c r="D200" s="13" t="str">
        <f aca="false">IF(ISNUMBER(C200),IF(C200=1,N(D199)+1,0),"")</f>
        <v/>
      </c>
      <c r="E200" s="14" t="str">
        <f aca="false">IF(ISNUMBER(B200),B200-(Results!$C$15+Results!$C$14*A200),"")</f>
        <v/>
      </c>
    </row>
    <row r="201" customFormat="false" ht="15" hidden="false" customHeight="false" outlineLevel="0" collapsed="false">
      <c r="A201" s="12"/>
      <c r="B201" s="12"/>
      <c r="C201" s="13" t="str">
        <f aca="false">IF(ISNUMBER(B201),IF(B201&gt;Results!$C$5,1,0),"")</f>
        <v/>
      </c>
      <c r="D201" s="13" t="str">
        <f aca="false">IF(ISNUMBER(C201),IF(C201=1,N(D200)+1,0),"")</f>
        <v/>
      </c>
      <c r="E201" s="14" t="str">
        <f aca="false">IF(ISNUMBER(B201),B201-(Results!$C$15+Results!$C$14*A201),"")</f>
        <v/>
      </c>
    </row>
    <row r="202" customFormat="false" ht="15" hidden="false" customHeight="false" outlineLevel="0" collapsed="false">
      <c r="A202" s="12"/>
      <c r="B202" s="12"/>
      <c r="C202" s="13" t="str">
        <f aca="false">IF(ISNUMBER(B202),IF(B202&gt;Results!$C$5,1,0),"")</f>
        <v/>
      </c>
      <c r="D202" s="13" t="str">
        <f aca="false">IF(ISNUMBER(C202),IF(C202=1,N(D201)+1,0),"")</f>
        <v/>
      </c>
      <c r="E202" s="14" t="str">
        <f aca="false">IF(ISNUMBER(B202),B202-(Results!$C$15+Results!$C$14*A202),"")</f>
        <v/>
      </c>
    </row>
    <row r="203" customFormat="false" ht="15" hidden="false" customHeight="false" outlineLevel="0" collapsed="false">
      <c r="A203" s="12"/>
      <c r="B203" s="12"/>
      <c r="C203" s="13" t="str">
        <f aca="false">IF(ISNUMBER(B203),IF(B203&gt;Results!$C$5,1,0),"")</f>
        <v/>
      </c>
      <c r="D203" s="13" t="str">
        <f aca="false">IF(ISNUMBER(C203),IF(C203=1,N(D202)+1,0),"")</f>
        <v/>
      </c>
      <c r="E203" s="14" t="str">
        <f aca="false">IF(ISNUMBER(B203),B203-(Results!$C$15+Results!$C$14*A203),"")</f>
        <v/>
      </c>
    </row>
    <row r="204" customFormat="false" ht="15" hidden="false" customHeight="false" outlineLevel="0" collapsed="false">
      <c r="A204" s="12"/>
      <c r="B204" s="12"/>
      <c r="C204" s="13" t="str">
        <f aca="false">IF(ISNUMBER(B204),IF(B204&gt;Results!$C$5,1,0),"")</f>
        <v/>
      </c>
      <c r="D204" s="13" t="str">
        <f aca="false">IF(ISNUMBER(C204),IF(C204=1,N(D203)+1,0),"")</f>
        <v/>
      </c>
      <c r="E204" s="14" t="str">
        <f aca="false">IF(ISNUMBER(B204),B204-(Results!$C$15+Results!$C$14*A204),"")</f>
        <v/>
      </c>
    </row>
    <row r="205" customFormat="false" ht="15" hidden="false" customHeight="false" outlineLevel="0" collapsed="false">
      <c r="A205" s="12"/>
      <c r="B205" s="12"/>
      <c r="C205" s="13" t="str">
        <f aca="false">IF(ISNUMBER(B205),IF(B205&gt;Results!$C$5,1,0),"")</f>
        <v/>
      </c>
      <c r="D205" s="13" t="str">
        <f aca="false">IF(ISNUMBER(C205),IF(C205=1,N(D204)+1,0),"")</f>
        <v/>
      </c>
      <c r="E205" s="14" t="str">
        <f aca="false">IF(ISNUMBER(B205),B205-(Results!$C$15+Results!$C$14*A205),"")</f>
        <v/>
      </c>
    </row>
    <row r="206" customFormat="false" ht="15" hidden="false" customHeight="false" outlineLevel="0" collapsed="false">
      <c r="A206" s="12"/>
      <c r="B206" s="12"/>
      <c r="C206" s="13" t="str">
        <f aca="false">IF(ISNUMBER(B206),IF(B206&gt;Results!$C$5,1,0),"")</f>
        <v/>
      </c>
      <c r="D206" s="13" t="str">
        <f aca="false">IF(ISNUMBER(C206),IF(C206=1,N(D205)+1,0),"")</f>
        <v/>
      </c>
      <c r="E206" s="14" t="str">
        <f aca="false">IF(ISNUMBER(B206),B206-(Results!$C$15+Results!$C$14*A206),"")</f>
        <v/>
      </c>
    </row>
    <row r="207" customFormat="false" ht="15" hidden="false" customHeight="false" outlineLevel="0" collapsed="false">
      <c r="A207" s="12"/>
      <c r="B207" s="12"/>
      <c r="C207" s="13" t="str">
        <f aca="false">IF(ISNUMBER(B207),IF(B207&gt;Results!$C$5,1,0),"")</f>
        <v/>
      </c>
      <c r="D207" s="13" t="str">
        <f aca="false">IF(ISNUMBER(C207),IF(C207=1,N(D206)+1,0),"")</f>
        <v/>
      </c>
      <c r="E207" s="14" t="str">
        <f aca="false">IF(ISNUMBER(B207),B207-(Results!$C$15+Results!$C$14*A207),"")</f>
        <v/>
      </c>
    </row>
    <row r="208" customFormat="false" ht="15" hidden="false" customHeight="false" outlineLevel="0" collapsed="false">
      <c r="A208" s="12"/>
      <c r="B208" s="12"/>
      <c r="C208" s="13" t="str">
        <f aca="false">IF(ISNUMBER(B208),IF(B208&gt;Results!$C$5,1,0),"")</f>
        <v/>
      </c>
      <c r="D208" s="13" t="str">
        <f aca="false">IF(ISNUMBER(C208),IF(C208=1,N(D207)+1,0),"")</f>
        <v/>
      </c>
      <c r="E208" s="14" t="str">
        <f aca="false">IF(ISNUMBER(B208),B208-(Results!$C$15+Results!$C$14*A208),"")</f>
        <v/>
      </c>
    </row>
    <row r="209" customFormat="false" ht="15" hidden="false" customHeight="false" outlineLevel="0" collapsed="false">
      <c r="A209" s="12"/>
      <c r="B209" s="12"/>
      <c r="C209" s="13" t="str">
        <f aca="false">IF(ISNUMBER(B209),IF(B209&gt;Results!$C$5,1,0),"")</f>
        <v/>
      </c>
      <c r="D209" s="13" t="str">
        <f aca="false">IF(ISNUMBER(C209),IF(C209=1,N(D208)+1,0),"")</f>
        <v/>
      </c>
      <c r="E209" s="14" t="str">
        <f aca="false">IF(ISNUMBER(B209),B209-(Results!$C$15+Results!$C$14*A209),"")</f>
        <v/>
      </c>
    </row>
    <row r="210" customFormat="false" ht="15" hidden="false" customHeight="false" outlineLevel="0" collapsed="false">
      <c r="A210" s="12"/>
      <c r="B210" s="12"/>
      <c r="C210" s="13" t="str">
        <f aca="false">IF(ISNUMBER(B210),IF(B210&gt;Results!$C$5,1,0),"")</f>
        <v/>
      </c>
      <c r="D210" s="13" t="str">
        <f aca="false">IF(ISNUMBER(C210),IF(C210=1,N(D209)+1,0),"")</f>
        <v/>
      </c>
      <c r="E210" s="14" t="str">
        <f aca="false">IF(ISNUMBER(B210),B210-(Results!$C$15+Results!$C$14*A210),"")</f>
        <v/>
      </c>
    </row>
    <row r="211" customFormat="false" ht="15" hidden="false" customHeight="false" outlineLevel="0" collapsed="false">
      <c r="A211" s="12"/>
      <c r="B211" s="12"/>
      <c r="C211" s="13" t="str">
        <f aca="false">IF(ISNUMBER(B211),IF(B211&gt;Results!$C$5,1,0),"")</f>
        <v/>
      </c>
      <c r="D211" s="13" t="str">
        <f aca="false">IF(ISNUMBER(C211),IF(C211=1,N(D210)+1,0),"")</f>
        <v/>
      </c>
      <c r="E211" s="14" t="str">
        <f aca="false">IF(ISNUMBER(B211),B211-(Results!$C$15+Results!$C$14*A211),"")</f>
        <v/>
      </c>
    </row>
    <row r="212" customFormat="false" ht="15" hidden="false" customHeight="false" outlineLevel="0" collapsed="false">
      <c r="A212" s="12"/>
      <c r="B212" s="12"/>
      <c r="C212" s="13" t="str">
        <f aca="false">IF(ISNUMBER(B212),IF(B212&gt;Results!$C$5,1,0),"")</f>
        <v/>
      </c>
      <c r="D212" s="13" t="str">
        <f aca="false">IF(ISNUMBER(C212),IF(C212=1,N(D211)+1,0),"")</f>
        <v/>
      </c>
      <c r="E212" s="14" t="str">
        <f aca="false">IF(ISNUMBER(B212),B212-(Results!$C$15+Results!$C$14*A212),"")</f>
        <v/>
      </c>
    </row>
    <row r="213" customFormat="false" ht="15" hidden="false" customHeight="false" outlineLevel="0" collapsed="false">
      <c r="A213" s="12"/>
      <c r="B213" s="12"/>
      <c r="C213" s="13" t="str">
        <f aca="false">IF(ISNUMBER(B213),IF(B213&gt;Results!$C$5,1,0),"")</f>
        <v/>
      </c>
      <c r="D213" s="13" t="str">
        <f aca="false">IF(ISNUMBER(C213),IF(C213=1,N(D212)+1,0),"")</f>
        <v/>
      </c>
      <c r="E213" s="14" t="str">
        <f aca="false">IF(ISNUMBER(B213),B213-(Results!$C$15+Results!$C$14*A213),"")</f>
        <v/>
      </c>
    </row>
    <row r="214" customFormat="false" ht="15" hidden="false" customHeight="false" outlineLevel="0" collapsed="false">
      <c r="A214" s="12"/>
      <c r="B214" s="12"/>
      <c r="C214" s="13" t="str">
        <f aca="false">IF(ISNUMBER(B214),IF(B214&gt;Results!$C$5,1,0),"")</f>
        <v/>
      </c>
      <c r="D214" s="13" t="str">
        <f aca="false">IF(ISNUMBER(C214),IF(C214=1,N(D213)+1,0),"")</f>
        <v/>
      </c>
      <c r="E214" s="14" t="str">
        <f aca="false">IF(ISNUMBER(B214),B214-(Results!$C$15+Results!$C$14*A214),"")</f>
        <v/>
      </c>
    </row>
    <row r="215" customFormat="false" ht="15" hidden="false" customHeight="false" outlineLevel="0" collapsed="false">
      <c r="A215" s="12"/>
      <c r="B215" s="12"/>
      <c r="C215" s="13" t="str">
        <f aca="false">IF(ISNUMBER(B215),IF(B215&gt;Results!$C$5,1,0),"")</f>
        <v/>
      </c>
      <c r="D215" s="13" t="str">
        <f aca="false">IF(ISNUMBER(C215),IF(C215=1,N(D214)+1,0),"")</f>
        <v/>
      </c>
      <c r="E215" s="14" t="str">
        <f aca="false">IF(ISNUMBER(B215),B215-(Results!$C$15+Results!$C$14*A215),"")</f>
        <v/>
      </c>
    </row>
    <row r="216" customFormat="false" ht="15" hidden="false" customHeight="false" outlineLevel="0" collapsed="false">
      <c r="A216" s="12"/>
      <c r="B216" s="12"/>
      <c r="C216" s="13" t="str">
        <f aca="false">IF(ISNUMBER(B216),IF(B216&gt;Results!$C$5,1,0),"")</f>
        <v/>
      </c>
      <c r="D216" s="13" t="str">
        <f aca="false">IF(ISNUMBER(C216),IF(C216=1,N(D215)+1,0),"")</f>
        <v/>
      </c>
      <c r="E216" s="14" t="str">
        <f aca="false">IF(ISNUMBER(B216),B216-(Results!$C$15+Results!$C$14*A216),"")</f>
        <v/>
      </c>
    </row>
    <row r="217" customFormat="false" ht="15" hidden="false" customHeight="false" outlineLevel="0" collapsed="false">
      <c r="A217" s="12"/>
      <c r="B217" s="12"/>
      <c r="C217" s="13" t="str">
        <f aca="false">IF(ISNUMBER(B217),IF(B217&gt;Results!$C$5,1,0),"")</f>
        <v/>
      </c>
      <c r="D217" s="13" t="str">
        <f aca="false">IF(ISNUMBER(C217),IF(C217=1,N(D216)+1,0),"")</f>
        <v/>
      </c>
      <c r="E217" s="14" t="str">
        <f aca="false">IF(ISNUMBER(B217),B217-(Results!$C$15+Results!$C$14*A217),"")</f>
        <v/>
      </c>
    </row>
    <row r="218" customFormat="false" ht="15" hidden="false" customHeight="false" outlineLevel="0" collapsed="false">
      <c r="A218" s="12"/>
      <c r="B218" s="12"/>
      <c r="C218" s="13" t="str">
        <f aca="false">IF(ISNUMBER(B218),IF(B218&gt;Results!$C$5,1,0),"")</f>
        <v/>
      </c>
      <c r="D218" s="13" t="str">
        <f aca="false">IF(ISNUMBER(C218),IF(C218=1,N(D217)+1,0),"")</f>
        <v/>
      </c>
      <c r="E218" s="14" t="str">
        <f aca="false">IF(ISNUMBER(B218),B218-(Results!$C$15+Results!$C$14*A218),"")</f>
        <v/>
      </c>
    </row>
    <row r="219" customFormat="false" ht="15" hidden="false" customHeight="false" outlineLevel="0" collapsed="false">
      <c r="A219" s="12"/>
      <c r="B219" s="12"/>
      <c r="C219" s="13" t="str">
        <f aca="false">IF(ISNUMBER(B219),IF(B219&gt;Results!$C$5,1,0),"")</f>
        <v/>
      </c>
      <c r="D219" s="13" t="str">
        <f aca="false">IF(ISNUMBER(C219),IF(C219=1,N(D218)+1,0),"")</f>
        <v/>
      </c>
      <c r="E219" s="14" t="str">
        <f aca="false">IF(ISNUMBER(B219),B219-(Results!$C$15+Results!$C$14*A219),"")</f>
        <v/>
      </c>
    </row>
    <row r="220" customFormat="false" ht="15" hidden="false" customHeight="false" outlineLevel="0" collapsed="false">
      <c r="A220" s="12"/>
      <c r="B220" s="12"/>
      <c r="C220" s="13" t="str">
        <f aca="false">IF(ISNUMBER(B220),IF(B220&gt;Results!$C$5,1,0),"")</f>
        <v/>
      </c>
      <c r="D220" s="13" t="str">
        <f aca="false">IF(ISNUMBER(C220),IF(C220=1,N(D219)+1,0),"")</f>
        <v/>
      </c>
      <c r="E220" s="14" t="str">
        <f aca="false">IF(ISNUMBER(B220),B220-(Results!$C$15+Results!$C$14*A220),"")</f>
        <v/>
      </c>
    </row>
    <row r="221" customFormat="false" ht="15" hidden="false" customHeight="false" outlineLevel="0" collapsed="false">
      <c r="A221" s="12"/>
      <c r="B221" s="12"/>
      <c r="C221" s="13" t="str">
        <f aca="false">IF(ISNUMBER(B221),IF(B221&gt;Results!$C$5,1,0),"")</f>
        <v/>
      </c>
      <c r="D221" s="13" t="str">
        <f aca="false">IF(ISNUMBER(C221),IF(C221=1,N(D220)+1,0),"")</f>
        <v/>
      </c>
      <c r="E221" s="14" t="str">
        <f aca="false">IF(ISNUMBER(B221),B221-(Results!$C$15+Results!$C$14*A221),"")</f>
        <v/>
      </c>
    </row>
    <row r="222" customFormat="false" ht="15" hidden="false" customHeight="false" outlineLevel="0" collapsed="false">
      <c r="A222" s="12"/>
      <c r="B222" s="12"/>
      <c r="C222" s="13" t="str">
        <f aca="false">IF(ISNUMBER(B222),IF(B222&gt;Results!$C$5,1,0),"")</f>
        <v/>
      </c>
      <c r="D222" s="13" t="str">
        <f aca="false">IF(ISNUMBER(C222),IF(C222=1,N(D221)+1,0),"")</f>
        <v/>
      </c>
      <c r="E222" s="14" t="str">
        <f aca="false">IF(ISNUMBER(B222),B222-(Results!$C$15+Results!$C$14*A222),"")</f>
        <v/>
      </c>
    </row>
    <row r="223" customFormat="false" ht="15" hidden="false" customHeight="false" outlineLevel="0" collapsed="false">
      <c r="A223" s="12"/>
      <c r="B223" s="12"/>
      <c r="C223" s="13" t="str">
        <f aca="false">IF(ISNUMBER(B223),IF(B223&gt;Results!$C$5,1,0),"")</f>
        <v/>
      </c>
      <c r="D223" s="13" t="str">
        <f aca="false">IF(ISNUMBER(C223),IF(C223=1,N(D222)+1,0),"")</f>
        <v/>
      </c>
      <c r="E223" s="14" t="str">
        <f aca="false">IF(ISNUMBER(B223),B223-(Results!$C$15+Results!$C$14*A223),"")</f>
        <v/>
      </c>
    </row>
    <row r="224" customFormat="false" ht="15" hidden="false" customHeight="false" outlineLevel="0" collapsed="false">
      <c r="A224" s="12"/>
      <c r="B224" s="12"/>
      <c r="C224" s="13" t="str">
        <f aca="false">IF(ISNUMBER(B224),IF(B224&gt;Results!$C$5,1,0),"")</f>
        <v/>
      </c>
      <c r="D224" s="13" t="str">
        <f aca="false">IF(ISNUMBER(C224),IF(C224=1,N(D223)+1,0),"")</f>
        <v/>
      </c>
      <c r="E224" s="14" t="str">
        <f aca="false">IF(ISNUMBER(B224),B224-(Results!$C$15+Results!$C$14*A224),"")</f>
        <v/>
      </c>
    </row>
    <row r="225" customFormat="false" ht="15" hidden="false" customHeight="false" outlineLevel="0" collapsed="false">
      <c r="A225" s="12"/>
      <c r="B225" s="12"/>
      <c r="C225" s="13" t="str">
        <f aca="false">IF(ISNUMBER(B225),IF(B225&gt;Results!$C$5,1,0),"")</f>
        <v/>
      </c>
      <c r="D225" s="13" t="str">
        <f aca="false">IF(ISNUMBER(C225),IF(C225=1,N(D224)+1,0),"")</f>
        <v/>
      </c>
      <c r="E225" s="14" t="str">
        <f aca="false">IF(ISNUMBER(B225),B225-(Results!$C$15+Results!$C$14*A225),"")</f>
        <v/>
      </c>
    </row>
    <row r="226" customFormat="false" ht="15" hidden="false" customHeight="false" outlineLevel="0" collapsed="false">
      <c r="A226" s="12"/>
      <c r="B226" s="12"/>
      <c r="C226" s="13" t="str">
        <f aca="false">IF(ISNUMBER(B226),IF(B226&gt;Results!$C$5,1,0),"")</f>
        <v/>
      </c>
      <c r="D226" s="13" t="str">
        <f aca="false">IF(ISNUMBER(C226),IF(C226=1,N(D225)+1,0),"")</f>
        <v/>
      </c>
      <c r="E226" s="14" t="str">
        <f aca="false">IF(ISNUMBER(B226),B226-(Results!$C$15+Results!$C$14*A226),"")</f>
        <v/>
      </c>
    </row>
    <row r="227" customFormat="false" ht="15" hidden="false" customHeight="false" outlineLevel="0" collapsed="false">
      <c r="A227" s="12"/>
      <c r="B227" s="12"/>
      <c r="C227" s="13" t="str">
        <f aca="false">IF(ISNUMBER(B227),IF(B227&gt;Results!$C$5,1,0),"")</f>
        <v/>
      </c>
      <c r="D227" s="13" t="str">
        <f aca="false">IF(ISNUMBER(C227),IF(C227=1,N(D226)+1,0),"")</f>
        <v/>
      </c>
      <c r="E227" s="14" t="str">
        <f aca="false">IF(ISNUMBER(B227),B227-(Results!$C$15+Results!$C$14*A227),"")</f>
        <v/>
      </c>
    </row>
    <row r="228" customFormat="false" ht="15" hidden="false" customHeight="false" outlineLevel="0" collapsed="false">
      <c r="A228" s="12"/>
      <c r="B228" s="12"/>
      <c r="C228" s="13" t="str">
        <f aca="false">IF(ISNUMBER(B228),IF(B228&gt;Results!$C$5,1,0),"")</f>
        <v/>
      </c>
      <c r="D228" s="13" t="str">
        <f aca="false">IF(ISNUMBER(C228),IF(C228=1,N(D227)+1,0),"")</f>
        <v/>
      </c>
      <c r="E228" s="14" t="str">
        <f aca="false">IF(ISNUMBER(B228),B228-(Results!$C$15+Results!$C$14*A228),"")</f>
        <v/>
      </c>
    </row>
    <row r="229" customFormat="false" ht="15" hidden="false" customHeight="false" outlineLevel="0" collapsed="false">
      <c r="A229" s="12"/>
      <c r="B229" s="12"/>
      <c r="C229" s="13" t="str">
        <f aca="false">IF(ISNUMBER(B229),IF(B229&gt;Results!$C$5,1,0),"")</f>
        <v/>
      </c>
      <c r="D229" s="13" t="str">
        <f aca="false">IF(ISNUMBER(C229),IF(C229=1,N(D228)+1,0),"")</f>
        <v/>
      </c>
      <c r="E229" s="14" t="str">
        <f aca="false">IF(ISNUMBER(B229),B229-(Results!$C$15+Results!$C$14*A229),"")</f>
        <v/>
      </c>
    </row>
    <row r="230" customFormat="false" ht="15" hidden="false" customHeight="false" outlineLevel="0" collapsed="false">
      <c r="A230" s="12"/>
      <c r="B230" s="12"/>
      <c r="C230" s="13" t="str">
        <f aca="false">IF(ISNUMBER(B230),IF(B230&gt;Results!$C$5,1,0),"")</f>
        <v/>
      </c>
      <c r="D230" s="13" t="str">
        <f aca="false">IF(ISNUMBER(C230),IF(C230=1,N(D229)+1,0),"")</f>
        <v/>
      </c>
      <c r="E230" s="14" t="str">
        <f aca="false">IF(ISNUMBER(B230),B230-(Results!$C$15+Results!$C$14*A230),"")</f>
        <v/>
      </c>
    </row>
    <row r="231" customFormat="false" ht="15" hidden="false" customHeight="false" outlineLevel="0" collapsed="false">
      <c r="A231" s="12"/>
      <c r="B231" s="12"/>
      <c r="C231" s="13" t="str">
        <f aca="false">IF(ISNUMBER(B231),IF(B231&gt;Results!$C$5,1,0),"")</f>
        <v/>
      </c>
      <c r="D231" s="13" t="str">
        <f aca="false">IF(ISNUMBER(C231),IF(C231=1,N(D230)+1,0),"")</f>
        <v/>
      </c>
      <c r="E231" s="14" t="str">
        <f aca="false">IF(ISNUMBER(B231),B231-(Results!$C$15+Results!$C$14*A231),"")</f>
        <v/>
      </c>
    </row>
    <row r="232" customFormat="false" ht="15" hidden="false" customHeight="false" outlineLevel="0" collapsed="false">
      <c r="A232" s="12"/>
      <c r="B232" s="12"/>
      <c r="C232" s="13" t="str">
        <f aca="false">IF(ISNUMBER(B232),IF(B232&gt;Results!$C$5,1,0),"")</f>
        <v/>
      </c>
      <c r="D232" s="13" t="str">
        <f aca="false">IF(ISNUMBER(C232),IF(C232=1,N(D231)+1,0),"")</f>
        <v/>
      </c>
      <c r="E232" s="14" t="str">
        <f aca="false">IF(ISNUMBER(B232),B232-(Results!$C$15+Results!$C$14*A232),"")</f>
        <v/>
      </c>
    </row>
    <row r="233" customFormat="false" ht="15" hidden="false" customHeight="false" outlineLevel="0" collapsed="false">
      <c r="A233" s="12"/>
      <c r="B233" s="12"/>
      <c r="C233" s="13" t="str">
        <f aca="false">IF(ISNUMBER(B233),IF(B233&gt;Results!$C$5,1,0),"")</f>
        <v/>
      </c>
      <c r="D233" s="13" t="str">
        <f aca="false">IF(ISNUMBER(C233),IF(C233=1,N(D232)+1,0),"")</f>
        <v/>
      </c>
      <c r="E233" s="14" t="str">
        <f aca="false">IF(ISNUMBER(B233),B233-(Results!$C$15+Results!$C$14*A233),"")</f>
        <v/>
      </c>
    </row>
    <row r="234" customFormat="false" ht="15" hidden="false" customHeight="false" outlineLevel="0" collapsed="false">
      <c r="A234" s="12"/>
      <c r="B234" s="12"/>
      <c r="C234" s="13" t="str">
        <f aca="false">IF(ISNUMBER(B234),IF(B234&gt;Results!$C$5,1,0),"")</f>
        <v/>
      </c>
      <c r="D234" s="13" t="str">
        <f aca="false">IF(ISNUMBER(C234),IF(C234=1,N(D233)+1,0),"")</f>
        <v/>
      </c>
      <c r="E234" s="14" t="str">
        <f aca="false">IF(ISNUMBER(B234),B234-(Results!$C$15+Results!$C$14*A234),"")</f>
        <v/>
      </c>
    </row>
    <row r="235" customFormat="false" ht="15" hidden="false" customHeight="false" outlineLevel="0" collapsed="false">
      <c r="A235" s="12"/>
      <c r="B235" s="12"/>
      <c r="C235" s="13" t="str">
        <f aca="false">IF(ISNUMBER(B235),IF(B235&gt;Results!$C$5,1,0),"")</f>
        <v/>
      </c>
      <c r="D235" s="13" t="str">
        <f aca="false">IF(ISNUMBER(C235),IF(C235=1,N(D234)+1,0),"")</f>
        <v/>
      </c>
      <c r="E235" s="14" t="str">
        <f aca="false">IF(ISNUMBER(B235),B235-(Results!$C$15+Results!$C$14*A235),"")</f>
        <v/>
      </c>
    </row>
    <row r="236" customFormat="false" ht="15" hidden="false" customHeight="false" outlineLevel="0" collapsed="false">
      <c r="A236" s="12"/>
      <c r="B236" s="12"/>
      <c r="C236" s="13" t="str">
        <f aca="false">IF(ISNUMBER(B236),IF(B236&gt;Results!$C$5,1,0),"")</f>
        <v/>
      </c>
      <c r="D236" s="13" t="str">
        <f aca="false">IF(ISNUMBER(C236),IF(C236=1,N(D235)+1,0),"")</f>
        <v/>
      </c>
      <c r="E236" s="14" t="str">
        <f aca="false">IF(ISNUMBER(B236),B236-(Results!$C$15+Results!$C$14*A236),"")</f>
        <v/>
      </c>
    </row>
    <row r="237" customFormat="false" ht="15" hidden="false" customHeight="false" outlineLevel="0" collapsed="false">
      <c r="A237" s="12"/>
      <c r="B237" s="12"/>
      <c r="C237" s="13" t="str">
        <f aca="false">IF(ISNUMBER(B237),IF(B237&gt;Results!$C$5,1,0),"")</f>
        <v/>
      </c>
      <c r="D237" s="13" t="str">
        <f aca="false">IF(ISNUMBER(C237),IF(C237=1,N(D236)+1,0),"")</f>
        <v/>
      </c>
      <c r="E237" s="14" t="str">
        <f aca="false">IF(ISNUMBER(B237),B237-(Results!$C$15+Results!$C$14*A237),"")</f>
        <v/>
      </c>
    </row>
    <row r="238" customFormat="false" ht="15" hidden="false" customHeight="false" outlineLevel="0" collapsed="false">
      <c r="A238" s="12"/>
      <c r="B238" s="12"/>
      <c r="C238" s="13" t="str">
        <f aca="false">IF(ISNUMBER(B238),IF(B238&gt;Results!$C$5,1,0),"")</f>
        <v/>
      </c>
      <c r="D238" s="13" t="str">
        <f aca="false">IF(ISNUMBER(C238),IF(C238=1,N(D237)+1,0),"")</f>
        <v/>
      </c>
      <c r="E238" s="14" t="str">
        <f aca="false">IF(ISNUMBER(B238),B238-(Results!$C$15+Results!$C$14*A238),"")</f>
        <v/>
      </c>
    </row>
    <row r="239" customFormat="false" ht="15" hidden="false" customHeight="false" outlineLevel="0" collapsed="false">
      <c r="A239" s="12"/>
      <c r="B239" s="12"/>
      <c r="C239" s="13" t="str">
        <f aca="false">IF(ISNUMBER(B239),IF(B239&gt;Results!$C$5,1,0),"")</f>
        <v/>
      </c>
      <c r="D239" s="13" t="str">
        <f aca="false">IF(ISNUMBER(C239),IF(C239=1,N(D238)+1,0),"")</f>
        <v/>
      </c>
      <c r="E239" s="14" t="str">
        <f aca="false">IF(ISNUMBER(B239),B239-(Results!$C$15+Results!$C$14*A239),"")</f>
        <v/>
      </c>
    </row>
    <row r="240" customFormat="false" ht="15" hidden="false" customHeight="false" outlineLevel="0" collapsed="false">
      <c r="A240" s="12"/>
      <c r="B240" s="12"/>
      <c r="C240" s="13" t="str">
        <f aca="false">IF(ISNUMBER(B240),IF(B240&gt;Results!$C$5,1,0),"")</f>
        <v/>
      </c>
      <c r="D240" s="13" t="str">
        <f aca="false">IF(ISNUMBER(C240),IF(C240=1,N(D239)+1,0),"")</f>
        <v/>
      </c>
      <c r="E240" s="14" t="str">
        <f aca="false">IF(ISNUMBER(B240),B240-(Results!$C$15+Results!$C$14*A240),"")</f>
        <v/>
      </c>
    </row>
    <row r="241" customFormat="false" ht="15" hidden="false" customHeight="false" outlineLevel="0" collapsed="false">
      <c r="A241" s="12"/>
      <c r="B241" s="12"/>
      <c r="C241" s="13" t="str">
        <f aca="false">IF(ISNUMBER(B241),IF(B241&gt;Results!$C$5,1,0),"")</f>
        <v/>
      </c>
      <c r="D241" s="13" t="str">
        <f aca="false">IF(ISNUMBER(C241),IF(C241=1,N(D240)+1,0),"")</f>
        <v/>
      </c>
      <c r="E241" s="14" t="str">
        <f aca="false">IF(ISNUMBER(B241),B241-(Results!$C$15+Results!$C$14*A241),"")</f>
        <v/>
      </c>
    </row>
    <row r="242" customFormat="false" ht="15" hidden="false" customHeight="false" outlineLevel="0" collapsed="false">
      <c r="A242" s="12"/>
      <c r="B242" s="12"/>
      <c r="C242" s="13" t="str">
        <f aca="false">IF(ISNUMBER(B242),IF(B242&gt;Results!$C$5,1,0),"")</f>
        <v/>
      </c>
      <c r="D242" s="13" t="str">
        <f aca="false">IF(ISNUMBER(C242),IF(C242=1,N(D241)+1,0),"")</f>
        <v/>
      </c>
      <c r="E242" s="14" t="str">
        <f aca="false">IF(ISNUMBER(B242),B242-(Results!$C$15+Results!$C$14*A242),"")</f>
        <v/>
      </c>
    </row>
    <row r="243" customFormat="false" ht="15" hidden="false" customHeight="false" outlineLevel="0" collapsed="false">
      <c r="A243" s="12"/>
      <c r="B243" s="12"/>
      <c r="C243" s="13" t="str">
        <f aca="false">IF(ISNUMBER(B243),IF(B243&gt;Results!$C$5,1,0),"")</f>
        <v/>
      </c>
      <c r="D243" s="13" t="str">
        <f aca="false">IF(ISNUMBER(C243),IF(C243=1,N(D242)+1,0),"")</f>
        <v/>
      </c>
      <c r="E243" s="14" t="str">
        <f aca="false">IF(ISNUMBER(B243),B243-(Results!$C$15+Results!$C$14*A243),"")</f>
        <v/>
      </c>
    </row>
    <row r="244" customFormat="false" ht="15" hidden="false" customHeight="false" outlineLevel="0" collapsed="false">
      <c r="A244" s="12"/>
      <c r="B244" s="12"/>
      <c r="C244" s="13" t="str">
        <f aca="false">IF(ISNUMBER(B244),IF(B244&gt;Results!$C$5,1,0),"")</f>
        <v/>
      </c>
      <c r="D244" s="13" t="str">
        <f aca="false">IF(ISNUMBER(C244),IF(C244=1,N(D243)+1,0),"")</f>
        <v/>
      </c>
      <c r="E244" s="14" t="str">
        <f aca="false">IF(ISNUMBER(B244),B244-(Results!$C$15+Results!$C$14*A244),"")</f>
        <v/>
      </c>
    </row>
    <row r="245" customFormat="false" ht="15" hidden="false" customHeight="false" outlineLevel="0" collapsed="false">
      <c r="A245" s="12"/>
      <c r="B245" s="12"/>
      <c r="C245" s="13" t="str">
        <f aca="false">IF(ISNUMBER(B245),IF(B245&gt;Results!$C$5,1,0),"")</f>
        <v/>
      </c>
      <c r="D245" s="13" t="str">
        <f aca="false">IF(ISNUMBER(C245),IF(C245=1,N(D244)+1,0),"")</f>
        <v/>
      </c>
      <c r="E245" s="14" t="str">
        <f aca="false">IF(ISNUMBER(B245),B245-(Results!$C$15+Results!$C$14*A245),"")</f>
        <v/>
      </c>
    </row>
    <row r="246" customFormat="false" ht="15" hidden="false" customHeight="false" outlineLevel="0" collapsed="false">
      <c r="A246" s="12"/>
      <c r="B246" s="12"/>
      <c r="C246" s="13" t="str">
        <f aca="false">IF(ISNUMBER(B246),IF(B246&gt;Results!$C$5,1,0),"")</f>
        <v/>
      </c>
      <c r="D246" s="13" t="str">
        <f aca="false">IF(ISNUMBER(C246),IF(C246=1,N(D245)+1,0),"")</f>
        <v/>
      </c>
      <c r="E246" s="14" t="str">
        <f aca="false">IF(ISNUMBER(B246),B246-(Results!$C$15+Results!$C$14*A246),"")</f>
        <v/>
      </c>
    </row>
    <row r="247" customFormat="false" ht="15" hidden="false" customHeight="false" outlineLevel="0" collapsed="false">
      <c r="A247" s="12"/>
      <c r="B247" s="12"/>
      <c r="C247" s="13" t="str">
        <f aca="false">IF(ISNUMBER(B247),IF(B247&gt;Results!$C$5,1,0),"")</f>
        <v/>
      </c>
      <c r="D247" s="13" t="str">
        <f aca="false">IF(ISNUMBER(C247),IF(C247=1,N(D246)+1,0),"")</f>
        <v/>
      </c>
      <c r="E247" s="14" t="str">
        <f aca="false">IF(ISNUMBER(B247),B247-(Results!$C$15+Results!$C$14*A247),"")</f>
        <v/>
      </c>
    </row>
    <row r="248" customFormat="false" ht="15" hidden="false" customHeight="false" outlineLevel="0" collapsed="false">
      <c r="A248" s="12"/>
      <c r="B248" s="12"/>
      <c r="C248" s="13" t="str">
        <f aca="false">IF(ISNUMBER(B248),IF(B248&gt;Results!$C$5,1,0),"")</f>
        <v/>
      </c>
      <c r="D248" s="13" t="str">
        <f aca="false">IF(ISNUMBER(C248),IF(C248=1,N(D247)+1,0),"")</f>
        <v/>
      </c>
      <c r="E248" s="14" t="str">
        <f aca="false">IF(ISNUMBER(B248),B248-(Results!$C$15+Results!$C$14*A248),"")</f>
        <v/>
      </c>
    </row>
    <row r="249" customFormat="false" ht="15" hidden="false" customHeight="false" outlineLevel="0" collapsed="false">
      <c r="A249" s="12"/>
      <c r="B249" s="12"/>
      <c r="C249" s="13" t="str">
        <f aca="false">IF(ISNUMBER(B249),IF(B249&gt;Results!$C$5,1,0),"")</f>
        <v/>
      </c>
      <c r="D249" s="13" t="str">
        <f aca="false">IF(ISNUMBER(C249),IF(C249=1,N(D248)+1,0),"")</f>
        <v/>
      </c>
      <c r="E249" s="14" t="str">
        <f aca="false">IF(ISNUMBER(B249),B249-(Results!$C$15+Results!$C$14*A249),"")</f>
        <v/>
      </c>
    </row>
    <row r="250" customFormat="false" ht="15" hidden="false" customHeight="false" outlineLevel="0" collapsed="false">
      <c r="A250" s="12"/>
      <c r="B250" s="12"/>
      <c r="C250" s="13" t="str">
        <f aca="false">IF(ISNUMBER(B250),IF(B250&gt;Results!$C$5,1,0),"")</f>
        <v/>
      </c>
      <c r="D250" s="13" t="str">
        <f aca="false">IF(ISNUMBER(C250),IF(C250=1,N(D249)+1,0),"")</f>
        <v/>
      </c>
      <c r="E250" s="14" t="str">
        <f aca="false">IF(ISNUMBER(B250),B250-(Results!$C$15+Results!$C$14*A250),"")</f>
        <v/>
      </c>
    </row>
    <row r="251" customFormat="false" ht="15" hidden="false" customHeight="false" outlineLevel="0" collapsed="false">
      <c r="A251" s="12"/>
      <c r="B251" s="12"/>
      <c r="C251" s="13" t="str">
        <f aca="false">IF(ISNUMBER(B251),IF(B251&gt;Results!$C$5,1,0),"")</f>
        <v/>
      </c>
      <c r="D251" s="13" t="str">
        <f aca="false">IF(ISNUMBER(C251),IF(C251=1,N(D250)+1,0),"")</f>
        <v/>
      </c>
      <c r="E251" s="14" t="str">
        <f aca="false">IF(ISNUMBER(B251),B251-(Results!$C$15+Results!$C$14*A251),"")</f>
        <v/>
      </c>
    </row>
    <row r="252" customFormat="false" ht="15" hidden="false" customHeight="false" outlineLevel="0" collapsed="false">
      <c r="A252" s="12"/>
      <c r="B252" s="12"/>
      <c r="C252" s="13" t="str">
        <f aca="false">IF(ISNUMBER(B252),IF(B252&gt;Results!$C$5,1,0),"")</f>
        <v/>
      </c>
      <c r="D252" s="13" t="str">
        <f aca="false">IF(ISNUMBER(C252),IF(C252=1,N(D251)+1,0),"")</f>
        <v/>
      </c>
      <c r="E252" s="14" t="str">
        <f aca="false">IF(ISNUMBER(B252),B252-(Results!$C$15+Results!$C$14*A252),"")</f>
        <v/>
      </c>
    </row>
    <row r="253" customFormat="false" ht="15" hidden="false" customHeight="false" outlineLevel="0" collapsed="false">
      <c r="A253" s="12"/>
      <c r="B253" s="12"/>
      <c r="C253" s="13" t="str">
        <f aca="false">IF(ISNUMBER(B253),IF(B253&gt;Results!$C$5,1,0),"")</f>
        <v/>
      </c>
      <c r="D253" s="13" t="str">
        <f aca="false">IF(ISNUMBER(C253),IF(C253=1,N(D252)+1,0),"")</f>
        <v/>
      </c>
      <c r="E253" s="14" t="str">
        <f aca="false">IF(ISNUMBER(B253),B253-(Results!$C$15+Results!$C$14*A253),"")</f>
        <v/>
      </c>
    </row>
    <row r="254" customFormat="false" ht="15" hidden="false" customHeight="false" outlineLevel="0" collapsed="false">
      <c r="A254" s="12"/>
      <c r="B254" s="12"/>
      <c r="C254" s="13" t="str">
        <f aca="false">IF(ISNUMBER(B254),IF(B254&gt;Results!$C$5,1,0),"")</f>
        <v/>
      </c>
      <c r="D254" s="13" t="str">
        <f aca="false">IF(ISNUMBER(C254),IF(C254=1,N(D253)+1,0),"")</f>
        <v/>
      </c>
      <c r="E254" s="14" t="str">
        <f aca="false">IF(ISNUMBER(B254),B254-(Results!$C$15+Results!$C$14*A254),"")</f>
        <v/>
      </c>
    </row>
    <row r="255" customFormat="false" ht="15" hidden="false" customHeight="false" outlineLevel="0" collapsed="false">
      <c r="A255" s="12"/>
      <c r="B255" s="12"/>
      <c r="C255" s="13" t="str">
        <f aca="false">IF(ISNUMBER(B255),IF(B255&gt;Results!$C$5,1,0),"")</f>
        <v/>
      </c>
      <c r="D255" s="13" t="str">
        <f aca="false">IF(ISNUMBER(C255),IF(C255=1,N(D254)+1,0),"")</f>
        <v/>
      </c>
      <c r="E255" s="14" t="str">
        <f aca="false">IF(ISNUMBER(B255),B255-(Results!$C$15+Results!$C$14*A255),"")</f>
        <v/>
      </c>
    </row>
    <row r="256" customFormat="false" ht="15" hidden="false" customHeight="false" outlineLevel="0" collapsed="false">
      <c r="A256" s="12"/>
      <c r="B256" s="12"/>
      <c r="C256" s="13" t="str">
        <f aca="false">IF(ISNUMBER(B256),IF(B256&gt;Results!$C$5,1,0),"")</f>
        <v/>
      </c>
      <c r="D256" s="13" t="str">
        <f aca="false">IF(ISNUMBER(C256),IF(C256=1,N(D255)+1,0),"")</f>
        <v/>
      </c>
      <c r="E256" s="14" t="str">
        <f aca="false">IF(ISNUMBER(B256),B256-(Results!$C$15+Results!$C$14*A256),"")</f>
        <v/>
      </c>
    </row>
    <row r="257" customFormat="false" ht="15" hidden="false" customHeight="false" outlineLevel="0" collapsed="false">
      <c r="A257" s="12"/>
      <c r="B257" s="12"/>
      <c r="C257" s="13" t="str">
        <f aca="false">IF(ISNUMBER(B257),IF(B257&gt;Results!$C$5,1,0),"")</f>
        <v/>
      </c>
      <c r="D257" s="13" t="str">
        <f aca="false">IF(ISNUMBER(C257),IF(C257=1,N(D256)+1,0),"")</f>
        <v/>
      </c>
      <c r="E257" s="14" t="str">
        <f aca="false">IF(ISNUMBER(B257),B257-(Results!$C$15+Results!$C$14*A257),"")</f>
        <v/>
      </c>
    </row>
    <row r="258" customFormat="false" ht="15" hidden="false" customHeight="false" outlineLevel="0" collapsed="false">
      <c r="A258" s="12"/>
      <c r="B258" s="12"/>
      <c r="C258" s="13" t="str">
        <f aca="false">IF(ISNUMBER(B258),IF(B258&gt;Results!$C$5,1,0),"")</f>
        <v/>
      </c>
      <c r="D258" s="13" t="str">
        <f aca="false">IF(ISNUMBER(C258),IF(C258=1,N(D257)+1,0),"")</f>
        <v/>
      </c>
      <c r="E258" s="14" t="str">
        <f aca="false">IF(ISNUMBER(B258),B258-(Results!$C$15+Results!$C$14*A258),"")</f>
        <v/>
      </c>
    </row>
    <row r="259" customFormat="false" ht="15" hidden="false" customHeight="false" outlineLevel="0" collapsed="false">
      <c r="A259" s="12"/>
      <c r="B259" s="12"/>
      <c r="C259" s="13" t="str">
        <f aca="false">IF(ISNUMBER(B259),IF(B259&gt;Results!$C$5,1,0),"")</f>
        <v/>
      </c>
      <c r="D259" s="13" t="str">
        <f aca="false">IF(ISNUMBER(C259),IF(C259=1,N(D258)+1,0),"")</f>
        <v/>
      </c>
      <c r="E259" s="14" t="str">
        <f aca="false">IF(ISNUMBER(B259),B259-(Results!$C$15+Results!$C$14*A259),"")</f>
        <v/>
      </c>
    </row>
    <row r="260" customFormat="false" ht="15" hidden="false" customHeight="false" outlineLevel="0" collapsed="false">
      <c r="A260" s="12"/>
      <c r="B260" s="12"/>
      <c r="C260" s="13" t="str">
        <f aca="false">IF(ISNUMBER(B260),IF(B260&gt;Results!$C$5,1,0),"")</f>
        <v/>
      </c>
      <c r="D260" s="13" t="str">
        <f aca="false">IF(ISNUMBER(C260),IF(C260=1,N(D259)+1,0),"")</f>
        <v/>
      </c>
      <c r="E260" s="14" t="str">
        <f aca="false">IF(ISNUMBER(B260),B260-(Results!$C$15+Results!$C$14*A260),"")</f>
        <v/>
      </c>
    </row>
    <row r="261" customFormat="false" ht="15" hidden="false" customHeight="false" outlineLevel="0" collapsed="false">
      <c r="A261" s="12"/>
      <c r="B261" s="12"/>
      <c r="C261" s="13" t="str">
        <f aca="false">IF(ISNUMBER(B261),IF(B261&gt;Results!$C$5,1,0),"")</f>
        <v/>
      </c>
      <c r="D261" s="13" t="str">
        <f aca="false">IF(ISNUMBER(C261),IF(C261=1,N(D260)+1,0),"")</f>
        <v/>
      </c>
      <c r="E261" s="14" t="str">
        <f aca="false">IF(ISNUMBER(B261),B261-(Results!$C$15+Results!$C$14*A261),"")</f>
        <v/>
      </c>
    </row>
    <row r="262" customFormat="false" ht="15" hidden="false" customHeight="false" outlineLevel="0" collapsed="false">
      <c r="A262" s="12"/>
      <c r="B262" s="12"/>
      <c r="C262" s="13" t="str">
        <f aca="false">IF(ISNUMBER(B262),IF(B262&gt;Results!$C$5,1,0),"")</f>
        <v/>
      </c>
      <c r="D262" s="13" t="str">
        <f aca="false">IF(ISNUMBER(C262),IF(C262=1,N(D261)+1,0),"")</f>
        <v/>
      </c>
      <c r="E262" s="14" t="str">
        <f aca="false">IF(ISNUMBER(B262),B262-(Results!$C$15+Results!$C$14*A262),"")</f>
        <v/>
      </c>
    </row>
    <row r="263" customFormat="false" ht="15" hidden="false" customHeight="false" outlineLevel="0" collapsed="false">
      <c r="A263" s="12"/>
      <c r="B263" s="12"/>
      <c r="C263" s="13" t="str">
        <f aca="false">IF(ISNUMBER(B263),IF(B263&gt;Results!$C$5,1,0),"")</f>
        <v/>
      </c>
      <c r="D263" s="13" t="str">
        <f aca="false">IF(ISNUMBER(C263),IF(C263=1,N(D262)+1,0),"")</f>
        <v/>
      </c>
      <c r="E263" s="14" t="str">
        <f aca="false">IF(ISNUMBER(B263),B263-(Results!$C$15+Results!$C$14*A263),"")</f>
        <v/>
      </c>
    </row>
    <row r="264" customFormat="false" ht="15" hidden="false" customHeight="false" outlineLevel="0" collapsed="false">
      <c r="A264" s="12"/>
      <c r="B264" s="12"/>
      <c r="C264" s="13" t="str">
        <f aca="false">IF(ISNUMBER(B264),IF(B264&gt;Results!$C$5,1,0),"")</f>
        <v/>
      </c>
      <c r="D264" s="13" t="str">
        <f aca="false">IF(ISNUMBER(C264),IF(C264=1,N(D263)+1,0),"")</f>
        <v/>
      </c>
      <c r="E264" s="14" t="str">
        <f aca="false">IF(ISNUMBER(B264),B264-(Results!$C$15+Results!$C$14*A264),"")</f>
        <v/>
      </c>
    </row>
    <row r="265" customFormat="false" ht="15" hidden="false" customHeight="false" outlineLevel="0" collapsed="false">
      <c r="A265" s="12"/>
      <c r="B265" s="12"/>
      <c r="C265" s="13" t="str">
        <f aca="false">IF(ISNUMBER(B265),IF(B265&gt;Results!$C$5,1,0),"")</f>
        <v/>
      </c>
      <c r="D265" s="13" t="str">
        <f aca="false">IF(ISNUMBER(C265),IF(C265=1,N(D264)+1,0),"")</f>
        <v/>
      </c>
      <c r="E265" s="14" t="str">
        <f aca="false">IF(ISNUMBER(B265),B265-(Results!$C$15+Results!$C$14*A265),"")</f>
        <v/>
      </c>
    </row>
    <row r="266" customFormat="false" ht="15" hidden="false" customHeight="false" outlineLevel="0" collapsed="false">
      <c r="A266" s="12"/>
      <c r="B266" s="12"/>
      <c r="C266" s="13" t="str">
        <f aca="false">IF(ISNUMBER(B266),IF(B266&gt;Results!$C$5,1,0),"")</f>
        <v/>
      </c>
      <c r="D266" s="13" t="str">
        <f aca="false">IF(ISNUMBER(C266),IF(C266=1,N(D265)+1,0),"")</f>
        <v/>
      </c>
      <c r="E266" s="14" t="str">
        <f aca="false">IF(ISNUMBER(B266),B266-(Results!$C$15+Results!$C$14*A266),"")</f>
        <v/>
      </c>
    </row>
    <row r="267" customFormat="false" ht="15" hidden="false" customHeight="false" outlineLevel="0" collapsed="false">
      <c r="A267" s="12"/>
      <c r="B267" s="12"/>
      <c r="C267" s="13" t="str">
        <f aca="false">IF(ISNUMBER(B267),IF(B267&gt;Results!$C$5,1,0),"")</f>
        <v/>
      </c>
      <c r="D267" s="13" t="str">
        <f aca="false">IF(ISNUMBER(C267),IF(C267=1,N(D266)+1,0),"")</f>
        <v/>
      </c>
      <c r="E267" s="14" t="str">
        <f aca="false">IF(ISNUMBER(B267),B267-(Results!$C$15+Results!$C$14*A267),"")</f>
        <v/>
      </c>
    </row>
    <row r="268" customFormat="false" ht="15" hidden="false" customHeight="false" outlineLevel="0" collapsed="false">
      <c r="A268" s="12"/>
      <c r="B268" s="12"/>
      <c r="C268" s="13" t="str">
        <f aca="false">IF(ISNUMBER(B268),IF(B268&gt;Results!$C$5,1,0),"")</f>
        <v/>
      </c>
      <c r="D268" s="13" t="str">
        <f aca="false">IF(ISNUMBER(C268),IF(C268=1,N(D267)+1,0),"")</f>
        <v/>
      </c>
      <c r="E268" s="14" t="str">
        <f aca="false">IF(ISNUMBER(B268),B268-(Results!$C$15+Results!$C$14*A268),"")</f>
        <v/>
      </c>
    </row>
    <row r="269" customFormat="false" ht="15" hidden="false" customHeight="false" outlineLevel="0" collapsed="false">
      <c r="A269" s="12"/>
      <c r="B269" s="12"/>
      <c r="C269" s="13" t="str">
        <f aca="false">IF(ISNUMBER(B269),IF(B269&gt;Results!$C$5,1,0),"")</f>
        <v/>
      </c>
      <c r="D269" s="13" t="str">
        <f aca="false">IF(ISNUMBER(C269),IF(C269=1,N(D268)+1,0),"")</f>
        <v/>
      </c>
      <c r="E269" s="14" t="str">
        <f aca="false">IF(ISNUMBER(B269),B269-(Results!$C$15+Results!$C$14*A269),"")</f>
        <v/>
      </c>
    </row>
    <row r="270" customFormat="false" ht="15" hidden="false" customHeight="false" outlineLevel="0" collapsed="false">
      <c r="A270" s="12"/>
      <c r="B270" s="12"/>
      <c r="C270" s="13" t="str">
        <f aca="false">IF(ISNUMBER(B270),IF(B270&gt;Results!$C$5,1,0),"")</f>
        <v/>
      </c>
      <c r="D270" s="13" t="str">
        <f aca="false">IF(ISNUMBER(C270),IF(C270=1,N(D269)+1,0),"")</f>
        <v/>
      </c>
      <c r="E270" s="14" t="str">
        <f aca="false">IF(ISNUMBER(B270),B270-(Results!$C$15+Results!$C$14*A270),"")</f>
        <v/>
      </c>
    </row>
    <row r="271" customFormat="false" ht="15" hidden="false" customHeight="false" outlineLevel="0" collapsed="false">
      <c r="A271" s="12"/>
      <c r="B271" s="12"/>
      <c r="C271" s="13" t="str">
        <f aca="false">IF(ISNUMBER(B271),IF(B271&gt;Results!$C$5,1,0),"")</f>
        <v/>
      </c>
      <c r="D271" s="13" t="str">
        <f aca="false">IF(ISNUMBER(C271),IF(C271=1,N(D270)+1,0),"")</f>
        <v/>
      </c>
      <c r="E271" s="14" t="str">
        <f aca="false">IF(ISNUMBER(B271),B271-(Results!$C$15+Results!$C$14*A271),"")</f>
        <v/>
      </c>
    </row>
    <row r="272" customFormat="false" ht="15" hidden="false" customHeight="false" outlineLevel="0" collapsed="false">
      <c r="A272" s="12"/>
      <c r="B272" s="12"/>
      <c r="C272" s="13" t="str">
        <f aca="false">IF(ISNUMBER(B272),IF(B272&gt;Results!$C$5,1,0),"")</f>
        <v/>
      </c>
      <c r="D272" s="13" t="str">
        <f aca="false">IF(ISNUMBER(C272),IF(C272=1,N(D271)+1,0),"")</f>
        <v/>
      </c>
      <c r="E272" s="14" t="str">
        <f aca="false">IF(ISNUMBER(B272),B272-(Results!$C$15+Results!$C$14*A272),"")</f>
        <v/>
      </c>
    </row>
    <row r="273" customFormat="false" ht="15" hidden="false" customHeight="false" outlineLevel="0" collapsed="false">
      <c r="A273" s="12"/>
      <c r="B273" s="12"/>
      <c r="C273" s="13" t="str">
        <f aca="false">IF(ISNUMBER(B273),IF(B273&gt;Results!$C$5,1,0),"")</f>
        <v/>
      </c>
      <c r="D273" s="13" t="str">
        <f aca="false">IF(ISNUMBER(C273),IF(C273=1,N(D272)+1,0),"")</f>
        <v/>
      </c>
      <c r="E273" s="14" t="str">
        <f aca="false">IF(ISNUMBER(B273),B273-(Results!$C$15+Results!$C$14*A273),"")</f>
        <v/>
      </c>
    </row>
    <row r="274" customFormat="false" ht="15" hidden="false" customHeight="false" outlineLevel="0" collapsed="false">
      <c r="A274" s="12"/>
      <c r="B274" s="12"/>
      <c r="C274" s="13" t="str">
        <f aca="false">IF(ISNUMBER(B274),IF(B274&gt;Results!$C$5,1,0),"")</f>
        <v/>
      </c>
      <c r="D274" s="13" t="str">
        <f aca="false">IF(ISNUMBER(C274),IF(C274=1,N(D273)+1,0),"")</f>
        <v/>
      </c>
      <c r="E274" s="14" t="str">
        <f aca="false">IF(ISNUMBER(B274),B274-(Results!$C$15+Results!$C$14*A274),"")</f>
        <v/>
      </c>
    </row>
    <row r="275" customFormat="false" ht="15" hidden="false" customHeight="false" outlineLevel="0" collapsed="false">
      <c r="A275" s="12"/>
      <c r="B275" s="12"/>
      <c r="C275" s="13" t="str">
        <f aca="false">IF(ISNUMBER(B275),IF(B275&gt;Results!$C$5,1,0),"")</f>
        <v/>
      </c>
      <c r="D275" s="13" t="str">
        <f aca="false">IF(ISNUMBER(C275),IF(C275=1,N(D274)+1,0),"")</f>
        <v/>
      </c>
      <c r="E275" s="14" t="str">
        <f aca="false">IF(ISNUMBER(B275),B275-(Results!$C$15+Results!$C$14*A275),"")</f>
        <v/>
      </c>
    </row>
    <row r="276" customFormat="false" ht="15" hidden="false" customHeight="false" outlineLevel="0" collapsed="false">
      <c r="A276" s="12"/>
      <c r="B276" s="12"/>
      <c r="C276" s="13" t="str">
        <f aca="false">IF(ISNUMBER(B276),IF(B276&gt;Results!$C$5,1,0),"")</f>
        <v/>
      </c>
      <c r="D276" s="13" t="str">
        <f aca="false">IF(ISNUMBER(C276),IF(C276=1,N(D275)+1,0),"")</f>
        <v/>
      </c>
      <c r="E276" s="14" t="str">
        <f aca="false">IF(ISNUMBER(B276),B276-(Results!$C$15+Results!$C$14*A276),"")</f>
        <v/>
      </c>
    </row>
    <row r="277" customFormat="false" ht="15" hidden="false" customHeight="false" outlineLevel="0" collapsed="false">
      <c r="A277" s="12"/>
      <c r="B277" s="12"/>
      <c r="C277" s="13" t="str">
        <f aca="false">IF(ISNUMBER(B277),IF(B277&gt;Results!$C$5,1,0),"")</f>
        <v/>
      </c>
      <c r="D277" s="13" t="str">
        <f aca="false">IF(ISNUMBER(C277),IF(C277=1,N(D276)+1,0),"")</f>
        <v/>
      </c>
      <c r="E277" s="14" t="str">
        <f aca="false">IF(ISNUMBER(B277),B277-(Results!$C$15+Results!$C$14*A277),"")</f>
        <v/>
      </c>
    </row>
    <row r="278" customFormat="false" ht="15" hidden="false" customHeight="false" outlineLevel="0" collapsed="false">
      <c r="A278" s="12"/>
      <c r="B278" s="12"/>
      <c r="C278" s="13" t="str">
        <f aca="false">IF(ISNUMBER(B278),IF(B278&gt;Results!$C$5,1,0),"")</f>
        <v/>
      </c>
      <c r="D278" s="13" t="str">
        <f aca="false">IF(ISNUMBER(C278),IF(C278=1,N(D277)+1,0),"")</f>
        <v/>
      </c>
      <c r="E278" s="14" t="str">
        <f aca="false">IF(ISNUMBER(B278),B278-(Results!$C$15+Results!$C$14*A278),"")</f>
        <v/>
      </c>
    </row>
    <row r="279" customFormat="false" ht="15" hidden="false" customHeight="false" outlineLevel="0" collapsed="false">
      <c r="A279" s="12"/>
      <c r="B279" s="12"/>
      <c r="C279" s="13" t="str">
        <f aca="false">IF(ISNUMBER(B279),IF(B279&gt;Results!$C$5,1,0),"")</f>
        <v/>
      </c>
      <c r="D279" s="13" t="str">
        <f aca="false">IF(ISNUMBER(C279),IF(C279=1,N(D278)+1,0),"")</f>
        <v/>
      </c>
      <c r="E279" s="14" t="str">
        <f aca="false">IF(ISNUMBER(B279),B279-(Results!$C$15+Results!$C$14*A279),"")</f>
        <v/>
      </c>
    </row>
    <row r="280" customFormat="false" ht="15" hidden="false" customHeight="false" outlineLevel="0" collapsed="false">
      <c r="A280" s="12"/>
      <c r="B280" s="12"/>
      <c r="C280" s="13" t="str">
        <f aca="false">IF(ISNUMBER(B280),IF(B280&gt;Results!$C$5,1,0),"")</f>
        <v/>
      </c>
      <c r="D280" s="13" t="str">
        <f aca="false">IF(ISNUMBER(C280),IF(C280=1,N(D279)+1,0),"")</f>
        <v/>
      </c>
      <c r="E280" s="14" t="str">
        <f aca="false">IF(ISNUMBER(B280),B280-(Results!$C$15+Results!$C$14*A280),"")</f>
        <v/>
      </c>
    </row>
    <row r="281" customFormat="false" ht="15" hidden="false" customHeight="false" outlineLevel="0" collapsed="false">
      <c r="A281" s="12"/>
      <c r="B281" s="12"/>
      <c r="C281" s="13" t="str">
        <f aca="false">IF(ISNUMBER(B281),IF(B281&gt;Results!$C$5,1,0),"")</f>
        <v/>
      </c>
      <c r="D281" s="13" t="str">
        <f aca="false">IF(ISNUMBER(C281),IF(C281=1,N(D280)+1,0),"")</f>
        <v/>
      </c>
      <c r="E281" s="14" t="str">
        <f aca="false">IF(ISNUMBER(B281),B281-(Results!$C$15+Results!$C$14*A281),"")</f>
        <v/>
      </c>
    </row>
    <row r="282" customFormat="false" ht="15" hidden="false" customHeight="false" outlineLevel="0" collapsed="false">
      <c r="A282" s="12"/>
      <c r="B282" s="12"/>
      <c r="C282" s="13" t="str">
        <f aca="false">IF(ISNUMBER(B282),IF(B282&gt;Results!$C$5,1,0),"")</f>
        <v/>
      </c>
      <c r="D282" s="13" t="str">
        <f aca="false">IF(ISNUMBER(C282),IF(C282=1,N(D281)+1,0),"")</f>
        <v/>
      </c>
      <c r="E282" s="14" t="str">
        <f aca="false">IF(ISNUMBER(B282),B282-(Results!$C$15+Results!$C$14*A282),"")</f>
        <v/>
      </c>
    </row>
    <row r="283" customFormat="false" ht="15" hidden="false" customHeight="false" outlineLevel="0" collapsed="false">
      <c r="A283" s="12"/>
      <c r="B283" s="12"/>
      <c r="C283" s="13" t="str">
        <f aca="false">IF(ISNUMBER(B283),IF(B283&gt;Results!$C$5,1,0),"")</f>
        <v/>
      </c>
      <c r="D283" s="13" t="str">
        <f aca="false">IF(ISNUMBER(C283),IF(C283=1,N(D282)+1,0),"")</f>
        <v/>
      </c>
      <c r="E283" s="14" t="str">
        <f aca="false">IF(ISNUMBER(B283),B283-(Results!$C$15+Results!$C$14*A283),"")</f>
        <v/>
      </c>
    </row>
    <row r="284" customFormat="false" ht="15" hidden="false" customHeight="false" outlineLevel="0" collapsed="false">
      <c r="A284" s="12"/>
      <c r="B284" s="12"/>
      <c r="C284" s="13" t="str">
        <f aca="false">IF(ISNUMBER(B284),IF(B284&gt;Results!$C$5,1,0),"")</f>
        <v/>
      </c>
      <c r="D284" s="13" t="str">
        <f aca="false">IF(ISNUMBER(C284),IF(C284=1,N(D283)+1,0),"")</f>
        <v/>
      </c>
      <c r="E284" s="14" t="str">
        <f aca="false">IF(ISNUMBER(B284),B284-(Results!$C$15+Results!$C$14*A284),"")</f>
        <v/>
      </c>
    </row>
    <row r="285" customFormat="false" ht="15" hidden="false" customHeight="false" outlineLevel="0" collapsed="false">
      <c r="A285" s="12"/>
      <c r="B285" s="12"/>
      <c r="C285" s="13" t="str">
        <f aca="false">IF(ISNUMBER(B285),IF(B285&gt;Results!$C$5,1,0),"")</f>
        <v/>
      </c>
      <c r="D285" s="13" t="str">
        <f aca="false">IF(ISNUMBER(C285),IF(C285=1,N(D284)+1,0),"")</f>
        <v/>
      </c>
      <c r="E285" s="14" t="str">
        <f aca="false">IF(ISNUMBER(B285),B285-(Results!$C$15+Results!$C$14*A285),"")</f>
        <v/>
      </c>
    </row>
    <row r="286" customFormat="false" ht="15" hidden="false" customHeight="false" outlineLevel="0" collapsed="false">
      <c r="A286" s="12"/>
      <c r="B286" s="12"/>
      <c r="C286" s="13" t="str">
        <f aca="false">IF(ISNUMBER(B286),IF(B286&gt;Results!$C$5,1,0),"")</f>
        <v/>
      </c>
      <c r="D286" s="13" t="str">
        <f aca="false">IF(ISNUMBER(C286),IF(C286=1,N(D285)+1,0),"")</f>
        <v/>
      </c>
      <c r="E286" s="14" t="str">
        <f aca="false">IF(ISNUMBER(B286),B286-(Results!$C$15+Results!$C$14*A286),"")</f>
        <v/>
      </c>
    </row>
    <row r="287" customFormat="false" ht="15" hidden="false" customHeight="false" outlineLevel="0" collapsed="false">
      <c r="A287" s="12"/>
      <c r="B287" s="12"/>
      <c r="C287" s="13" t="str">
        <f aca="false">IF(ISNUMBER(B287),IF(B287&gt;Results!$C$5,1,0),"")</f>
        <v/>
      </c>
      <c r="D287" s="13" t="str">
        <f aca="false">IF(ISNUMBER(C287),IF(C287=1,N(D286)+1,0),"")</f>
        <v/>
      </c>
      <c r="E287" s="14" t="str">
        <f aca="false">IF(ISNUMBER(B287),B287-(Results!$C$15+Results!$C$14*A287),"")</f>
        <v/>
      </c>
    </row>
    <row r="288" customFormat="false" ht="15" hidden="false" customHeight="false" outlineLevel="0" collapsed="false">
      <c r="A288" s="12"/>
      <c r="B288" s="12"/>
      <c r="C288" s="13" t="str">
        <f aca="false">IF(ISNUMBER(B288),IF(B288&gt;Results!$C$5,1,0),"")</f>
        <v/>
      </c>
      <c r="D288" s="13" t="str">
        <f aca="false">IF(ISNUMBER(C288),IF(C288=1,N(D287)+1,0),"")</f>
        <v/>
      </c>
      <c r="E288" s="14" t="str">
        <f aca="false">IF(ISNUMBER(B288),B288-(Results!$C$15+Results!$C$14*A288),"")</f>
        <v/>
      </c>
    </row>
    <row r="289" customFormat="false" ht="15" hidden="false" customHeight="false" outlineLevel="0" collapsed="false">
      <c r="A289" s="12"/>
      <c r="B289" s="12"/>
      <c r="C289" s="13" t="str">
        <f aca="false">IF(ISNUMBER(B289),IF(B289&gt;Results!$C$5,1,0),"")</f>
        <v/>
      </c>
      <c r="D289" s="13" t="str">
        <f aca="false">IF(ISNUMBER(C289),IF(C289=1,N(D288)+1,0),"")</f>
        <v/>
      </c>
      <c r="E289" s="14" t="str">
        <f aca="false">IF(ISNUMBER(B289),B289-(Results!$C$15+Results!$C$14*A289),"")</f>
        <v/>
      </c>
    </row>
    <row r="290" customFormat="false" ht="15" hidden="false" customHeight="false" outlineLevel="0" collapsed="false">
      <c r="A290" s="12"/>
      <c r="B290" s="12"/>
      <c r="C290" s="13" t="str">
        <f aca="false">IF(ISNUMBER(B290),IF(B290&gt;Results!$C$5,1,0),"")</f>
        <v/>
      </c>
      <c r="D290" s="13" t="str">
        <f aca="false">IF(ISNUMBER(C290),IF(C290=1,N(D289)+1,0),"")</f>
        <v/>
      </c>
      <c r="E290" s="14" t="str">
        <f aca="false">IF(ISNUMBER(B290),B290-(Results!$C$15+Results!$C$14*A290),"")</f>
        <v/>
      </c>
    </row>
    <row r="291" customFormat="false" ht="15" hidden="false" customHeight="false" outlineLevel="0" collapsed="false">
      <c r="A291" s="12"/>
      <c r="B291" s="12"/>
      <c r="C291" s="13" t="str">
        <f aca="false">IF(ISNUMBER(B291),IF(B291&gt;Results!$C$5,1,0),"")</f>
        <v/>
      </c>
      <c r="D291" s="13" t="str">
        <f aca="false">IF(ISNUMBER(C291),IF(C291=1,N(D290)+1,0),"")</f>
        <v/>
      </c>
      <c r="E291" s="14" t="str">
        <f aca="false">IF(ISNUMBER(B291),B291-(Results!$C$15+Results!$C$14*A291),"")</f>
        <v/>
      </c>
    </row>
    <row r="292" customFormat="false" ht="15" hidden="false" customHeight="false" outlineLevel="0" collapsed="false">
      <c r="A292" s="12"/>
      <c r="B292" s="12"/>
      <c r="C292" s="13" t="str">
        <f aca="false">IF(ISNUMBER(B292),IF(B292&gt;Results!$C$5,1,0),"")</f>
        <v/>
      </c>
      <c r="D292" s="13" t="str">
        <f aca="false">IF(ISNUMBER(C292),IF(C292=1,N(D291)+1,0),"")</f>
        <v/>
      </c>
      <c r="E292" s="14" t="str">
        <f aca="false">IF(ISNUMBER(B292),B292-(Results!$C$15+Results!$C$14*A292),"")</f>
        <v/>
      </c>
    </row>
    <row r="293" customFormat="false" ht="15" hidden="false" customHeight="false" outlineLevel="0" collapsed="false">
      <c r="A293" s="12"/>
      <c r="B293" s="12"/>
      <c r="C293" s="13" t="str">
        <f aca="false">IF(ISNUMBER(B293),IF(B293&gt;Results!$C$5,1,0),"")</f>
        <v/>
      </c>
      <c r="D293" s="13" t="str">
        <f aca="false">IF(ISNUMBER(C293),IF(C293=1,N(D292)+1,0),"")</f>
        <v/>
      </c>
      <c r="E293" s="14" t="str">
        <f aca="false">IF(ISNUMBER(B293),B293-(Results!$C$15+Results!$C$14*A293),"")</f>
        <v/>
      </c>
    </row>
    <row r="294" customFormat="false" ht="15" hidden="false" customHeight="false" outlineLevel="0" collapsed="false">
      <c r="A294" s="12"/>
      <c r="B294" s="12"/>
      <c r="C294" s="13" t="str">
        <f aca="false">IF(ISNUMBER(B294),IF(B294&gt;Results!$C$5,1,0),"")</f>
        <v/>
      </c>
      <c r="D294" s="13" t="str">
        <f aca="false">IF(ISNUMBER(C294),IF(C294=1,N(D293)+1,0),"")</f>
        <v/>
      </c>
      <c r="E294" s="14" t="str">
        <f aca="false">IF(ISNUMBER(B294),B294-(Results!$C$15+Results!$C$14*A294),"")</f>
        <v/>
      </c>
    </row>
    <row r="295" customFormat="false" ht="15" hidden="false" customHeight="false" outlineLevel="0" collapsed="false">
      <c r="A295" s="12"/>
      <c r="B295" s="12"/>
      <c r="C295" s="13" t="str">
        <f aca="false">IF(ISNUMBER(B295),IF(B295&gt;Results!$C$5,1,0),"")</f>
        <v/>
      </c>
      <c r="D295" s="13" t="str">
        <f aca="false">IF(ISNUMBER(C295),IF(C295=1,N(D294)+1,0),"")</f>
        <v/>
      </c>
      <c r="E295" s="14" t="str">
        <f aca="false">IF(ISNUMBER(B295),B295-(Results!$C$15+Results!$C$14*A295),"")</f>
        <v/>
      </c>
    </row>
    <row r="296" customFormat="false" ht="15" hidden="false" customHeight="false" outlineLevel="0" collapsed="false">
      <c r="A296" s="12"/>
      <c r="B296" s="12"/>
      <c r="C296" s="13" t="str">
        <f aca="false">IF(ISNUMBER(B296),IF(B296&gt;Results!$C$5,1,0),"")</f>
        <v/>
      </c>
      <c r="D296" s="13" t="str">
        <f aca="false">IF(ISNUMBER(C296),IF(C296=1,N(D295)+1,0),"")</f>
        <v/>
      </c>
      <c r="E296" s="14" t="str">
        <f aca="false">IF(ISNUMBER(B296),B296-(Results!$C$15+Results!$C$14*A296),"")</f>
        <v/>
      </c>
    </row>
    <row r="297" customFormat="false" ht="15" hidden="false" customHeight="false" outlineLevel="0" collapsed="false">
      <c r="A297" s="12"/>
      <c r="B297" s="12"/>
      <c r="C297" s="13" t="str">
        <f aca="false">IF(ISNUMBER(B297),IF(B297&gt;Results!$C$5,1,0),"")</f>
        <v/>
      </c>
      <c r="D297" s="13" t="str">
        <f aca="false">IF(ISNUMBER(C297),IF(C297=1,N(D296)+1,0),"")</f>
        <v/>
      </c>
      <c r="E297" s="14" t="str">
        <f aca="false">IF(ISNUMBER(B297),B297-(Results!$C$15+Results!$C$14*A297),"")</f>
        <v/>
      </c>
    </row>
    <row r="298" customFormat="false" ht="15" hidden="false" customHeight="false" outlineLevel="0" collapsed="false">
      <c r="A298" s="12"/>
      <c r="B298" s="12"/>
      <c r="C298" s="13" t="str">
        <f aca="false">IF(ISNUMBER(B298),IF(B298&gt;Results!$C$5,1,0),"")</f>
        <v/>
      </c>
      <c r="D298" s="13" t="str">
        <f aca="false">IF(ISNUMBER(C298),IF(C298=1,N(D297)+1,0),"")</f>
        <v/>
      </c>
      <c r="E298" s="14" t="str">
        <f aca="false">IF(ISNUMBER(B298),B298-(Results!$C$15+Results!$C$14*A298),"")</f>
        <v/>
      </c>
    </row>
    <row r="299" customFormat="false" ht="15" hidden="false" customHeight="false" outlineLevel="0" collapsed="false">
      <c r="A299" s="12"/>
      <c r="B299" s="12"/>
      <c r="C299" s="13" t="str">
        <f aca="false">IF(ISNUMBER(B299),IF(B299&gt;Results!$C$5,1,0),"")</f>
        <v/>
      </c>
      <c r="D299" s="13" t="str">
        <f aca="false">IF(ISNUMBER(C299),IF(C299=1,N(D298)+1,0),"")</f>
        <v/>
      </c>
      <c r="E299" s="14" t="str">
        <f aca="false">IF(ISNUMBER(B299),B299-(Results!$C$15+Results!$C$14*A299),"")</f>
        <v/>
      </c>
    </row>
    <row r="300" customFormat="false" ht="15" hidden="false" customHeight="false" outlineLevel="0" collapsed="false">
      <c r="A300" s="12"/>
      <c r="B300" s="12"/>
      <c r="C300" s="13" t="str">
        <f aca="false">IF(ISNUMBER(B300),IF(B300&gt;Results!$C$5,1,0),"")</f>
        <v/>
      </c>
      <c r="D300" s="13" t="str">
        <f aca="false">IF(ISNUMBER(C300),IF(C300=1,N(D299)+1,0),"")</f>
        <v/>
      </c>
      <c r="E300" s="14" t="str">
        <f aca="false">IF(ISNUMBER(B300),B300-(Results!$C$15+Results!$C$14*A300),"")</f>
        <v/>
      </c>
    </row>
    <row r="301" customFormat="false" ht="15" hidden="false" customHeight="false" outlineLevel="0" collapsed="false">
      <c r="A301" s="12"/>
      <c r="B301" s="12"/>
      <c r="C301" s="13" t="str">
        <f aca="false">IF(ISNUMBER(B301),IF(B301&gt;Results!$C$5,1,0),"")</f>
        <v/>
      </c>
      <c r="D301" s="13" t="str">
        <f aca="false">IF(ISNUMBER(C301),IF(C301=1,N(D300)+1,0),"")</f>
        <v/>
      </c>
      <c r="E301" s="14" t="str">
        <f aca="false">IF(ISNUMBER(B301),B301-(Results!$C$15+Results!$C$14*A301),"")</f>
        <v/>
      </c>
    </row>
    <row r="302" customFormat="false" ht="15" hidden="false" customHeight="false" outlineLevel="0" collapsed="false">
      <c r="A302" s="12"/>
      <c r="B302" s="12"/>
      <c r="C302" s="13" t="str">
        <f aca="false">IF(ISNUMBER(B302),IF(B302&gt;Results!$C$5,1,0),"")</f>
        <v/>
      </c>
      <c r="D302" s="13" t="str">
        <f aca="false">IF(ISNUMBER(C302),IF(C302=1,N(D301)+1,0),"")</f>
        <v/>
      </c>
      <c r="E302" s="14" t="str">
        <f aca="false">IF(ISNUMBER(B302),B302-(Results!$C$15+Results!$C$14*A302),"")</f>
        <v/>
      </c>
    </row>
    <row r="303" customFormat="false" ht="15" hidden="false" customHeight="false" outlineLevel="0" collapsed="false">
      <c r="A303" s="12"/>
      <c r="B303" s="12"/>
      <c r="C303" s="13" t="str">
        <f aca="false">IF(ISNUMBER(B303),IF(B303&gt;Results!$C$5,1,0),"")</f>
        <v/>
      </c>
      <c r="D303" s="13" t="str">
        <f aca="false">IF(ISNUMBER(C303),IF(C303=1,N(D302)+1,0),"")</f>
        <v/>
      </c>
      <c r="E303" s="14" t="str">
        <f aca="false">IF(ISNUMBER(B303),B303-(Results!$C$15+Results!$C$14*A303),"")</f>
        <v/>
      </c>
    </row>
    <row r="304" customFormat="false" ht="15" hidden="false" customHeight="false" outlineLevel="0" collapsed="false">
      <c r="A304" s="12"/>
      <c r="B304" s="12"/>
      <c r="C304" s="13" t="str">
        <f aca="false">IF(ISNUMBER(B304),IF(B304&gt;Results!$C$5,1,0),"")</f>
        <v/>
      </c>
      <c r="D304" s="13" t="str">
        <f aca="false">IF(ISNUMBER(C304),IF(C304=1,N(D303)+1,0),"")</f>
        <v/>
      </c>
      <c r="E304" s="14" t="str">
        <f aca="false">IF(ISNUMBER(B304),B304-(Results!$C$15+Results!$C$14*A304),"")</f>
        <v/>
      </c>
    </row>
    <row r="305" customFormat="false" ht="15" hidden="false" customHeight="false" outlineLevel="0" collapsed="false">
      <c r="A305" s="12"/>
      <c r="B305" s="12"/>
      <c r="C305" s="13" t="str">
        <f aca="false">IF(ISNUMBER(B305),IF(B305&gt;Results!$C$5,1,0),"")</f>
        <v/>
      </c>
      <c r="D305" s="13" t="str">
        <f aca="false">IF(ISNUMBER(C305),IF(C305=1,N(D304)+1,0),"")</f>
        <v/>
      </c>
      <c r="E305" s="14" t="str">
        <f aca="false">IF(ISNUMBER(B305),B305-(Results!$C$15+Results!$C$14*A305),"")</f>
        <v/>
      </c>
    </row>
    <row r="306" customFormat="false" ht="15" hidden="false" customHeight="false" outlineLevel="0" collapsed="false">
      <c r="A306" s="12"/>
      <c r="B306" s="12"/>
      <c r="C306" s="13" t="str">
        <f aca="false">IF(ISNUMBER(B306),IF(B306&gt;Results!$C$5,1,0),"")</f>
        <v/>
      </c>
      <c r="D306" s="13" t="str">
        <f aca="false">IF(ISNUMBER(C306),IF(C306=1,N(D305)+1,0),"")</f>
        <v/>
      </c>
      <c r="E306" s="14" t="str">
        <f aca="false">IF(ISNUMBER(B306),B306-(Results!$C$15+Results!$C$14*A306),"")</f>
        <v/>
      </c>
    </row>
    <row r="307" customFormat="false" ht="15" hidden="false" customHeight="false" outlineLevel="0" collapsed="false">
      <c r="A307" s="12"/>
      <c r="B307" s="12"/>
      <c r="C307" s="13" t="str">
        <f aca="false">IF(ISNUMBER(B307),IF(B307&gt;Results!$C$5,1,0),"")</f>
        <v/>
      </c>
      <c r="D307" s="13" t="str">
        <f aca="false">IF(ISNUMBER(C307),IF(C307=1,N(D306)+1,0),"")</f>
        <v/>
      </c>
      <c r="E307" s="14" t="str">
        <f aca="false">IF(ISNUMBER(B307),B307-(Results!$C$15+Results!$C$14*A307),"")</f>
        <v/>
      </c>
    </row>
    <row r="308" customFormat="false" ht="15" hidden="false" customHeight="false" outlineLevel="0" collapsed="false">
      <c r="A308" s="12"/>
      <c r="B308" s="12"/>
      <c r="C308" s="13" t="str">
        <f aca="false">IF(ISNUMBER(B308),IF(B308&gt;Results!$C$5,1,0),"")</f>
        <v/>
      </c>
      <c r="D308" s="13" t="str">
        <f aca="false">IF(ISNUMBER(C308),IF(C308=1,N(D307)+1,0),"")</f>
        <v/>
      </c>
      <c r="E308" s="14" t="str">
        <f aca="false">IF(ISNUMBER(B308),B308-(Results!$C$15+Results!$C$14*A308),"")</f>
        <v/>
      </c>
    </row>
    <row r="309" customFormat="false" ht="15" hidden="false" customHeight="false" outlineLevel="0" collapsed="false">
      <c r="A309" s="12"/>
      <c r="B309" s="12"/>
      <c r="C309" s="13" t="str">
        <f aca="false">IF(ISNUMBER(B309),IF(B309&gt;Results!$C$5,1,0),"")</f>
        <v/>
      </c>
      <c r="D309" s="13" t="str">
        <f aca="false">IF(ISNUMBER(C309),IF(C309=1,N(D308)+1,0),"")</f>
        <v/>
      </c>
      <c r="E309" s="14" t="str">
        <f aca="false">IF(ISNUMBER(B309),B309-(Results!$C$15+Results!$C$14*A309),"")</f>
        <v/>
      </c>
    </row>
    <row r="310" customFormat="false" ht="15" hidden="false" customHeight="false" outlineLevel="0" collapsed="false">
      <c r="A310" s="12"/>
      <c r="B310" s="12"/>
      <c r="C310" s="13" t="str">
        <f aca="false">IF(ISNUMBER(B310),IF(B310&gt;Results!$C$5,1,0),"")</f>
        <v/>
      </c>
      <c r="D310" s="13" t="str">
        <f aca="false">IF(ISNUMBER(C310),IF(C310=1,N(D309)+1,0),"")</f>
        <v/>
      </c>
      <c r="E310" s="14" t="str">
        <f aca="false">IF(ISNUMBER(B310),B310-(Results!$C$15+Results!$C$14*A310),"")</f>
        <v/>
      </c>
    </row>
    <row r="311" customFormat="false" ht="15" hidden="false" customHeight="false" outlineLevel="0" collapsed="false">
      <c r="A311" s="12"/>
      <c r="B311" s="12"/>
      <c r="C311" s="13" t="str">
        <f aca="false">IF(ISNUMBER(B311),IF(B311&gt;Results!$C$5,1,0),"")</f>
        <v/>
      </c>
      <c r="D311" s="13" t="str">
        <f aca="false">IF(ISNUMBER(C311),IF(C311=1,N(D310)+1,0),"")</f>
        <v/>
      </c>
      <c r="E311" s="14" t="str">
        <f aca="false">IF(ISNUMBER(B311),B311-(Results!$C$15+Results!$C$14*A311),"")</f>
        <v/>
      </c>
    </row>
    <row r="312" customFormat="false" ht="15" hidden="false" customHeight="false" outlineLevel="0" collapsed="false">
      <c r="A312" s="12"/>
      <c r="B312" s="12"/>
      <c r="C312" s="13" t="str">
        <f aca="false">IF(ISNUMBER(B312),IF(B312&gt;Results!$C$5,1,0),"")</f>
        <v/>
      </c>
      <c r="D312" s="13" t="str">
        <f aca="false">IF(ISNUMBER(C312),IF(C312=1,N(D311)+1,0),"")</f>
        <v/>
      </c>
      <c r="E312" s="14" t="str">
        <f aca="false">IF(ISNUMBER(B312),B312-(Results!$C$15+Results!$C$14*A312),"")</f>
        <v/>
      </c>
    </row>
    <row r="313" customFormat="false" ht="15" hidden="false" customHeight="false" outlineLevel="0" collapsed="false">
      <c r="A313" s="12"/>
      <c r="B313" s="12"/>
      <c r="C313" s="13" t="str">
        <f aca="false">IF(ISNUMBER(B313),IF(B313&gt;Results!$C$5,1,0),"")</f>
        <v/>
      </c>
      <c r="D313" s="13" t="str">
        <f aca="false">IF(ISNUMBER(C313),IF(C313=1,N(D312)+1,0),"")</f>
        <v/>
      </c>
      <c r="E313" s="14" t="str">
        <f aca="false">IF(ISNUMBER(B313),B313-(Results!$C$15+Results!$C$14*A313),"")</f>
        <v/>
      </c>
    </row>
    <row r="314" customFormat="false" ht="15" hidden="false" customHeight="false" outlineLevel="0" collapsed="false">
      <c r="A314" s="12"/>
      <c r="B314" s="12"/>
      <c r="C314" s="13" t="str">
        <f aca="false">IF(ISNUMBER(B314),IF(B314&gt;Results!$C$5,1,0),"")</f>
        <v/>
      </c>
      <c r="D314" s="13" t="str">
        <f aca="false">IF(ISNUMBER(C314),IF(C314=1,N(D313)+1,0),"")</f>
        <v/>
      </c>
      <c r="E314" s="14" t="str">
        <f aca="false">IF(ISNUMBER(B314),B314-(Results!$C$15+Results!$C$14*A314),"")</f>
        <v/>
      </c>
    </row>
    <row r="315" customFormat="false" ht="15" hidden="false" customHeight="false" outlineLevel="0" collapsed="false">
      <c r="A315" s="12"/>
      <c r="B315" s="12"/>
      <c r="C315" s="13" t="str">
        <f aca="false">IF(ISNUMBER(B315),IF(B315&gt;Results!$C$5,1,0),"")</f>
        <v/>
      </c>
      <c r="D315" s="13" t="str">
        <f aca="false">IF(ISNUMBER(C315),IF(C315=1,N(D314)+1,0),"")</f>
        <v/>
      </c>
      <c r="E315" s="14" t="str">
        <f aca="false">IF(ISNUMBER(B315),B315-(Results!$C$15+Results!$C$14*A315),"")</f>
        <v/>
      </c>
    </row>
    <row r="316" customFormat="false" ht="15" hidden="false" customHeight="false" outlineLevel="0" collapsed="false">
      <c r="A316" s="12"/>
      <c r="B316" s="12"/>
      <c r="C316" s="13" t="str">
        <f aca="false">IF(ISNUMBER(B316),IF(B316&gt;Results!$C$5,1,0),"")</f>
        <v/>
      </c>
      <c r="D316" s="13" t="str">
        <f aca="false">IF(ISNUMBER(C316),IF(C316=1,N(D315)+1,0),"")</f>
        <v/>
      </c>
      <c r="E316" s="14" t="str">
        <f aca="false">IF(ISNUMBER(B316),B316-(Results!$C$15+Results!$C$14*A316),"")</f>
        <v/>
      </c>
    </row>
    <row r="317" customFormat="false" ht="15" hidden="false" customHeight="false" outlineLevel="0" collapsed="false">
      <c r="A317" s="12"/>
      <c r="B317" s="12"/>
      <c r="C317" s="13" t="str">
        <f aca="false">IF(ISNUMBER(B317),IF(B317&gt;Results!$C$5,1,0),"")</f>
        <v/>
      </c>
      <c r="D317" s="13" t="str">
        <f aca="false">IF(ISNUMBER(C317),IF(C317=1,N(D316)+1,0),"")</f>
        <v/>
      </c>
      <c r="E317" s="14" t="str">
        <f aca="false">IF(ISNUMBER(B317),B317-(Results!$C$15+Results!$C$14*A317),"")</f>
        <v/>
      </c>
    </row>
    <row r="318" customFormat="false" ht="15" hidden="false" customHeight="false" outlineLevel="0" collapsed="false">
      <c r="A318" s="12"/>
      <c r="B318" s="12"/>
      <c r="C318" s="13" t="str">
        <f aca="false">IF(ISNUMBER(B318),IF(B318&gt;Results!$C$5,1,0),"")</f>
        <v/>
      </c>
      <c r="D318" s="13" t="str">
        <f aca="false">IF(ISNUMBER(C318),IF(C318=1,N(D317)+1,0),"")</f>
        <v/>
      </c>
      <c r="E318" s="14" t="str">
        <f aca="false">IF(ISNUMBER(B318),B318-(Results!$C$15+Results!$C$14*A318),"")</f>
        <v/>
      </c>
    </row>
    <row r="319" customFormat="false" ht="15" hidden="false" customHeight="false" outlineLevel="0" collapsed="false">
      <c r="A319" s="12"/>
      <c r="B319" s="12"/>
      <c r="C319" s="13" t="str">
        <f aca="false">IF(ISNUMBER(B319),IF(B319&gt;Results!$C$5,1,0),"")</f>
        <v/>
      </c>
      <c r="D319" s="13" t="str">
        <f aca="false">IF(ISNUMBER(C319),IF(C319=1,N(D318)+1,0),"")</f>
        <v/>
      </c>
      <c r="E319" s="14" t="str">
        <f aca="false">IF(ISNUMBER(B319),B319-(Results!$C$15+Results!$C$14*A319),"")</f>
        <v/>
      </c>
    </row>
    <row r="320" customFormat="false" ht="15" hidden="false" customHeight="false" outlineLevel="0" collapsed="false">
      <c r="A320" s="12"/>
      <c r="B320" s="12"/>
      <c r="C320" s="13" t="str">
        <f aca="false">IF(ISNUMBER(B320),IF(B320&gt;Results!$C$5,1,0),"")</f>
        <v/>
      </c>
      <c r="D320" s="13" t="str">
        <f aca="false">IF(ISNUMBER(C320),IF(C320=1,N(D319)+1,0),"")</f>
        <v/>
      </c>
      <c r="E320" s="14" t="str">
        <f aca="false">IF(ISNUMBER(B320),B320-(Results!$C$15+Results!$C$14*A320),"")</f>
        <v/>
      </c>
    </row>
    <row r="321" customFormat="false" ht="15" hidden="false" customHeight="false" outlineLevel="0" collapsed="false">
      <c r="A321" s="12"/>
      <c r="B321" s="12"/>
      <c r="C321" s="13" t="str">
        <f aca="false">IF(ISNUMBER(B321),IF(B321&gt;Results!$C$5,1,0),"")</f>
        <v/>
      </c>
      <c r="D321" s="13" t="str">
        <f aca="false">IF(ISNUMBER(C321),IF(C321=1,N(D320)+1,0),"")</f>
        <v/>
      </c>
      <c r="E321" s="14" t="str">
        <f aca="false">IF(ISNUMBER(B321),B321-(Results!$C$15+Results!$C$14*A321),"")</f>
        <v/>
      </c>
    </row>
    <row r="322" customFormat="false" ht="15" hidden="false" customHeight="false" outlineLevel="0" collapsed="false">
      <c r="A322" s="12"/>
      <c r="B322" s="12"/>
      <c r="C322" s="13" t="str">
        <f aca="false">IF(ISNUMBER(B322),IF(B322&gt;Results!$C$5,1,0),"")</f>
        <v/>
      </c>
      <c r="D322" s="13" t="str">
        <f aca="false">IF(ISNUMBER(C322),IF(C322=1,N(D321)+1,0),"")</f>
        <v/>
      </c>
      <c r="E322" s="14" t="str">
        <f aca="false">IF(ISNUMBER(B322),B322-(Results!$C$15+Results!$C$14*A322),"")</f>
        <v/>
      </c>
    </row>
    <row r="323" customFormat="false" ht="15" hidden="false" customHeight="false" outlineLevel="0" collapsed="false">
      <c r="A323" s="12"/>
      <c r="B323" s="12"/>
      <c r="C323" s="13" t="str">
        <f aca="false">IF(ISNUMBER(B323),IF(B323&gt;Results!$C$5,1,0),"")</f>
        <v/>
      </c>
      <c r="D323" s="13" t="str">
        <f aca="false">IF(ISNUMBER(C323),IF(C323=1,N(D322)+1,0),"")</f>
        <v/>
      </c>
      <c r="E323" s="14" t="str">
        <f aca="false">IF(ISNUMBER(B323),B323-(Results!$C$15+Results!$C$14*A323),"")</f>
        <v/>
      </c>
    </row>
    <row r="324" customFormat="false" ht="15" hidden="false" customHeight="false" outlineLevel="0" collapsed="false">
      <c r="A324" s="12"/>
      <c r="B324" s="12"/>
      <c r="C324" s="13" t="str">
        <f aca="false">IF(ISNUMBER(B324),IF(B324&gt;Results!$C$5,1,0),"")</f>
        <v/>
      </c>
      <c r="D324" s="13" t="str">
        <f aca="false">IF(ISNUMBER(C324),IF(C324=1,N(D323)+1,0),"")</f>
        <v/>
      </c>
      <c r="E324" s="14" t="str">
        <f aca="false">IF(ISNUMBER(B324),B324-(Results!$C$15+Results!$C$14*A324),"")</f>
        <v/>
      </c>
    </row>
    <row r="325" customFormat="false" ht="15" hidden="false" customHeight="false" outlineLevel="0" collapsed="false">
      <c r="A325" s="12"/>
      <c r="B325" s="12"/>
      <c r="C325" s="13" t="str">
        <f aca="false">IF(ISNUMBER(B325),IF(B325&gt;Results!$C$5,1,0),"")</f>
        <v/>
      </c>
      <c r="D325" s="13" t="str">
        <f aca="false">IF(ISNUMBER(C325),IF(C325=1,N(D324)+1,0),"")</f>
        <v/>
      </c>
      <c r="E325" s="14" t="str">
        <f aca="false">IF(ISNUMBER(B325),B325-(Results!$C$15+Results!$C$14*A325),"")</f>
        <v/>
      </c>
    </row>
    <row r="326" customFormat="false" ht="15" hidden="false" customHeight="false" outlineLevel="0" collapsed="false">
      <c r="A326" s="12"/>
      <c r="B326" s="12"/>
      <c r="C326" s="13" t="str">
        <f aca="false">IF(ISNUMBER(B326),IF(B326&gt;Results!$C$5,1,0),"")</f>
        <v/>
      </c>
      <c r="D326" s="13" t="str">
        <f aca="false">IF(ISNUMBER(C326),IF(C326=1,N(D325)+1,0),"")</f>
        <v/>
      </c>
      <c r="E326" s="14" t="str">
        <f aca="false">IF(ISNUMBER(B326),B326-(Results!$C$15+Results!$C$14*A326),"")</f>
        <v/>
      </c>
    </row>
    <row r="327" customFormat="false" ht="15" hidden="false" customHeight="false" outlineLevel="0" collapsed="false">
      <c r="A327" s="12"/>
      <c r="B327" s="12"/>
      <c r="C327" s="13" t="str">
        <f aca="false">IF(ISNUMBER(B327),IF(B327&gt;Results!$C$5,1,0),"")</f>
        <v/>
      </c>
      <c r="D327" s="13" t="str">
        <f aca="false">IF(ISNUMBER(C327),IF(C327=1,N(D326)+1,0),"")</f>
        <v/>
      </c>
      <c r="E327" s="14" t="str">
        <f aca="false">IF(ISNUMBER(B327),B327-(Results!$C$15+Results!$C$14*A327),"")</f>
        <v/>
      </c>
    </row>
    <row r="328" customFormat="false" ht="15" hidden="false" customHeight="false" outlineLevel="0" collapsed="false">
      <c r="A328" s="12"/>
      <c r="B328" s="12"/>
      <c r="C328" s="13" t="str">
        <f aca="false">IF(ISNUMBER(B328),IF(B328&gt;Results!$C$5,1,0),"")</f>
        <v/>
      </c>
      <c r="D328" s="13" t="str">
        <f aca="false">IF(ISNUMBER(C328),IF(C328=1,N(D327)+1,0),"")</f>
        <v/>
      </c>
      <c r="E328" s="14" t="str">
        <f aca="false">IF(ISNUMBER(B328),B328-(Results!$C$15+Results!$C$14*A328),"")</f>
        <v/>
      </c>
    </row>
    <row r="329" customFormat="false" ht="15" hidden="false" customHeight="false" outlineLevel="0" collapsed="false">
      <c r="A329" s="12"/>
      <c r="B329" s="12"/>
      <c r="C329" s="13" t="str">
        <f aca="false">IF(ISNUMBER(B329),IF(B329&gt;Results!$C$5,1,0),"")</f>
        <v/>
      </c>
      <c r="D329" s="13" t="str">
        <f aca="false">IF(ISNUMBER(C329),IF(C329=1,N(D328)+1,0),"")</f>
        <v/>
      </c>
      <c r="E329" s="14" t="str">
        <f aca="false">IF(ISNUMBER(B329),B329-(Results!$C$15+Results!$C$14*A329),"")</f>
        <v/>
      </c>
    </row>
    <row r="330" customFormat="false" ht="15" hidden="false" customHeight="false" outlineLevel="0" collapsed="false">
      <c r="A330" s="12"/>
      <c r="B330" s="12"/>
      <c r="C330" s="13" t="str">
        <f aca="false">IF(ISNUMBER(B330),IF(B330&gt;Results!$C$5,1,0),"")</f>
        <v/>
      </c>
      <c r="D330" s="13" t="str">
        <f aca="false">IF(ISNUMBER(C330),IF(C330=1,N(D329)+1,0),"")</f>
        <v/>
      </c>
      <c r="E330" s="14" t="str">
        <f aca="false">IF(ISNUMBER(B330),B330-(Results!$C$15+Results!$C$14*A330),"")</f>
        <v/>
      </c>
    </row>
    <row r="331" customFormat="false" ht="15" hidden="false" customHeight="false" outlineLevel="0" collapsed="false">
      <c r="A331" s="12"/>
      <c r="B331" s="12"/>
      <c r="C331" s="13" t="str">
        <f aca="false">IF(ISNUMBER(B331),IF(B331&gt;Results!$C$5,1,0),"")</f>
        <v/>
      </c>
      <c r="D331" s="13" t="str">
        <f aca="false">IF(ISNUMBER(C331),IF(C331=1,N(D330)+1,0),"")</f>
        <v/>
      </c>
      <c r="E331" s="14" t="str">
        <f aca="false">IF(ISNUMBER(B331),B331-(Results!$C$15+Results!$C$14*A331),"")</f>
        <v/>
      </c>
    </row>
    <row r="332" customFormat="false" ht="15" hidden="false" customHeight="false" outlineLevel="0" collapsed="false">
      <c r="A332" s="12"/>
      <c r="B332" s="12"/>
      <c r="C332" s="13" t="str">
        <f aca="false">IF(ISNUMBER(B332),IF(B332&gt;Results!$C$5,1,0),"")</f>
        <v/>
      </c>
      <c r="D332" s="13" t="str">
        <f aca="false">IF(ISNUMBER(C332),IF(C332=1,N(D331)+1,0),"")</f>
        <v/>
      </c>
      <c r="E332" s="14" t="str">
        <f aca="false">IF(ISNUMBER(B332),B332-(Results!$C$15+Results!$C$14*A332),"")</f>
        <v/>
      </c>
    </row>
    <row r="333" customFormat="false" ht="15" hidden="false" customHeight="false" outlineLevel="0" collapsed="false">
      <c r="A333" s="12"/>
      <c r="B333" s="12"/>
      <c r="C333" s="13" t="str">
        <f aca="false">IF(ISNUMBER(B333),IF(B333&gt;Results!$C$5,1,0),"")</f>
        <v/>
      </c>
      <c r="D333" s="13" t="str">
        <f aca="false">IF(ISNUMBER(C333),IF(C333=1,N(D332)+1,0),"")</f>
        <v/>
      </c>
      <c r="E333" s="14" t="str">
        <f aca="false">IF(ISNUMBER(B333),B333-(Results!$C$15+Results!$C$14*A333),"")</f>
        <v/>
      </c>
    </row>
    <row r="334" customFormat="false" ht="15" hidden="false" customHeight="false" outlineLevel="0" collapsed="false">
      <c r="A334" s="12"/>
      <c r="B334" s="12"/>
      <c r="C334" s="13" t="str">
        <f aca="false">IF(ISNUMBER(B334),IF(B334&gt;Results!$C$5,1,0),"")</f>
        <v/>
      </c>
      <c r="D334" s="13" t="str">
        <f aca="false">IF(ISNUMBER(C334),IF(C334=1,N(D333)+1,0),"")</f>
        <v/>
      </c>
      <c r="E334" s="14" t="str">
        <f aca="false">IF(ISNUMBER(B334),B334-(Results!$C$15+Results!$C$14*A334),"")</f>
        <v/>
      </c>
    </row>
    <row r="335" customFormat="false" ht="15" hidden="false" customHeight="false" outlineLevel="0" collapsed="false">
      <c r="A335" s="12"/>
      <c r="B335" s="12"/>
      <c r="C335" s="13" t="str">
        <f aca="false">IF(ISNUMBER(B335),IF(B335&gt;Results!$C$5,1,0),"")</f>
        <v/>
      </c>
      <c r="D335" s="13" t="str">
        <f aca="false">IF(ISNUMBER(C335),IF(C335=1,N(D334)+1,0),"")</f>
        <v/>
      </c>
      <c r="E335" s="14" t="str">
        <f aca="false">IF(ISNUMBER(B335),B335-(Results!$C$15+Results!$C$14*A335),"")</f>
        <v/>
      </c>
    </row>
    <row r="336" customFormat="false" ht="15" hidden="false" customHeight="false" outlineLevel="0" collapsed="false">
      <c r="A336" s="12"/>
      <c r="B336" s="12"/>
      <c r="C336" s="13" t="str">
        <f aca="false">IF(ISNUMBER(B336),IF(B336&gt;Results!$C$5,1,0),"")</f>
        <v/>
      </c>
      <c r="D336" s="13" t="str">
        <f aca="false">IF(ISNUMBER(C336),IF(C336=1,N(D335)+1,0),"")</f>
        <v/>
      </c>
      <c r="E336" s="14" t="str">
        <f aca="false">IF(ISNUMBER(B336),B336-(Results!$C$15+Results!$C$14*A336),"")</f>
        <v/>
      </c>
    </row>
    <row r="337" customFormat="false" ht="15" hidden="false" customHeight="false" outlineLevel="0" collapsed="false">
      <c r="A337" s="12"/>
      <c r="B337" s="12"/>
      <c r="C337" s="13" t="str">
        <f aca="false">IF(ISNUMBER(B337),IF(B337&gt;Results!$C$5,1,0),"")</f>
        <v/>
      </c>
      <c r="D337" s="13" t="str">
        <f aca="false">IF(ISNUMBER(C337),IF(C337=1,N(D336)+1,0),"")</f>
        <v/>
      </c>
      <c r="E337" s="14" t="str">
        <f aca="false">IF(ISNUMBER(B337),B337-(Results!$C$15+Results!$C$14*A337),"")</f>
        <v/>
      </c>
    </row>
    <row r="338" customFormat="false" ht="15" hidden="false" customHeight="false" outlineLevel="0" collapsed="false">
      <c r="A338" s="12"/>
      <c r="B338" s="12"/>
      <c r="C338" s="13" t="str">
        <f aca="false">IF(ISNUMBER(B338),IF(B338&gt;Results!$C$5,1,0),"")</f>
        <v/>
      </c>
      <c r="D338" s="13" t="str">
        <f aca="false">IF(ISNUMBER(C338),IF(C338=1,N(D337)+1,0),"")</f>
        <v/>
      </c>
      <c r="E338" s="14" t="str">
        <f aca="false">IF(ISNUMBER(B338),B338-(Results!$C$15+Results!$C$14*A338),"")</f>
        <v/>
      </c>
    </row>
    <row r="339" customFormat="false" ht="15" hidden="false" customHeight="false" outlineLevel="0" collapsed="false">
      <c r="A339" s="12"/>
      <c r="B339" s="12"/>
      <c r="C339" s="13" t="str">
        <f aca="false">IF(ISNUMBER(B339),IF(B339&gt;Results!$C$5,1,0),"")</f>
        <v/>
      </c>
      <c r="D339" s="13" t="str">
        <f aca="false">IF(ISNUMBER(C339),IF(C339=1,N(D338)+1,0),"")</f>
        <v/>
      </c>
      <c r="E339" s="14" t="str">
        <f aca="false">IF(ISNUMBER(B339),B339-(Results!$C$15+Results!$C$14*A339),"")</f>
        <v/>
      </c>
    </row>
    <row r="340" customFormat="false" ht="15" hidden="false" customHeight="false" outlineLevel="0" collapsed="false">
      <c r="A340" s="12"/>
      <c r="B340" s="12"/>
      <c r="C340" s="13" t="str">
        <f aca="false">IF(ISNUMBER(B340),IF(B340&gt;Results!$C$5,1,0),"")</f>
        <v/>
      </c>
      <c r="D340" s="13" t="str">
        <f aca="false">IF(ISNUMBER(C340),IF(C340=1,N(D339)+1,0),"")</f>
        <v/>
      </c>
      <c r="E340" s="14" t="str">
        <f aca="false">IF(ISNUMBER(B340),B340-(Results!$C$15+Results!$C$14*A340),"")</f>
        <v/>
      </c>
    </row>
    <row r="341" customFormat="false" ht="15" hidden="false" customHeight="false" outlineLevel="0" collapsed="false">
      <c r="A341" s="12"/>
      <c r="B341" s="12"/>
      <c r="C341" s="13" t="str">
        <f aca="false">IF(ISNUMBER(B341),IF(B341&gt;Results!$C$5,1,0),"")</f>
        <v/>
      </c>
      <c r="D341" s="13" t="str">
        <f aca="false">IF(ISNUMBER(C341),IF(C341=1,N(D340)+1,0),"")</f>
        <v/>
      </c>
      <c r="E341" s="14" t="str">
        <f aca="false">IF(ISNUMBER(B341),B341-(Results!$C$15+Results!$C$14*A341),"")</f>
        <v/>
      </c>
    </row>
    <row r="342" customFormat="false" ht="15" hidden="false" customHeight="false" outlineLevel="0" collapsed="false">
      <c r="A342" s="12"/>
      <c r="B342" s="12"/>
      <c r="C342" s="13" t="str">
        <f aca="false">IF(ISNUMBER(B342),IF(B342&gt;Results!$C$5,1,0),"")</f>
        <v/>
      </c>
      <c r="D342" s="13" t="str">
        <f aca="false">IF(ISNUMBER(C342),IF(C342=1,N(D341)+1,0),"")</f>
        <v/>
      </c>
      <c r="E342" s="14" t="str">
        <f aca="false">IF(ISNUMBER(B342),B342-(Results!$C$15+Results!$C$14*A342),"")</f>
        <v/>
      </c>
    </row>
    <row r="343" customFormat="false" ht="15" hidden="false" customHeight="false" outlineLevel="0" collapsed="false">
      <c r="A343" s="12"/>
      <c r="B343" s="12"/>
      <c r="C343" s="13" t="str">
        <f aca="false">IF(ISNUMBER(B343),IF(B343&gt;Results!$C$5,1,0),"")</f>
        <v/>
      </c>
      <c r="D343" s="13" t="str">
        <f aca="false">IF(ISNUMBER(C343),IF(C343=1,N(D342)+1,0),"")</f>
        <v/>
      </c>
      <c r="E343" s="14" t="str">
        <f aca="false">IF(ISNUMBER(B343),B343-(Results!$C$15+Results!$C$14*A343),"")</f>
        <v/>
      </c>
    </row>
    <row r="344" customFormat="false" ht="15" hidden="false" customHeight="false" outlineLevel="0" collapsed="false">
      <c r="A344" s="12"/>
      <c r="B344" s="12"/>
      <c r="C344" s="13" t="str">
        <f aca="false">IF(ISNUMBER(B344),IF(B344&gt;Results!$C$5,1,0),"")</f>
        <v/>
      </c>
      <c r="D344" s="13" t="str">
        <f aca="false">IF(ISNUMBER(C344),IF(C344=1,N(D343)+1,0),"")</f>
        <v/>
      </c>
      <c r="E344" s="14" t="str">
        <f aca="false">IF(ISNUMBER(B344),B344-(Results!$C$15+Results!$C$14*A344),"")</f>
        <v/>
      </c>
    </row>
    <row r="345" customFormat="false" ht="15" hidden="false" customHeight="false" outlineLevel="0" collapsed="false">
      <c r="A345" s="12"/>
      <c r="B345" s="12"/>
      <c r="C345" s="13" t="str">
        <f aca="false">IF(ISNUMBER(B345),IF(B345&gt;Results!$C$5,1,0),"")</f>
        <v/>
      </c>
      <c r="D345" s="13" t="str">
        <f aca="false">IF(ISNUMBER(C345),IF(C345=1,N(D344)+1,0),"")</f>
        <v/>
      </c>
      <c r="E345" s="14" t="str">
        <f aca="false">IF(ISNUMBER(B345),B345-(Results!$C$15+Results!$C$14*A345),"")</f>
        <v/>
      </c>
    </row>
    <row r="346" customFormat="false" ht="15" hidden="false" customHeight="false" outlineLevel="0" collapsed="false">
      <c r="A346" s="12"/>
      <c r="B346" s="12"/>
      <c r="C346" s="13" t="str">
        <f aca="false">IF(ISNUMBER(B346),IF(B346&gt;Results!$C$5,1,0),"")</f>
        <v/>
      </c>
      <c r="D346" s="13" t="str">
        <f aca="false">IF(ISNUMBER(C346),IF(C346=1,N(D345)+1,0),"")</f>
        <v/>
      </c>
      <c r="E346" s="14" t="str">
        <f aca="false">IF(ISNUMBER(B346),B346-(Results!$C$15+Results!$C$14*A346),"")</f>
        <v/>
      </c>
    </row>
    <row r="347" customFormat="false" ht="15" hidden="false" customHeight="false" outlineLevel="0" collapsed="false">
      <c r="A347" s="12"/>
      <c r="B347" s="12"/>
      <c r="C347" s="13" t="str">
        <f aca="false">IF(ISNUMBER(B347),IF(B347&gt;Results!$C$5,1,0),"")</f>
        <v/>
      </c>
      <c r="D347" s="13" t="str">
        <f aca="false">IF(ISNUMBER(C347),IF(C347=1,N(D346)+1,0),"")</f>
        <v/>
      </c>
      <c r="E347" s="14" t="str">
        <f aca="false">IF(ISNUMBER(B347),B347-(Results!$C$15+Results!$C$14*A347),"")</f>
        <v/>
      </c>
    </row>
    <row r="348" customFormat="false" ht="15" hidden="false" customHeight="false" outlineLevel="0" collapsed="false">
      <c r="A348" s="12"/>
      <c r="B348" s="12"/>
      <c r="C348" s="13" t="str">
        <f aca="false">IF(ISNUMBER(B348),IF(B348&gt;Results!$C$5,1,0),"")</f>
        <v/>
      </c>
      <c r="D348" s="13" t="str">
        <f aca="false">IF(ISNUMBER(C348),IF(C348=1,N(D347)+1,0),"")</f>
        <v/>
      </c>
      <c r="E348" s="14" t="str">
        <f aca="false">IF(ISNUMBER(B348),B348-(Results!$C$15+Results!$C$14*A348),"")</f>
        <v/>
      </c>
    </row>
    <row r="349" customFormat="false" ht="15" hidden="false" customHeight="false" outlineLevel="0" collapsed="false">
      <c r="A349" s="12"/>
      <c r="B349" s="12"/>
      <c r="C349" s="13" t="str">
        <f aca="false">IF(ISNUMBER(B349),IF(B349&gt;Results!$C$5,1,0),"")</f>
        <v/>
      </c>
      <c r="D349" s="13" t="str">
        <f aca="false">IF(ISNUMBER(C349),IF(C349=1,N(D348)+1,0),"")</f>
        <v/>
      </c>
      <c r="E349" s="14" t="str">
        <f aca="false">IF(ISNUMBER(B349),B349-(Results!$C$15+Results!$C$14*A349),"")</f>
        <v/>
      </c>
    </row>
    <row r="350" customFormat="false" ht="15" hidden="false" customHeight="false" outlineLevel="0" collapsed="false">
      <c r="A350" s="12"/>
      <c r="B350" s="12"/>
      <c r="C350" s="13" t="str">
        <f aca="false">IF(ISNUMBER(B350),IF(B350&gt;Results!$C$5,1,0),"")</f>
        <v/>
      </c>
      <c r="D350" s="13" t="str">
        <f aca="false">IF(ISNUMBER(C350),IF(C350=1,N(D349)+1,0),"")</f>
        <v/>
      </c>
      <c r="E350" s="14" t="str">
        <f aca="false">IF(ISNUMBER(B350),B350-(Results!$C$15+Results!$C$14*A350),"")</f>
        <v/>
      </c>
    </row>
    <row r="351" customFormat="false" ht="15" hidden="false" customHeight="false" outlineLevel="0" collapsed="false">
      <c r="A351" s="12"/>
      <c r="B351" s="12"/>
      <c r="C351" s="13" t="str">
        <f aca="false">IF(ISNUMBER(B351),IF(B351&gt;Results!$C$5,1,0),"")</f>
        <v/>
      </c>
      <c r="D351" s="13" t="str">
        <f aca="false">IF(ISNUMBER(C351),IF(C351=1,N(D350)+1,0),"")</f>
        <v/>
      </c>
      <c r="E351" s="14" t="str">
        <f aca="false">IF(ISNUMBER(B351),B351-(Results!$C$15+Results!$C$14*A351),"")</f>
        <v/>
      </c>
    </row>
    <row r="352" customFormat="false" ht="15" hidden="false" customHeight="false" outlineLevel="0" collapsed="false">
      <c r="A352" s="12"/>
      <c r="B352" s="12"/>
      <c r="C352" s="13" t="str">
        <f aca="false">IF(ISNUMBER(B352),IF(B352&gt;Results!$C$5,1,0),"")</f>
        <v/>
      </c>
      <c r="D352" s="13" t="str">
        <f aca="false">IF(ISNUMBER(C352),IF(C352=1,N(D351)+1,0),"")</f>
        <v/>
      </c>
      <c r="E352" s="14" t="str">
        <f aca="false">IF(ISNUMBER(B352),B352-(Results!$C$15+Results!$C$14*A352),"")</f>
        <v/>
      </c>
    </row>
    <row r="353" customFormat="false" ht="15" hidden="false" customHeight="false" outlineLevel="0" collapsed="false">
      <c r="A353" s="12"/>
      <c r="B353" s="12"/>
      <c r="C353" s="13" t="str">
        <f aca="false">IF(ISNUMBER(B353),IF(B353&gt;Results!$C$5,1,0),"")</f>
        <v/>
      </c>
      <c r="D353" s="13" t="str">
        <f aca="false">IF(ISNUMBER(C353),IF(C353=1,N(D352)+1,0),"")</f>
        <v/>
      </c>
      <c r="E353" s="14" t="str">
        <f aca="false">IF(ISNUMBER(B353),B353-(Results!$C$15+Results!$C$14*A353),"")</f>
        <v/>
      </c>
    </row>
    <row r="354" customFormat="false" ht="15" hidden="false" customHeight="false" outlineLevel="0" collapsed="false">
      <c r="A354" s="12"/>
      <c r="B354" s="12"/>
      <c r="C354" s="13" t="str">
        <f aca="false">IF(ISNUMBER(B354),IF(B354&gt;Results!$C$5,1,0),"")</f>
        <v/>
      </c>
      <c r="D354" s="13" t="str">
        <f aca="false">IF(ISNUMBER(C354),IF(C354=1,N(D353)+1,0),"")</f>
        <v/>
      </c>
      <c r="E354" s="14" t="str">
        <f aca="false">IF(ISNUMBER(B354),B354-(Results!$C$15+Results!$C$14*A354),"")</f>
        <v/>
      </c>
    </row>
    <row r="355" customFormat="false" ht="15" hidden="false" customHeight="false" outlineLevel="0" collapsed="false">
      <c r="A355" s="12"/>
      <c r="B355" s="12"/>
      <c r="C355" s="13" t="str">
        <f aca="false">IF(ISNUMBER(B355),IF(B355&gt;Results!$C$5,1,0),"")</f>
        <v/>
      </c>
      <c r="D355" s="13" t="str">
        <f aca="false">IF(ISNUMBER(C355),IF(C355=1,N(D354)+1,0),"")</f>
        <v/>
      </c>
      <c r="E355" s="14" t="str">
        <f aca="false">IF(ISNUMBER(B355),B355-(Results!$C$15+Results!$C$14*A355),"")</f>
        <v/>
      </c>
    </row>
    <row r="356" customFormat="false" ht="15" hidden="false" customHeight="false" outlineLevel="0" collapsed="false">
      <c r="A356" s="12"/>
      <c r="B356" s="12"/>
      <c r="C356" s="13" t="str">
        <f aca="false">IF(ISNUMBER(B356),IF(B356&gt;Results!$C$5,1,0),"")</f>
        <v/>
      </c>
      <c r="D356" s="13" t="str">
        <f aca="false">IF(ISNUMBER(C356),IF(C356=1,N(D355)+1,0),"")</f>
        <v/>
      </c>
      <c r="E356" s="14" t="str">
        <f aca="false">IF(ISNUMBER(B356),B356-(Results!$C$15+Results!$C$14*A356),"")</f>
        <v/>
      </c>
    </row>
    <row r="357" customFormat="false" ht="15" hidden="false" customHeight="false" outlineLevel="0" collapsed="false">
      <c r="A357" s="12"/>
      <c r="B357" s="12"/>
      <c r="C357" s="13" t="str">
        <f aca="false">IF(ISNUMBER(B357),IF(B357&gt;Results!$C$5,1,0),"")</f>
        <v/>
      </c>
      <c r="D357" s="13" t="str">
        <f aca="false">IF(ISNUMBER(C357),IF(C357=1,N(D356)+1,0),"")</f>
        <v/>
      </c>
      <c r="E357" s="14" t="str">
        <f aca="false">IF(ISNUMBER(B357),B357-(Results!$C$15+Results!$C$14*A357),"")</f>
        <v/>
      </c>
    </row>
    <row r="358" customFormat="false" ht="15" hidden="false" customHeight="false" outlineLevel="0" collapsed="false">
      <c r="A358" s="12"/>
      <c r="B358" s="12"/>
      <c r="C358" s="13" t="str">
        <f aca="false">IF(ISNUMBER(B358),IF(B358&gt;Results!$C$5,1,0),"")</f>
        <v/>
      </c>
      <c r="D358" s="13" t="str">
        <f aca="false">IF(ISNUMBER(C358),IF(C358=1,N(D357)+1,0),"")</f>
        <v/>
      </c>
      <c r="E358" s="14" t="str">
        <f aca="false">IF(ISNUMBER(B358),B358-(Results!$C$15+Results!$C$14*A358),"")</f>
        <v/>
      </c>
    </row>
    <row r="359" customFormat="false" ht="15" hidden="false" customHeight="false" outlineLevel="0" collapsed="false">
      <c r="A359" s="12"/>
      <c r="B359" s="12"/>
      <c r="C359" s="13" t="str">
        <f aca="false">IF(ISNUMBER(B359),IF(B359&gt;Results!$C$5,1,0),"")</f>
        <v/>
      </c>
      <c r="D359" s="13" t="str">
        <f aca="false">IF(ISNUMBER(C359),IF(C359=1,N(D358)+1,0),"")</f>
        <v/>
      </c>
      <c r="E359" s="14" t="str">
        <f aca="false">IF(ISNUMBER(B359),B359-(Results!$C$15+Results!$C$14*A359),"")</f>
        <v/>
      </c>
    </row>
    <row r="360" customFormat="false" ht="15" hidden="false" customHeight="false" outlineLevel="0" collapsed="false">
      <c r="A360" s="12"/>
      <c r="B360" s="12"/>
      <c r="C360" s="13" t="str">
        <f aca="false">IF(ISNUMBER(B360),IF(B360&gt;Results!$C$5,1,0),"")</f>
        <v/>
      </c>
      <c r="D360" s="13" t="str">
        <f aca="false">IF(ISNUMBER(C360),IF(C360=1,N(D359)+1,0),"")</f>
        <v/>
      </c>
      <c r="E360" s="14" t="str">
        <f aca="false">IF(ISNUMBER(B360),B360-(Results!$C$15+Results!$C$14*A360),"")</f>
        <v/>
      </c>
    </row>
    <row r="361" customFormat="false" ht="15" hidden="false" customHeight="false" outlineLevel="0" collapsed="false">
      <c r="A361" s="12"/>
      <c r="B361" s="12"/>
      <c r="C361" s="13" t="str">
        <f aca="false">IF(ISNUMBER(B361),IF(B361&gt;Results!$C$5,1,0),"")</f>
        <v/>
      </c>
      <c r="D361" s="13" t="str">
        <f aca="false">IF(ISNUMBER(C361),IF(C361=1,N(D360)+1,0),"")</f>
        <v/>
      </c>
      <c r="E361" s="14" t="str">
        <f aca="false">IF(ISNUMBER(B361),B361-(Results!$C$15+Results!$C$14*A361),"")</f>
        <v/>
      </c>
    </row>
    <row r="362" customFormat="false" ht="15" hidden="false" customHeight="false" outlineLevel="0" collapsed="false">
      <c r="A362" s="12"/>
      <c r="B362" s="12"/>
      <c r="C362" s="13" t="str">
        <f aca="false">IF(ISNUMBER(B362),IF(B362&gt;Results!$C$5,1,0),"")</f>
        <v/>
      </c>
      <c r="D362" s="13" t="str">
        <f aca="false">IF(ISNUMBER(C362),IF(C362=1,N(D361)+1,0),"")</f>
        <v/>
      </c>
      <c r="E362" s="14" t="str">
        <f aca="false">IF(ISNUMBER(B362),B362-(Results!$C$15+Results!$C$14*A362),"")</f>
        <v/>
      </c>
    </row>
    <row r="363" customFormat="false" ht="15" hidden="false" customHeight="false" outlineLevel="0" collapsed="false">
      <c r="A363" s="12"/>
      <c r="B363" s="12"/>
      <c r="C363" s="13" t="str">
        <f aca="false">IF(ISNUMBER(B363),IF(B363&gt;Results!$C$5,1,0),"")</f>
        <v/>
      </c>
      <c r="D363" s="13" t="str">
        <f aca="false">IF(ISNUMBER(C363),IF(C363=1,N(D362)+1,0),"")</f>
        <v/>
      </c>
      <c r="E363" s="14" t="str">
        <f aca="false">IF(ISNUMBER(B363),B363-(Results!$C$15+Results!$C$14*A363),"")</f>
        <v/>
      </c>
    </row>
    <row r="364" customFormat="false" ht="15" hidden="false" customHeight="false" outlineLevel="0" collapsed="false">
      <c r="A364" s="12"/>
      <c r="B364" s="12"/>
      <c r="C364" s="13" t="str">
        <f aca="false">IF(ISNUMBER(B364),IF(B364&gt;Results!$C$5,1,0),"")</f>
        <v/>
      </c>
      <c r="D364" s="13" t="str">
        <f aca="false">IF(ISNUMBER(C364),IF(C364=1,N(D363)+1,0),"")</f>
        <v/>
      </c>
      <c r="E364" s="14" t="str">
        <f aca="false">IF(ISNUMBER(B364),B364-(Results!$C$15+Results!$C$14*A364),"")</f>
        <v/>
      </c>
    </row>
    <row r="365" customFormat="false" ht="15" hidden="false" customHeight="false" outlineLevel="0" collapsed="false">
      <c r="A365" s="12"/>
      <c r="B365" s="12"/>
      <c r="C365" s="13" t="str">
        <f aca="false">IF(ISNUMBER(B365),IF(B365&gt;Results!$C$5,1,0),"")</f>
        <v/>
      </c>
      <c r="D365" s="13" t="str">
        <f aca="false">IF(ISNUMBER(C365),IF(C365=1,N(D364)+1,0),"")</f>
        <v/>
      </c>
      <c r="E365" s="14" t="str">
        <f aca="false">IF(ISNUMBER(B365),B365-(Results!$C$15+Results!$C$14*A365),"")</f>
        <v/>
      </c>
    </row>
    <row r="366" customFormat="false" ht="15" hidden="false" customHeight="false" outlineLevel="0" collapsed="false">
      <c r="A366" s="12"/>
      <c r="B366" s="12"/>
      <c r="C366" s="13" t="str">
        <f aca="false">IF(ISNUMBER(B366),IF(B366&gt;Results!$C$5,1,0),"")</f>
        <v/>
      </c>
      <c r="D366" s="13" t="str">
        <f aca="false">IF(ISNUMBER(C366),IF(C366=1,N(D365)+1,0),"")</f>
        <v/>
      </c>
      <c r="E366" s="14" t="str">
        <f aca="false">IF(ISNUMBER(B366),B366-(Results!$C$15+Results!$C$14*A366),"")</f>
        <v/>
      </c>
    </row>
    <row r="367" customFormat="false" ht="15" hidden="false" customHeight="false" outlineLevel="0" collapsed="false">
      <c r="A367" s="12"/>
      <c r="B367" s="12"/>
      <c r="C367" s="13" t="str">
        <f aca="false">IF(ISNUMBER(B367),IF(B367&gt;Results!$C$5,1,0),"")</f>
        <v/>
      </c>
      <c r="D367" s="13" t="str">
        <f aca="false">IF(ISNUMBER(C367),IF(C367=1,N(D366)+1,0),"")</f>
        <v/>
      </c>
      <c r="E367" s="14" t="str">
        <f aca="false">IF(ISNUMBER(B367),B367-(Results!$C$15+Results!$C$14*A367),"")</f>
        <v/>
      </c>
    </row>
    <row r="368" customFormat="false" ht="15" hidden="false" customHeight="false" outlineLevel="0" collapsed="false">
      <c r="A368" s="12"/>
      <c r="B368" s="12"/>
      <c r="C368" s="13" t="str">
        <f aca="false">IF(ISNUMBER(B368),IF(B368&gt;Results!$C$5,1,0),"")</f>
        <v/>
      </c>
      <c r="D368" s="13" t="str">
        <f aca="false">IF(ISNUMBER(C368),IF(C368=1,N(D367)+1,0),"")</f>
        <v/>
      </c>
      <c r="E368" s="14" t="str">
        <f aca="false">IF(ISNUMBER(B368),B368-(Results!$C$15+Results!$C$14*A368),"")</f>
        <v/>
      </c>
    </row>
    <row r="369" customFormat="false" ht="15" hidden="false" customHeight="false" outlineLevel="0" collapsed="false">
      <c r="A369" s="12"/>
      <c r="B369" s="12"/>
      <c r="C369" s="13" t="str">
        <f aca="false">IF(ISNUMBER(B369),IF(B369&gt;Results!$C$5,1,0),"")</f>
        <v/>
      </c>
      <c r="D369" s="13" t="str">
        <f aca="false">IF(ISNUMBER(C369),IF(C369=1,N(D368)+1,0),"")</f>
        <v/>
      </c>
      <c r="E369" s="14" t="str">
        <f aca="false">IF(ISNUMBER(B369),B369-(Results!$C$15+Results!$C$14*A369),"")</f>
        <v/>
      </c>
    </row>
    <row r="370" customFormat="false" ht="15" hidden="false" customHeight="false" outlineLevel="0" collapsed="false">
      <c r="A370" s="12"/>
      <c r="B370" s="12"/>
      <c r="C370" s="13" t="str">
        <f aca="false">IF(ISNUMBER(B370),IF(B370&gt;Results!$C$5,1,0),"")</f>
        <v/>
      </c>
      <c r="D370" s="13" t="str">
        <f aca="false">IF(ISNUMBER(C370),IF(C370=1,N(D369)+1,0),"")</f>
        <v/>
      </c>
      <c r="E370" s="14" t="str">
        <f aca="false">IF(ISNUMBER(B370),B370-(Results!$C$15+Results!$C$14*A370),"")</f>
        <v/>
      </c>
    </row>
    <row r="371" customFormat="false" ht="15" hidden="false" customHeight="false" outlineLevel="0" collapsed="false">
      <c r="A371" s="12"/>
      <c r="B371" s="12"/>
      <c r="C371" s="13" t="str">
        <f aca="false">IF(ISNUMBER(B371),IF(B371&gt;Results!$C$5,1,0),"")</f>
        <v/>
      </c>
      <c r="D371" s="13" t="str">
        <f aca="false">IF(ISNUMBER(C371),IF(C371=1,N(D370)+1,0),"")</f>
        <v/>
      </c>
      <c r="E371" s="14" t="str">
        <f aca="false">IF(ISNUMBER(B371),B371-(Results!$C$15+Results!$C$14*A371),"")</f>
        <v/>
      </c>
    </row>
    <row r="372" customFormat="false" ht="15" hidden="false" customHeight="false" outlineLevel="0" collapsed="false">
      <c r="A372" s="12"/>
      <c r="B372" s="12"/>
      <c r="C372" s="13" t="str">
        <f aca="false">IF(ISNUMBER(B372),IF(B372&gt;Results!$C$5,1,0),"")</f>
        <v/>
      </c>
      <c r="D372" s="13" t="str">
        <f aca="false">IF(ISNUMBER(C372),IF(C372=1,N(D371)+1,0),"")</f>
        <v/>
      </c>
      <c r="E372" s="14" t="str">
        <f aca="false">IF(ISNUMBER(B372),B372-(Results!$C$15+Results!$C$14*A372),"")</f>
        <v/>
      </c>
    </row>
    <row r="373" customFormat="false" ht="15" hidden="false" customHeight="false" outlineLevel="0" collapsed="false">
      <c r="A373" s="12"/>
      <c r="B373" s="12"/>
      <c r="C373" s="13" t="str">
        <f aca="false">IF(ISNUMBER(B373),IF(B373&gt;Results!$C$5,1,0),"")</f>
        <v/>
      </c>
      <c r="D373" s="13" t="str">
        <f aca="false">IF(ISNUMBER(C373),IF(C373=1,N(D372)+1,0),"")</f>
        <v/>
      </c>
      <c r="E373" s="14" t="str">
        <f aca="false">IF(ISNUMBER(B373),B373-(Results!$C$15+Results!$C$14*A373),"")</f>
        <v/>
      </c>
    </row>
    <row r="374" customFormat="false" ht="15" hidden="false" customHeight="false" outlineLevel="0" collapsed="false">
      <c r="A374" s="12"/>
      <c r="B374" s="12"/>
      <c r="C374" s="13" t="str">
        <f aca="false">IF(ISNUMBER(B374),IF(B374&gt;Results!$C$5,1,0),"")</f>
        <v/>
      </c>
      <c r="D374" s="13" t="str">
        <f aca="false">IF(ISNUMBER(C374),IF(C374=1,N(D373)+1,0),"")</f>
        <v/>
      </c>
      <c r="E374" s="14" t="str">
        <f aca="false">IF(ISNUMBER(B374),B374-(Results!$C$15+Results!$C$14*A374),"")</f>
        <v/>
      </c>
    </row>
    <row r="375" customFormat="false" ht="15" hidden="false" customHeight="false" outlineLevel="0" collapsed="false">
      <c r="A375" s="12"/>
      <c r="B375" s="12"/>
      <c r="C375" s="13" t="str">
        <f aca="false">IF(ISNUMBER(B375),IF(B375&gt;Results!$C$5,1,0),"")</f>
        <v/>
      </c>
      <c r="D375" s="13" t="str">
        <f aca="false">IF(ISNUMBER(C375),IF(C375=1,N(D374)+1,0),"")</f>
        <v/>
      </c>
      <c r="E375" s="14" t="str">
        <f aca="false">IF(ISNUMBER(B375),B375-(Results!$C$15+Results!$C$14*A375),"")</f>
        <v/>
      </c>
    </row>
    <row r="376" customFormat="false" ht="15" hidden="false" customHeight="false" outlineLevel="0" collapsed="false">
      <c r="A376" s="12"/>
      <c r="B376" s="12"/>
      <c r="C376" s="13" t="str">
        <f aca="false">IF(ISNUMBER(B376),IF(B376&gt;Results!$C$5,1,0),"")</f>
        <v/>
      </c>
      <c r="D376" s="13" t="str">
        <f aca="false">IF(ISNUMBER(C376),IF(C376=1,N(D375)+1,0),"")</f>
        <v/>
      </c>
      <c r="E376" s="14" t="str">
        <f aca="false">IF(ISNUMBER(B376),B376-(Results!$C$15+Results!$C$14*A376),"")</f>
        <v/>
      </c>
    </row>
    <row r="377" customFormat="false" ht="15" hidden="false" customHeight="false" outlineLevel="0" collapsed="false">
      <c r="A377" s="12"/>
      <c r="B377" s="12"/>
      <c r="C377" s="13" t="str">
        <f aca="false">IF(ISNUMBER(B377),IF(B377&gt;Results!$C$5,1,0),"")</f>
        <v/>
      </c>
      <c r="D377" s="13" t="str">
        <f aca="false">IF(ISNUMBER(C377),IF(C377=1,N(D376)+1,0),"")</f>
        <v/>
      </c>
      <c r="E377" s="14" t="str">
        <f aca="false">IF(ISNUMBER(B377),B377-(Results!$C$15+Results!$C$14*A377),"")</f>
        <v/>
      </c>
    </row>
    <row r="378" customFormat="false" ht="15" hidden="false" customHeight="false" outlineLevel="0" collapsed="false">
      <c r="A378" s="12"/>
      <c r="B378" s="12"/>
      <c r="C378" s="13" t="str">
        <f aca="false">IF(ISNUMBER(B378),IF(B378&gt;Results!$C$5,1,0),"")</f>
        <v/>
      </c>
      <c r="D378" s="13" t="str">
        <f aca="false">IF(ISNUMBER(C378),IF(C378=1,N(D377)+1,0),"")</f>
        <v/>
      </c>
      <c r="E378" s="14" t="str">
        <f aca="false">IF(ISNUMBER(B378),B378-(Results!$C$15+Results!$C$14*A378),"")</f>
        <v/>
      </c>
    </row>
    <row r="379" customFormat="false" ht="15" hidden="false" customHeight="false" outlineLevel="0" collapsed="false">
      <c r="A379" s="12"/>
      <c r="B379" s="12"/>
      <c r="C379" s="13" t="str">
        <f aca="false">IF(ISNUMBER(B379),IF(B379&gt;Results!$C$5,1,0),"")</f>
        <v/>
      </c>
      <c r="D379" s="13" t="str">
        <f aca="false">IF(ISNUMBER(C379),IF(C379=1,N(D378)+1,0),"")</f>
        <v/>
      </c>
      <c r="E379" s="14" t="str">
        <f aca="false">IF(ISNUMBER(B379),B379-(Results!$C$15+Results!$C$14*A379),"")</f>
        <v/>
      </c>
    </row>
    <row r="380" customFormat="false" ht="15" hidden="false" customHeight="false" outlineLevel="0" collapsed="false">
      <c r="A380" s="12"/>
      <c r="B380" s="12"/>
      <c r="C380" s="13" t="str">
        <f aca="false">IF(ISNUMBER(B380),IF(B380&gt;Results!$C$5,1,0),"")</f>
        <v/>
      </c>
      <c r="D380" s="13" t="str">
        <f aca="false">IF(ISNUMBER(C380),IF(C380=1,N(D379)+1,0),"")</f>
        <v/>
      </c>
      <c r="E380" s="14" t="str">
        <f aca="false">IF(ISNUMBER(B380),B380-(Results!$C$15+Results!$C$14*A380),"")</f>
        <v/>
      </c>
    </row>
    <row r="381" customFormat="false" ht="15" hidden="false" customHeight="false" outlineLevel="0" collapsed="false">
      <c r="A381" s="12"/>
      <c r="B381" s="12"/>
      <c r="C381" s="13" t="str">
        <f aca="false">IF(ISNUMBER(B381),IF(B381&gt;Results!$C$5,1,0),"")</f>
        <v/>
      </c>
      <c r="D381" s="13" t="str">
        <f aca="false">IF(ISNUMBER(C381),IF(C381=1,N(D380)+1,0),"")</f>
        <v/>
      </c>
      <c r="E381" s="14" t="str">
        <f aca="false">IF(ISNUMBER(B381),B381-(Results!$C$15+Results!$C$14*A381),"")</f>
        <v/>
      </c>
    </row>
    <row r="382" customFormat="false" ht="15" hidden="false" customHeight="false" outlineLevel="0" collapsed="false">
      <c r="A382" s="12"/>
      <c r="B382" s="12"/>
      <c r="C382" s="13" t="str">
        <f aca="false">IF(ISNUMBER(B382),IF(B382&gt;Results!$C$5,1,0),"")</f>
        <v/>
      </c>
      <c r="D382" s="13" t="str">
        <f aca="false">IF(ISNUMBER(C382),IF(C382=1,N(D381)+1,0),"")</f>
        <v/>
      </c>
      <c r="E382" s="14" t="str">
        <f aca="false">IF(ISNUMBER(B382),B382-(Results!$C$15+Results!$C$14*A382),"")</f>
        <v/>
      </c>
    </row>
    <row r="383" customFormat="false" ht="15" hidden="false" customHeight="false" outlineLevel="0" collapsed="false">
      <c r="A383" s="12"/>
      <c r="B383" s="12"/>
      <c r="C383" s="13" t="str">
        <f aca="false">IF(ISNUMBER(B383),IF(B383&gt;Results!$C$5,1,0),"")</f>
        <v/>
      </c>
      <c r="D383" s="13" t="str">
        <f aca="false">IF(ISNUMBER(C383),IF(C383=1,N(D382)+1,0),"")</f>
        <v/>
      </c>
      <c r="E383" s="14" t="str">
        <f aca="false">IF(ISNUMBER(B383),B383-(Results!$C$15+Results!$C$14*A383),"")</f>
        <v/>
      </c>
    </row>
    <row r="384" customFormat="false" ht="15" hidden="false" customHeight="false" outlineLevel="0" collapsed="false">
      <c r="A384" s="12"/>
      <c r="B384" s="12"/>
      <c r="C384" s="13" t="str">
        <f aca="false">IF(ISNUMBER(B384),IF(B384&gt;Results!$C$5,1,0),"")</f>
        <v/>
      </c>
      <c r="D384" s="13" t="str">
        <f aca="false">IF(ISNUMBER(C384),IF(C384=1,N(D383)+1,0),"")</f>
        <v/>
      </c>
      <c r="E384" s="14" t="str">
        <f aca="false">IF(ISNUMBER(B384),B384-(Results!$C$15+Results!$C$14*A384),"")</f>
        <v/>
      </c>
    </row>
    <row r="385" customFormat="false" ht="15" hidden="false" customHeight="false" outlineLevel="0" collapsed="false">
      <c r="A385" s="12"/>
      <c r="B385" s="12"/>
      <c r="C385" s="13" t="str">
        <f aca="false">IF(ISNUMBER(B385),IF(B385&gt;Results!$C$5,1,0),"")</f>
        <v/>
      </c>
      <c r="D385" s="13" t="str">
        <f aca="false">IF(ISNUMBER(C385),IF(C385=1,N(D384)+1,0),"")</f>
        <v/>
      </c>
      <c r="E385" s="14" t="str">
        <f aca="false">IF(ISNUMBER(B385),B385-(Results!$C$15+Results!$C$14*A385),"")</f>
        <v/>
      </c>
    </row>
    <row r="386" customFormat="false" ht="15" hidden="false" customHeight="false" outlineLevel="0" collapsed="false">
      <c r="A386" s="12"/>
      <c r="B386" s="12"/>
      <c r="C386" s="13" t="str">
        <f aca="false">IF(ISNUMBER(B386),IF(B386&gt;Results!$C$5,1,0),"")</f>
        <v/>
      </c>
      <c r="D386" s="13" t="str">
        <f aca="false">IF(ISNUMBER(C386),IF(C386=1,N(D385)+1,0),"")</f>
        <v/>
      </c>
      <c r="E386" s="14" t="str">
        <f aca="false">IF(ISNUMBER(B386),B386-(Results!$C$15+Results!$C$14*A386),"")</f>
        <v/>
      </c>
    </row>
    <row r="387" customFormat="false" ht="15" hidden="false" customHeight="false" outlineLevel="0" collapsed="false">
      <c r="A387" s="12"/>
      <c r="B387" s="12"/>
      <c r="C387" s="13" t="str">
        <f aca="false">IF(ISNUMBER(B387),IF(B387&gt;Results!$C$5,1,0),"")</f>
        <v/>
      </c>
      <c r="D387" s="13" t="str">
        <f aca="false">IF(ISNUMBER(C387),IF(C387=1,N(D386)+1,0),"")</f>
        <v/>
      </c>
      <c r="E387" s="14" t="str">
        <f aca="false">IF(ISNUMBER(B387),B387-(Results!$C$15+Results!$C$14*A387),"")</f>
        <v/>
      </c>
    </row>
    <row r="388" customFormat="false" ht="15" hidden="false" customHeight="false" outlineLevel="0" collapsed="false">
      <c r="A388" s="12"/>
      <c r="B388" s="12"/>
      <c r="C388" s="13" t="str">
        <f aca="false">IF(ISNUMBER(B388),IF(B388&gt;Results!$C$5,1,0),"")</f>
        <v/>
      </c>
      <c r="D388" s="13" t="str">
        <f aca="false">IF(ISNUMBER(C388),IF(C388=1,N(D387)+1,0),"")</f>
        <v/>
      </c>
      <c r="E388" s="14" t="str">
        <f aca="false">IF(ISNUMBER(B388),B388-(Results!$C$15+Results!$C$14*A388),"")</f>
        <v/>
      </c>
    </row>
    <row r="389" customFormat="false" ht="15" hidden="false" customHeight="false" outlineLevel="0" collapsed="false">
      <c r="A389" s="12"/>
      <c r="B389" s="12"/>
      <c r="C389" s="13" t="str">
        <f aca="false">IF(ISNUMBER(B389),IF(B389&gt;Results!$C$5,1,0),"")</f>
        <v/>
      </c>
      <c r="D389" s="13" t="str">
        <f aca="false">IF(ISNUMBER(C389),IF(C389=1,N(D388)+1,0),"")</f>
        <v/>
      </c>
      <c r="E389" s="14" t="str">
        <f aca="false">IF(ISNUMBER(B389),B389-(Results!$C$15+Results!$C$14*A389),"")</f>
        <v/>
      </c>
    </row>
    <row r="390" customFormat="false" ht="15" hidden="false" customHeight="false" outlineLevel="0" collapsed="false">
      <c r="A390" s="12"/>
      <c r="B390" s="12"/>
      <c r="C390" s="13" t="str">
        <f aca="false">IF(ISNUMBER(B390),IF(B390&gt;Results!$C$5,1,0),"")</f>
        <v/>
      </c>
      <c r="D390" s="13" t="str">
        <f aca="false">IF(ISNUMBER(C390),IF(C390=1,N(D389)+1,0),"")</f>
        <v/>
      </c>
      <c r="E390" s="14" t="str">
        <f aca="false">IF(ISNUMBER(B390),B390-(Results!$C$15+Results!$C$14*A390),"")</f>
        <v/>
      </c>
    </row>
    <row r="391" customFormat="false" ht="15" hidden="false" customHeight="false" outlineLevel="0" collapsed="false">
      <c r="A391" s="12"/>
      <c r="B391" s="12"/>
      <c r="C391" s="13" t="str">
        <f aca="false">IF(ISNUMBER(B391),IF(B391&gt;Results!$C$5,1,0),"")</f>
        <v/>
      </c>
      <c r="D391" s="13" t="str">
        <f aca="false">IF(ISNUMBER(C391),IF(C391=1,N(D390)+1,0),"")</f>
        <v/>
      </c>
      <c r="E391" s="14" t="str">
        <f aca="false">IF(ISNUMBER(B391),B391-(Results!$C$15+Results!$C$14*A391),"")</f>
        <v/>
      </c>
    </row>
    <row r="392" customFormat="false" ht="15" hidden="false" customHeight="false" outlineLevel="0" collapsed="false">
      <c r="A392" s="12"/>
      <c r="B392" s="12"/>
      <c r="C392" s="13" t="str">
        <f aca="false">IF(ISNUMBER(B392),IF(B392&gt;Results!$C$5,1,0),"")</f>
        <v/>
      </c>
      <c r="D392" s="13" t="str">
        <f aca="false">IF(ISNUMBER(C392),IF(C392=1,N(D391)+1,0),"")</f>
        <v/>
      </c>
      <c r="E392" s="14" t="str">
        <f aca="false">IF(ISNUMBER(B392),B392-(Results!$C$15+Results!$C$14*A392),"")</f>
        <v/>
      </c>
    </row>
    <row r="393" customFormat="false" ht="15" hidden="false" customHeight="false" outlineLevel="0" collapsed="false">
      <c r="A393" s="12"/>
      <c r="B393" s="12"/>
      <c r="C393" s="13" t="str">
        <f aca="false">IF(ISNUMBER(B393),IF(B393&gt;Results!$C$5,1,0),"")</f>
        <v/>
      </c>
      <c r="D393" s="13" t="str">
        <f aca="false">IF(ISNUMBER(C393),IF(C393=1,N(D392)+1,0),"")</f>
        <v/>
      </c>
      <c r="E393" s="14" t="str">
        <f aca="false">IF(ISNUMBER(B393),B393-(Results!$C$15+Results!$C$14*A393),"")</f>
        <v/>
      </c>
    </row>
    <row r="394" customFormat="false" ht="15" hidden="false" customHeight="false" outlineLevel="0" collapsed="false">
      <c r="A394" s="12"/>
      <c r="B394" s="12"/>
      <c r="C394" s="13" t="str">
        <f aca="false">IF(ISNUMBER(B394),IF(B394&gt;Results!$C$5,1,0),"")</f>
        <v/>
      </c>
      <c r="D394" s="13" t="str">
        <f aca="false">IF(ISNUMBER(C394),IF(C394=1,N(D393)+1,0),"")</f>
        <v/>
      </c>
      <c r="E394" s="14" t="str">
        <f aca="false">IF(ISNUMBER(B394),B394-(Results!$C$15+Results!$C$14*A394),"")</f>
        <v/>
      </c>
    </row>
    <row r="395" customFormat="false" ht="15" hidden="false" customHeight="false" outlineLevel="0" collapsed="false">
      <c r="A395" s="12"/>
      <c r="B395" s="12"/>
      <c r="C395" s="13" t="str">
        <f aca="false">IF(ISNUMBER(B395),IF(B395&gt;Results!$C$5,1,0),"")</f>
        <v/>
      </c>
      <c r="D395" s="13" t="str">
        <f aca="false">IF(ISNUMBER(C395),IF(C395=1,N(D394)+1,0),"")</f>
        <v/>
      </c>
      <c r="E395" s="14" t="str">
        <f aca="false">IF(ISNUMBER(B395),B395-(Results!$C$15+Results!$C$14*A395),"")</f>
        <v/>
      </c>
    </row>
    <row r="396" customFormat="false" ht="15" hidden="false" customHeight="false" outlineLevel="0" collapsed="false">
      <c r="A396" s="12"/>
      <c r="B396" s="12"/>
      <c r="C396" s="13" t="str">
        <f aca="false">IF(ISNUMBER(B396),IF(B396&gt;Results!$C$5,1,0),"")</f>
        <v/>
      </c>
      <c r="D396" s="13" t="str">
        <f aca="false">IF(ISNUMBER(C396),IF(C396=1,N(D395)+1,0),"")</f>
        <v/>
      </c>
      <c r="E396" s="14" t="str">
        <f aca="false">IF(ISNUMBER(B396),B396-(Results!$C$15+Results!$C$14*A396),"")</f>
        <v/>
      </c>
    </row>
    <row r="397" customFormat="false" ht="15" hidden="false" customHeight="false" outlineLevel="0" collapsed="false">
      <c r="A397" s="12"/>
      <c r="B397" s="12"/>
      <c r="C397" s="13" t="str">
        <f aca="false">IF(ISNUMBER(B397),IF(B397&gt;Results!$C$5,1,0),"")</f>
        <v/>
      </c>
      <c r="D397" s="13" t="str">
        <f aca="false">IF(ISNUMBER(C397),IF(C397=1,N(D396)+1,0),"")</f>
        <v/>
      </c>
      <c r="E397" s="14" t="str">
        <f aca="false">IF(ISNUMBER(B397),B397-(Results!$C$15+Results!$C$14*A397),"")</f>
        <v/>
      </c>
    </row>
    <row r="398" customFormat="false" ht="15" hidden="false" customHeight="false" outlineLevel="0" collapsed="false">
      <c r="A398" s="12"/>
      <c r="B398" s="12"/>
      <c r="C398" s="13" t="str">
        <f aca="false">IF(ISNUMBER(B398),IF(B398&gt;Results!$C$5,1,0),"")</f>
        <v/>
      </c>
      <c r="D398" s="13" t="str">
        <f aca="false">IF(ISNUMBER(C398),IF(C398=1,N(D397)+1,0),"")</f>
        <v/>
      </c>
      <c r="E398" s="14" t="str">
        <f aca="false">IF(ISNUMBER(B398),B398-(Results!$C$15+Results!$C$14*A398),"")</f>
        <v/>
      </c>
    </row>
    <row r="399" customFormat="false" ht="15" hidden="false" customHeight="false" outlineLevel="0" collapsed="false">
      <c r="A399" s="12"/>
      <c r="B399" s="12"/>
      <c r="C399" s="13" t="str">
        <f aca="false">IF(ISNUMBER(B399),IF(B399&gt;Results!$C$5,1,0),"")</f>
        <v/>
      </c>
      <c r="D399" s="13" t="str">
        <f aca="false">IF(ISNUMBER(C399),IF(C399=1,N(D398)+1,0),"")</f>
        <v/>
      </c>
      <c r="E399" s="14" t="str">
        <f aca="false">IF(ISNUMBER(B399),B399-(Results!$C$15+Results!$C$14*A399),"")</f>
        <v/>
      </c>
    </row>
    <row r="400" customFormat="false" ht="15" hidden="false" customHeight="false" outlineLevel="0" collapsed="false">
      <c r="A400" s="12"/>
      <c r="B400" s="12"/>
      <c r="C400" s="13" t="str">
        <f aca="false">IF(ISNUMBER(B400),IF(B400&gt;Results!$C$5,1,0),"")</f>
        <v/>
      </c>
      <c r="D400" s="13" t="str">
        <f aca="false">IF(ISNUMBER(C400),IF(C400=1,N(D399)+1,0),"")</f>
        <v/>
      </c>
      <c r="E400" s="14" t="str">
        <f aca="false">IF(ISNUMBER(B400),B400-(Results!$C$15+Results!$C$14*A400),"")</f>
        <v/>
      </c>
    </row>
    <row r="401" customFormat="false" ht="15" hidden="false" customHeight="false" outlineLevel="0" collapsed="false">
      <c r="A401" s="12"/>
      <c r="B401" s="12"/>
      <c r="C401" s="13" t="str">
        <f aca="false">IF(ISNUMBER(B401),IF(B401&gt;Results!$C$5,1,0),"")</f>
        <v/>
      </c>
      <c r="D401" s="13" t="str">
        <f aca="false">IF(ISNUMBER(C401),IF(C401=1,N(D400)+1,0),"")</f>
        <v/>
      </c>
      <c r="E401" s="14" t="str">
        <f aca="false">IF(ISNUMBER(B401),B401-(Results!$C$15+Results!$C$14*A401),"")</f>
        <v/>
      </c>
    </row>
    <row r="402" customFormat="false" ht="15" hidden="false" customHeight="false" outlineLevel="0" collapsed="false">
      <c r="A402" s="12"/>
      <c r="B402" s="12"/>
      <c r="C402" s="13" t="str">
        <f aca="false">IF(ISNUMBER(B402),IF(B402&gt;Results!$C$5,1,0),"")</f>
        <v/>
      </c>
      <c r="D402" s="13" t="str">
        <f aca="false">IF(ISNUMBER(C402),IF(C402=1,N(D401)+1,0),"")</f>
        <v/>
      </c>
      <c r="E402" s="14" t="str">
        <f aca="false">IF(ISNUMBER(B402),B402-(Results!$C$15+Results!$C$14*A402),"")</f>
        <v/>
      </c>
    </row>
    <row r="403" customFormat="false" ht="15" hidden="false" customHeight="false" outlineLevel="0" collapsed="false">
      <c r="A403" s="12"/>
      <c r="B403" s="12"/>
      <c r="C403" s="13" t="str">
        <f aca="false">IF(ISNUMBER(B403),IF(B403&gt;Results!$C$5,1,0),"")</f>
        <v/>
      </c>
      <c r="D403" s="13" t="str">
        <f aca="false">IF(ISNUMBER(C403),IF(C403=1,N(D402)+1,0),"")</f>
        <v/>
      </c>
      <c r="E403" s="14" t="str">
        <f aca="false">IF(ISNUMBER(B403),B403-(Results!$C$15+Results!$C$14*A403),"")</f>
        <v/>
      </c>
    </row>
    <row r="404" customFormat="false" ht="15" hidden="false" customHeight="false" outlineLevel="0" collapsed="false">
      <c r="A404" s="12"/>
      <c r="B404" s="12"/>
      <c r="C404" s="13" t="str">
        <f aca="false">IF(ISNUMBER(B404),IF(B404&gt;Results!$C$5,1,0),"")</f>
        <v/>
      </c>
      <c r="D404" s="13" t="str">
        <f aca="false">IF(ISNUMBER(C404),IF(C404=1,N(D403)+1,0),"")</f>
        <v/>
      </c>
      <c r="E404" s="14" t="str">
        <f aca="false">IF(ISNUMBER(B404),B404-(Results!$C$15+Results!$C$14*A404),"")</f>
        <v/>
      </c>
    </row>
    <row r="405" customFormat="false" ht="15" hidden="false" customHeight="false" outlineLevel="0" collapsed="false">
      <c r="A405" s="12"/>
      <c r="B405" s="12"/>
      <c r="C405" s="13" t="str">
        <f aca="false">IF(ISNUMBER(B405),IF(B405&gt;Results!$C$5,1,0),"")</f>
        <v/>
      </c>
      <c r="D405" s="13" t="str">
        <f aca="false">IF(ISNUMBER(C405),IF(C405=1,N(D404)+1,0),"")</f>
        <v/>
      </c>
      <c r="E405" s="14" t="str">
        <f aca="false">IF(ISNUMBER(B405),B405-(Results!$C$15+Results!$C$14*A405),"")</f>
        <v/>
      </c>
    </row>
    <row r="406" customFormat="false" ht="15" hidden="false" customHeight="false" outlineLevel="0" collapsed="false">
      <c r="A406" s="12"/>
      <c r="B406" s="12"/>
      <c r="C406" s="13" t="str">
        <f aca="false">IF(ISNUMBER(B406),IF(B406&gt;Results!$C$5,1,0),"")</f>
        <v/>
      </c>
      <c r="D406" s="13" t="str">
        <f aca="false">IF(ISNUMBER(C406),IF(C406=1,N(D405)+1,0),"")</f>
        <v/>
      </c>
      <c r="E406" s="14" t="str">
        <f aca="false">IF(ISNUMBER(B406),B406-(Results!$C$15+Results!$C$14*A406),"")</f>
        <v/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A7:B406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24</v>
      </c>
    </row>
    <row r="2" customFormat="false" ht="15" hidden="false" customHeight="false" outlineLevel="0" collapsed="false">
      <c r="B2" s="8" t="s">
        <v>25</v>
      </c>
    </row>
    <row r="4" customFormat="false" ht="15" hidden="false" customHeight="false" outlineLevel="0" collapsed="false">
      <c r="B4" s="9" t="s">
        <v>26</v>
      </c>
    </row>
    <row r="5" customFormat="false" ht="15" hidden="false" customHeight="false" outlineLevel="0" collapsed="false">
      <c r="B5" s="15" t="s">
        <v>27</v>
      </c>
      <c r="C5" s="12" t="n">
        <v>60</v>
      </c>
      <c r="D5" s="8"/>
    </row>
    <row r="7" customFormat="false" ht="15" hidden="false" customHeight="false" outlineLevel="0" collapsed="false">
      <c r="B7" s="9" t="s">
        <v>28</v>
      </c>
    </row>
    <row r="8" customFormat="false" ht="15" hidden="false" customHeight="false" outlineLevel="0" collapsed="false">
      <c r="B8" s="15" t="s">
        <v>29</v>
      </c>
      <c r="C8" s="16" t="n">
        <f aca="false">IFERROR(COUNT('Enter data'!$B$7:$B$406),"")</f>
        <v>0</v>
      </c>
    </row>
    <row r="9" customFormat="false" ht="15" hidden="false" customHeight="false" outlineLevel="0" collapsed="false">
      <c r="B9" s="15" t="s">
        <v>30</v>
      </c>
      <c r="C9" s="17" t="str">
        <f aca="false">IFERROR(AVERAGE('Enter data'!$B$7:$B$406),"")</f>
        <v/>
      </c>
    </row>
    <row r="10" customFormat="false" ht="15" hidden="false" customHeight="false" outlineLevel="0" collapsed="false">
      <c r="B10" s="15" t="s">
        <v>31</v>
      </c>
      <c r="C10" s="17" t="str">
        <f aca="false">IFERROR(MEDIAN('Enter data'!$B$7:$B$406),"")</f>
        <v/>
      </c>
    </row>
    <row r="12" customFormat="false" ht="15" hidden="false" customHeight="false" outlineLevel="0" collapsed="false">
      <c r="B12" s="9" t="s">
        <v>32</v>
      </c>
    </row>
    <row r="13" customFormat="false" ht="15" hidden="false" customHeight="false" outlineLevel="0" collapsed="false">
      <c r="B13" s="15" t="s">
        <v>33</v>
      </c>
      <c r="C13" s="16" t="n">
        <f aca="false">IFERROR(SUMPRODUCT(--ISNUMBER('Enter data'!$A$7:$A$406),--ISNUMBER('Enter data'!$B$7:$B$406)),"")</f>
        <v>0</v>
      </c>
    </row>
    <row r="14" customFormat="false" ht="15" hidden="false" customHeight="false" outlineLevel="0" collapsed="false">
      <c r="B14" s="15" t="s">
        <v>34</v>
      </c>
      <c r="C14" s="18" t="str">
        <f aca="false">IFERROR(SLOPE('Enter data'!$B$7:$B$406,'Enter data'!$A$7:$A$406),"")</f>
        <v/>
      </c>
    </row>
    <row r="15" customFormat="false" ht="15" hidden="false" customHeight="false" outlineLevel="0" collapsed="false">
      <c r="B15" s="15" t="s">
        <v>35</v>
      </c>
      <c r="C15" s="18" t="str">
        <f aca="false">IFERROR(INTERCEPT('Enter data'!$B$7:$B$406,'Enter data'!$A$7:$A$406),"")</f>
        <v/>
      </c>
    </row>
    <row r="16" customFormat="false" ht="15" hidden="false" customHeight="false" outlineLevel="0" collapsed="false">
      <c r="B16" s="15" t="s">
        <v>36</v>
      </c>
      <c r="C16" s="19" t="str">
        <f aca="false">IFERROR(RSQ('Enter data'!$B$7:$B$406,'Enter data'!$A$7:$A$406),"")</f>
        <v/>
      </c>
    </row>
    <row r="17" customFormat="false" ht="15" hidden="false" customHeight="false" outlineLevel="0" collapsed="false">
      <c r="B17" s="15" t="s">
        <v>37</v>
      </c>
      <c r="C17" s="18" t="str">
        <f aca="false">IFERROR(STEYX('Enter data'!$B$7:$B$406,'Enter data'!$A$7:$A$406),"")</f>
        <v/>
      </c>
    </row>
    <row r="18" customFormat="false" ht="15" hidden="false" customHeight="false" outlineLevel="0" collapsed="false">
      <c r="B18" s="15" t="s">
        <v>38</v>
      </c>
      <c r="C18" s="18" t="str">
        <f aca="false">IFERROR($C$17/SQRT(DEVSQ('Enter data'!$A$7:$A$406)),"")</f>
        <v/>
      </c>
    </row>
    <row r="19" customFormat="false" ht="15" hidden="false" customHeight="false" outlineLevel="0" collapsed="false">
      <c r="B19" s="15" t="s">
        <v>39</v>
      </c>
      <c r="C19" s="18" t="str">
        <f aca="false">IFERROR($C$14-TINV(0.05,$C$13-2)*$C$18,"")</f>
        <v/>
      </c>
    </row>
    <row r="20" customFormat="false" ht="15" hidden="false" customHeight="false" outlineLevel="0" collapsed="false">
      <c r="B20" s="15" t="s">
        <v>40</v>
      </c>
      <c r="C20" s="18" t="str">
        <f aca="false">IFERROR($C$14+TINV(0.05,$C$13-2)*$C$18,"")</f>
        <v/>
      </c>
    </row>
    <row r="21" customFormat="false" ht="15" hidden="false" customHeight="false" outlineLevel="0" collapsed="false">
      <c r="B21" s="15" t="s">
        <v>41</v>
      </c>
      <c r="C21" s="19" t="str">
        <f aca="false">IFERROR(TDIST(ABS($C$14/$C$18),$C$13-2,2),"")</f>
        <v/>
      </c>
    </row>
    <row r="23" customFormat="false" ht="15" hidden="false" customHeight="false" outlineLevel="0" collapsed="false">
      <c r="B23" s="9" t="s">
        <v>42</v>
      </c>
    </row>
    <row r="24" customFormat="false" ht="15" hidden="false" customHeight="false" outlineLevel="0" collapsed="false">
      <c r="B24" s="15" t="s">
        <v>43</v>
      </c>
      <c r="C24" s="16" t="n">
        <f aca="false">IFERROR(SUM('Enter data'!$C$7:$C$406),"")</f>
        <v>0</v>
      </c>
    </row>
    <row r="25" customFormat="false" ht="15" hidden="false" customHeight="false" outlineLevel="0" collapsed="false">
      <c r="B25" s="15" t="s">
        <v>44</v>
      </c>
      <c r="C25" s="17" t="str">
        <f aca="false">IFERROR(100*$C$24/$C$8,"")</f>
        <v/>
      </c>
    </row>
    <row r="26" customFormat="false" ht="15" hidden="false" customHeight="false" outlineLevel="0" collapsed="false">
      <c r="B26" s="15" t="s">
        <v>45</v>
      </c>
      <c r="C26" s="16" t="n">
        <f aca="false">IFERROR(MAX('Enter data'!$D$7:$D$406),"")</f>
        <v>0</v>
      </c>
    </row>
    <row r="28" customFormat="false" ht="15" hidden="false" customHeight="false" outlineLevel="0" collapsed="false">
      <c r="B28" s="9" t="s">
        <v>46</v>
      </c>
    </row>
    <row r="29" customFormat="false" ht="15" hidden="false" customHeight="false" outlineLevel="0" collapsed="false">
      <c r="B29" s="15" t="s">
        <v>47</v>
      </c>
      <c r="C29" s="20" t="str">
        <f aca="false">IFERROR(CORREL('Enter data'!$E$7:$E$405,'Enter data'!$E$8:$E$406),"")</f>
        <v/>
      </c>
      <c r="D29" s="8" t="s">
        <v>48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2026-10-01T00:32:09Z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2026-10-01T00:32:23Z</dcterms:modified>
  <cp:revision>1</cp:revision>
  <dc:subject/>
  <dc:title>EM-06 Trend and exceedances in a monitoring series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