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<sst xmlns="http://schemas.openxmlformats.org/spreadsheetml/2006/main" count="59" uniqueCount="57">
  <si>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ZOO-01  Comparative body plans: character matrix and agreement</t>
  </si>
  <si>
    <t xml:space="preserve">Excel version of the card. It does the same calculations as the R script zoo01_body_plan_matrix.R.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</si>
  <si>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</si>
  <si>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</si>
  <si>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</si>
  <si>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</si>
  <si>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</si>
  <si>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</si>
  <si>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</si>
  <si>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</si>
  <si>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Score each character 1 (present) or 0 (absent) for each animal you examined. Type the animal names in column 1 and the character names in the yellow header cells.</t>
  </si>
  <si>
    <t xml:space="preserve">The distance between two animals is the number of characters in which they differ. Similarity mixes shared ancestry with convergence: it is not a tree.</t>
  </si>
  <si>
    <t xml:space="preserve">Differences from the R script on the card</t>
  </si>
  <si>
    <t xml:space="preserve">The R script draws an average-linkage clustering. Excel cannot cluster, so the workbook gives the distance matrix and character classes; read the clusters from the smallest distances.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</si>
  <si>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</si>
  <si>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</si>
  <si>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</si>
  <si>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</si>
  <si>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Character matrix (1 or 0). Type the character names in the header cells.</t>
  </si>
  <si>
    <t xml:space="preserve">Animal</t>
  </si>
  <si>
    <t xml:space="preserve">bilateral symmetry</t>
  </si>
  <si>
    <t xml:space="preserve">external segmentation</t>
  </si>
  <si>
    <t xml:space="preserve">jointed appendages</t>
  </si>
  <si>
    <t xml:space="preserve">chitinous exoskeleton</t>
  </si>
  <si>
    <t xml:space="preserve">calcareous shell</t>
  </si>
  <si>
    <t xml:space="preserve">muscular foot</t>
  </si>
  <si>
    <t xml:space="preserve">mantle</t>
  </si>
  <si>
    <t xml:space="preserve">radula</t>
  </si>
  <si>
    <t xml:space="preserve">closed circulatory system</t>
  </si>
  <si>
    <t xml:space="preserve">extensive true coelom</t>
  </si>
  <si>
    <t xml:space="preserve">ventral nerve cord</t>
  </si>
  <si>
    <t xml:space="preserve">complete digestive tract</t>
  </si>
  <si>
    <t xml:space="preserve">earthworm</t>
  </si>
  <si>
    <t xml:space="preserve">2. Two scorers score the same animal (1 or 0 per character)</t>
  </si>
  <si>
    <t xml:space="preserve">Character</t>
  </si>
  <si>
    <t xml:space="preserve">Scorer A</t>
  </si>
  <si>
    <t xml:space="preserve">Scorer B</t>
  </si>
  <si>
    <t xml:space="preserve">segmentation</t>
  </si>
  <si>
    <t xml:space="preserve">Results</t>
  </si>
  <si>
    <t xml:space="preserve">Everything on this sheet is calculated. Change only the yellow settings.</t>
  </si>
  <si>
    <t xml:space="preserve">Number of characters that differ between each pair of animals</t>
  </si>
  <si>
    <t xml:space="preserve">vs animal 1</t>
  </si>
  <si>
    <t xml:space="preserve">vs animal 2</t>
  </si>
  <si>
    <t xml:space="preserve">vs animal 3</t>
  </si>
  <si>
    <t xml:space="preserve">vs animal 4</t>
  </si>
  <si>
    <t xml:space="preserve">vs animal 5</t>
  </si>
  <si>
    <t xml:space="preserve">vs animal 6</t>
  </si>
  <si>
    <t xml:space="preserve">vs animal 7</t>
  </si>
  <si>
    <t xml:space="preserve">vs animal 8</t>
  </si>
  <si>
    <t xml:space="preserve">Character classes</t>
  </si>
  <si>
    <t xml:space="preserve">Animals with it</t>
  </si>
  <si>
    <t xml:space="preserve">Class</t>
  </si>
  <si>
    <t xml:space="preserve">Scorer agreement (Cohen's kappa)</t>
  </si>
  <si>
    <t xml:space="preserve">Characters scored by both</t>
  </si>
  <si>
    <t xml:space="preserve">Simple agreement</t>
  </si>
  <si>
    <t xml:space="preserve">Agreement expected by chance</t>
  </si>
  <si>
    <t xml:space="preserve">Cohen's kappa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</si>
</sst>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1" t="s">
        <v>30</v>
      </c>
      <c r="M5" s="11" t="s">
        <v>31</v>
      </c>
    </row>
    <row r="6" customFormat="false" ht="15" hidden="false" customHeight="false" outlineLevel="0" collapsed="false">
      <c r="A6" s="12" t="s">
        <v>32</v>
      </c>
      <c r="B6" s="12" t="n">
        <v>1</v>
      </c>
      <c r="C6" s="12" t="n">
        <v>1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1</v>
      </c>
      <c r="K6" s="12" t="n">
        <v>1</v>
      </c>
      <c r="L6" s="12" t="n">
        <v>1</v>
      </c>
      <c r="M6" s="12" t="n">
        <v>1</v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7" customFormat="false" ht="15" hidden="false" customHeight="false" outlineLevel="0" collapsed="false">
      <c r="A17" s="9" t="s">
        <v>33</v>
      </c>
    </row>
    <row r="18" customFormat="false" ht="31.5" hidden="false" customHeight="true" outlineLevel="0" collapsed="false">
      <c r="A18" s="10" t="s">
        <v>34</v>
      </c>
      <c r="B18" s="10" t="s">
        <v>35</v>
      </c>
      <c r="C18" s="10" t="s">
        <v>36</v>
      </c>
    </row>
    <row r="19" customFormat="false" ht="15" hidden="false" customHeight="false" outlineLevel="0" collapsed="false">
      <c r="A19" s="12" t="s">
        <v>37</v>
      </c>
      <c r="B19" s="12" t="n">
        <v>1</v>
      </c>
      <c r="C19" s="12" t="n">
        <v>1</v>
      </c>
    </row>
    <row r="20" customFormat="false" ht="15" hidden="false" customHeight="false" outlineLevel="0" collapsed="false">
      <c r="A20" s="13"/>
      <c r="B20" s="13"/>
      <c r="C20" s="13"/>
    </row>
    <row r="21" customFormat="false" ht="15" hidden="false" customHeight="false" outlineLevel="0" collapsed="false">
      <c r="A21" s="13"/>
      <c r="B21" s="13"/>
      <c r="C21" s="13"/>
    </row>
    <row r="22" customFormat="false" ht="15" hidden="false" customHeight="false" outlineLevel="0" collapsed="false">
      <c r="A22" s="13"/>
      <c r="B22" s="13"/>
      <c r="C22" s="13"/>
    </row>
    <row r="23" customFormat="false" ht="15" hidden="false" customHeight="false" outlineLevel="0" collapsed="false">
      <c r="A23" s="13"/>
      <c r="B23" s="13"/>
      <c r="C23" s="13"/>
    </row>
    <row r="24" customFormat="false" ht="15" hidden="false" customHeight="false" outlineLevel="0" collapsed="false">
      <c r="A24" s="13"/>
      <c r="B24" s="13"/>
      <c r="C24" s="13"/>
    </row>
    <row r="25" customFormat="false" ht="15" hidden="false" customHeight="false" outlineLevel="0" collapsed="false">
      <c r="A25" s="13"/>
      <c r="B25" s="13"/>
      <c r="C25" s="13"/>
    </row>
    <row r="26" customFormat="false" ht="15" hidden="false" customHeight="false" outlineLevel="0" collapsed="false">
      <c r="A26" s="13"/>
      <c r="B26" s="13"/>
      <c r="C26" s="13"/>
    </row>
    <row r="27" customFormat="false" ht="15" hidden="false" customHeight="false" outlineLevel="0" collapsed="false">
      <c r="A27" s="13"/>
      <c r="B27" s="13"/>
      <c r="C27" s="13"/>
    </row>
    <row r="28" customFormat="false" ht="15" hidden="false" customHeight="false" outlineLevel="0" collapsed="false">
      <c r="A28" s="13"/>
      <c r="B28" s="13"/>
      <c r="C28" s="13"/>
    </row>
    <row r="29" customFormat="false" ht="15" hidden="false" customHeight="false" outlineLevel="0" collapsed="false">
      <c r="A29" s="13"/>
      <c r="B29" s="13"/>
      <c r="C29" s="13"/>
    </row>
    <row r="30" customFormat="false" ht="15" hidden="false" customHeight="false" outlineLevel="0" collapsed="false">
      <c r="A30" s="13"/>
      <c r="B30" s="13"/>
      <c r="C30" s="13"/>
    </row>
    <row r="31" customFormat="false" ht="15" hidden="false" customHeight="false" outlineLevel="0" collapsed="false">
      <c r="A31" s="13"/>
      <c r="B31" s="13"/>
      <c r="C31" s="13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M14 B20:C3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38</v>
      </c>
    </row>
    <row r="2" customFormat="false" ht="15" hidden="false" customHeight="false" outlineLevel="0" collapsed="false">
      <c r="B2" s="8" t="s">
        <v>39</v>
      </c>
    </row>
    <row r="4" customFormat="false" ht="15" hidden="false" customHeight="false" outlineLevel="0" collapsed="false">
      <c r="B4" s="9" t="s">
        <v>40</v>
      </c>
    </row>
    <row r="5" customFormat="false" ht="30" hidden="false" customHeight="true" outlineLevel="0" collapsed="false">
      <c r="B5" s="10" t="s">
        <v>19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</row>
    <row r="6" customFormat="false" ht="15" hidden="false" customHeight="false" outlineLevel="0" collapsed="false">
      <c r="B6" s="14" t="str">
        <f aca="false">IFERROR(IF('Enter data'!$A$7="","",'Enter data'!$A$7),"")</f>
        <v/>
      </c>
      <c r="C6" s="15" t="str">
        <f aca="false">IFERROR(IF(OR('Enter data'!$A$7="",'Enter data'!$A$7=""),"",SUMPRODUCT(ABS('Enter data'!$B$7:$M$7-'Enter data'!$B$7:$M$7))),"")</f>
        <v/>
      </c>
      <c r="D6" s="15" t="str">
        <f aca="false">IFERROR(IF(OR('Enter data'!$A$7="",'Enter data'!$A$8=""),"",SUMPRODUCT(ABS('Enter data'!$B$7:$M$7-'Enter data'!$B$8:$M$8))),"")</f>
        <v/>
      </c>
      <c r="E6" s="15" t="str">
        <f aca="false">IFERROR(IF(OR('Enter data'!$A$7="",'Enter data'!$A$9=""),"",SUMPRODUCT(ABS('Enter data'!$B$7:$M$7-'Enter data'!$B$9:$M$9))),"")</f>
        <v/>
      </c>
      <c r="F6" s="15" t="str">
        <f aca="false">IFERROR(IF(OR('Enter data'!$A$7="",'Enter data'!$A$10=""),"",SUMPRODUCT(ABS('Enter data'!$B$7:$M$7-'Enter data'!$B$10:$M$10))),"")</f>
        <v/>
      </c>
      <c r="G6" s="15" t="str">
        <f aca="false">IFERROR(IF(OR('Enter data'!$A$7="",'Enter data'!$A$11=""),"",SUMPRODUCT(ABS('Enter data'!$B$7:$M$7-'Enter data'!$B$11:$M$11))),"")</f>
        <v/>
      </c>
      <c r="H6" s="15" t="str">
        <f aca="false">IFERROR(IF(OR('Enter data'!$A$7="",'Enter data'!$A$12=""),"",SUMPRODUCT(ABS('Enter data'!$B$7:$M$7-'Enter data'!$B$12:$M$12))),"")</f>
        <v/>
      </c>
      <c r="I6" s="15" t="str">
        <f aca="false">IFERROR(IF(OR('Enter data'!$A$7="",'Enter data'!$A$13=""),"",SUMPRODUCT(ABS('Enter data'!$B$7:$M$7-'Enter data'!$B$13:$M$13))),"")</f>
        <v/>
      </c>
      <c r="J6" s="15" t="str">
        <f aca="false">IFERROR(IF(OR('Enter data'!$A$7="",'Enter data'!$A$14=""),"",SUMPRODUCT(ABS('Enter data'!$B$7:$M$7-'Enter data'!$B$14:$M$14))),"")</f>
        <v/>
      </c>
    </row>
    <row r="7" customFormat="false" ht="15" hidden="false" customHeight="false" outlineLevel="0" collapsed="false">
      <c r="B7" s="14" t="str">
        <f aca="false">IFERROR(IF('Enter data'!$A$8="","",'Enter data'!$A$8),"")</f>
        <v/>
      </c>
      <c r="C7" s="15" t="str">
        <f aca="false">IFERROR(IF(OR('Enter data'!$A$8="",'Enter data'!$A$7=""),"",SUMPRODUCT(ABS('Enter data'!$B$8:$M$8-'Enter data'!$B$7:$M$7))),"")</f>
        <v/>
      </c>
      <c r="D7" s="15" t="str">
        <f aca="false">IFERROR(IF(OR('Enter data'!$A$8="",'Enter data'!$A$8=""),"",SUMPRODUCT(ABS('Enter data'!$B$8:$M$8-'Enter data'!$B$8:$M$8))),"")</f>
        <v/>
      </c>
      <c r="E7" s="15" t="str">
        <f aca="false">IFERROR(IF(OR('Enter data'!$A$8="",'Enter data'!$A$9=""),"",SUMPRODUCT(ABS('Enter data'!$B$8:$M$8-'Enter data'!$B$9:$M$9))),"")</f>
        <v/>
      </c>
      <c r="F7" s="15" t="str">
        <f aca="false">IFERROR(IF(OR('Enter data'!$A$8="",'Enter data'!$A$10=""),"",SUMPRODUCT(ABS('Enter data'!$B$8:$M$8-'Enter data'!$B$10:$M$10))),"")</f>
        <v/>
      </c>
      <c r="G7" s="15" t="str">
        <f aca="false">IFERROR(IF(OR('Enter data'!$A$8="",'Enter data'!$A$11=""),"",SUMPRODUCT(ABS('Enter data'!$B$8:$M$8-'Enter data'!$B$11:$M$11))),"")</f>
        <v/>
      </c>
      <c r="H7" s="15" t="str">
        <f aca="false">IFERROR(IF(OR('Enter data'!$A$8="",'Enter data'!$A$12=""),"",SUMPRODUCT(ABS('Enter data'!$B$8:$M$8-'Enter data'!$B$12:$M$12))),"")</f>
        <v/>
      </c>
      <c r="I7" s="15" t="str">
        <f aca="false">IFERROR(IF(OR('Enter data'!$A$8="",'Enter data'!$A$13=""),"",SUMPRODUCT(ABS('Enter data'!$B$8:$M$8-'Enter data'!$B$13:$M$13))),"")</f>
        <v/>
      </c>
      <c r="J7" s="15" t="str">
        <f aca="false">IFERROR(IF(OR('Enter data'!$A$8="",'Enter data'!$A$14=""),"",SUMPRODUCT(ABS('Enter data'!$B$8:$M$8-'Enter data'!$B$14:$M$14))),"")</f>
        <v/>
      </c>
    </row>
    <row r="8" customFormat="false" ht="15" hidden="false" customHeight="false" outlineLevel="0" collapsed="false">
      <c r="B8" s="14" t="str">
        <f aca="false">IFERROR(IF('Enter data'!$A$9="","",'Enter data'!$A$9),"")</f>
        <v/>
      </c>
      <c r="C8" s="15" t="str">
        <f aca="false">IFERROR(IF(OR('Enter data'!$A$9="",'Enter data'!$A$7=""),"",SUMPRODUCT(ABS('Enter data'!$B$9:$M$9-'Enter data'!$B$7:$M$7))),"")</f>
        <v/>
      </c>
      <c r="D8" s="15" t="str">
        <f aca="false">IFERROR(IF(OR('Enter data'!$A$9="",'Enter data'!$A$8=""),"",SUMPRODUCT(ABS('Enter data'!$B$9:$M$9-'Enter data'!$B$8:$M$8))),"")</f>
        <v/>
      </c>
      <c r="E8" s="15" t="str">
        <f aca="false">IFERROR(IF(OR('Enter data'!$A$9="",'Enter data'!$A$9=""),"",SUMPRODUCT(ABS('Enter data'!$B$9:$M$9-'Enter data'!$B$9:$M$9))),"")</f>
        <v/>
      </c>
      <c r="F8" s="15" t="str">
        <f aca="false">IFERROR(IF(OR('Enter data'!$A$9="",'Enter data'!$A$10=""),"",SUMPRODUCT(ABS('Enter data'!$B$9:$M$9-'Enter data'!$B$10:$M$10))),"")</f>
        <v/>
      </c>
      <c r="G8" s="15" t="str">
        <f aca="false">IFERROR(IF(OR('Enter data'!$A$9="",'Enter data'!$A$11=""),"",SUMPRODUCT(ABS('Enter data'!$B$9:$M$9-'Enter data'!$B$11:$M$11))),"")</f>
        <v/>
      </c>
      <c r="H8" s="15" t="str">
        <f aca="false">IFERROR(IF(OR('Enter data'!$A$9="",'Enter data'!$A$12=""),"",SUMPRODUCT(ABS('Enter data'!$B$9:$M$9-'Enter data'!$B$12:$M$12))),"")</f>
        <v/>
      </c>
      <c r="I8" s="15" t="str">
        <f aca="false">IFERROR(IF(OR('Enter data'!$A$9="",'Enter data'!$A$13=""),"",SUMPRODUCT(ABS('Enter data'!$B$9:$M$9-'Enter data'!$B$13:$M$13))),"")</f>
        <v/>
      </c>
      <c r="J8" s="15" t="str">
        <f aca="false">IFERROR(IF(OR('Enter data'!$A$9="",'Enter data'!$A$14=""),"",SUMPRODUCT(ABS('Enter data'!$B$9:$M$9-'Enter data'!$B$14:$M$14))),"")</f>
        <v/>
      </c>
    </row>
    <row r="9" customFormat="false" ht="15" hidden="false" customHeight="false" outlineLevel="0" collapsed="false">
      <c r="B9" s="14" t="str">
        <f aca="false">IFERROR(IF('Enter data'!$A$10="","",'Enter data'!$A$10),"")</f>
        <v/>
      </c>
      <c r="C9" s="15" t="str">
        <f aca="false">IFERROR(IF(OR('Enter data'!$A$10="",'Enter data'!$A$7=""),"",SUMPRODUCT(ABS('Enter data'!$B$10:$M$10-'Enter data'!$B$7:$M$7))),"")</f>
        <v/>
      </c>
      <c r="D9" s="15" t="str">
        <f aca="false">IFERROR(IF(OR('Enter data'!$A$10="",'Enter data'!$A$8=""),"",SUMPRODUCT(ABS('Enter data'!$B$10:$M$10-'Enter data'!$B$8:$M$8))),"")</f>
        <v/>
      </c>
      <c r="E9" s="15" t="str">
        <f aca="false">IFERROR(IF(OR('Enter data'!$A$10="",'Enter data'!$A$9=""),"",SUMPRODUCT(ABS('Enter data'!$B$10:$M$10-'Enter data'!$B$9:$M$9))),"")</f>
        <v/>
      </c>
      <c r="F9" s="15" t="str">
        <f aca="false">IFERROR(IF(OR('Enter data'!$A$10="",'Enter data'!$A$10=""),"",SUMPRODUCT(ABS('Enter data'!$B$10:$M$10-'Enter data'!$B$10:$M$10))),"")</f>
        <v/>
      </c>
      <c r="G9" s="15" t="str">
        <f aca="false">IFERROR(IF(OR('Enter data'!$A$10="",'Enter data'!$A$11=""),"",SUMPRODUCT(ABS('Enter data'!$B$10:$M$10-'Enter data'!$B$11:$M$11))),"")</f>
        <v/>
      </c>
      <c r="H9" s="15" t="str">
        <f aca="false">IFERROR(IF(OR('Enter data'!$A$10="",'Enter data'!$A$12=""),"",SUMPRODUCT(ABS('Enter data'!$B$10:$M$10-'Enter data'!$B$12:$M$12))),"")</f>
        <v/>
      </c>
      <c r="I9" s="15" t="str">
        <f aca="false">IFERROR(IF(OR('Enter data'!$A$10="",'Enter data'!$A$13=""),"",SUMPRODUCT(ABS('Enter data'!$B$10:$M$10-'Enter data'!$B$13:$M$13))),"")</f>
        <v/>
      </c>
      <c r="J9" s="15" t="str">
        <f aca="false">IFERROR(IF(OR('Enter data'!$A$10="",'Enter data'!$A$14=""),"",SUMPRODUCT(ABS('Enter data'!$B$10:$M$10-'Enter data'!$B$14:$M$14))),"")</f>
        <v/>
      </c>
    </row>
    <row r="10" customFormat="false" ht="15" hidden="false" customHeight="false" outlineLevel="0" collapsed="false">
      <c r="B10" s="14" t="str">
        <f aca="false">IFERROR(IF('Enter data'!$A$11="","",'Enter data'!$A$11),"")</f>
        <v/>
      </c>
      <c r="C10" s="15" t="str">
        <f aca="false">IFERROR(IF(OR('Enter data'!$A$11="",'Enter data'!$A$7=""),"",SUMPRODUCT(ABS('Enter data'!$B$11:$M$11-'Enter data'!$B$7:$M$7))),"")</f>
        <v/>
      </c>
      <c r="D10" s="15" t="str">
        <f aca="false">IFERROR(IF(OR('Enter data'!$A$11="",'Enter data'!$A$8=""),"",SUMPRODUCT(ABS('Enter data'!$B$11:$M$11-'Enter data'!$B$8:$M$8))),"")</f>
        <v/>
      </c>
      <c r="E10" s="15" t="str">
        <f aca="false">IFERROR(IF(OR('Enter data'!$A$11="",'Enter data'!$A$9=""),"",SUMPRODUCT(ABS('Enter data'!$B$11:$M$11-'Enter data'!$B$9:$M$9))),"")</f>
        <v/>
      </c>
      <c r="F10" s="15" t="str">
        <f aca="false">IFERROR(IF(OR('Enter data'!$A$11="",'Enter data'!$A$10=""),"",SUMPRODUCT(ABS('Enter data'!$B$11:$M$11-'Enter data'!$B$10:$M$10))),"")</f>
        <v/>
      </c>
      <c r="G10" s="15" t="str">
        <f aca="false">IFERROR(IF(OR('Enter data'!$A$11="",'Enter data'!$A$11=""),"",SUMPRODUCT(ABS('Enter data'!$B$11:$M$11-'Enter data'!$B$11:$M$11))),"")</f>
        <v/>
      </c>
      <c r="H10" s="15" t="str">
        <f aca="false">IFERROR(IF(OR('Enter data'!$A$11="",'Enter data'!$A$12=""),"",SUMPRODUCT(ABS('Enter data'!$B$11:$M$11-'Enter data'!$B$12:$M$12))),"")</f>
        <v/>
      </c>
      <c r="I10" s="15" t="str">
        <f aca="false">IFERROR(IF(OR('Enter data'!$A$11="",'Enter data'!$A$13=""),"",SUMPRODUCT(ABS('Enter data'!$B$11:$M$11-'Enter data'!$B$13:$M$13))),"")</f>
        <v/>
      </c>
      <c r="J10" s="15" t="str">
        <f aca="false">IFERROR(IF(OR('Enter data'!$A$11="",'Enter data'!$A$14=""),"",SUMPRODUCT(ABS('Enter data'!$B$11:$M$11-'Enter data'!$B$14:$M$14))),"")</f>
        <v/>
      </c>
    </row>
    <row r="11" customFormat="false" ht="15" hidden="false" customHeight="false" outlineLevel="0" collapsed="false">
      <c r="B11" s="14" t="str">
        <f aca="false">IFERROR(IF('Enter data'!$A$12="","",'Enter data'!$A$12),"")</f>
        <v/>
      </c>
      <c r="C11" s="15" t="str">
        <f aca="false">IFERROR(IF(OR('Enter data'!$A$12="",'Enter data'!$A$7=""),"",SUMPRODUCT(ABS('Enter data'!$B$12:$M$12-'Enter data'!$B$7:$M$7))),"")</f>
        <v/>
      </c>
      <c r="D11" s="15" t="str">
        <f aca="false">IFERROR(IF(OR('Enter data'!$A$12="",'Enter data'!$A$8=""),"",SUMPRODUCT(ABS('Enter data'!$B$12:$M$12-'Enter data'!$B$8:$M$8))),"")</f>
        <v/>
      </c>
      <c r="E11" s="15" t="str">
        <f aca="false">IFERROR(IF(OR('Enter data'!$A$12="",'Enter data'!$A$9=""),"",SUMPRODUCT(ABS('Enter data'!$B$12:$M$12-'Enter data'!$B$9:$M$9))),"")</f>
        <v/>
      </c>
      <c r="F11" s="15" t="str">
        <f aca="false">IFERROR(IF(OR('Enter data'!$A$12="",'Enter data'!$A$10=""),"",SUMPRODUCT(ABS('Enter data'!$B$12:$M$12-'Enter data'!$B$10:$M$10))),"")</f>
        <v/>
      </c>
      <c r="G11" s="15" t="str">
        <f aca="false">IFERROR(IF(OR('Enter data'!$A$12="",'Enter data'!$A$11=""),"",SUMPRODUCT(ABS('Enter data'!$B$12:$M$12-'Enter data'!$B$11:$M$11))),"")</f>
        <v/>
      </c>
      <c r="H11" s="15" t="str">
        <f aca="false">IFERROR(IF(OR('Enter data'!$A$12="",'Enter data'!$A$12=""),"",SUMPRODUCT(ABS('Enter data'!$B$12:$M$12-'Enter data'!$B$12:$M$12))),"")</f>
        <v/>
      </c>
      <c r="I11" s="15" t="str">
        <f aca="false">IFERROR(IF(OR('Enter data'!$A$12="",'Enter data'!$A$13=""),"",SUMPRODUCT(ABS('Enter data'!$B$12:$M$12-'Enter data'!$B$13:$M$13))),"")</f>
        <v/>
      </c>
      <c r="J11" s="15" t="str">
        <f aca="false">IFERROR(IF(OR('Enter data'!$A$12="",'Enter data'!$A$14=""),"",SUMPRODUCT(ABS('Enter data'!$B$12:$M$12-'Enter data'!$B$14:$M$14))),"")</f>
        <v/>
      </c>
    </row>
    <row r="12" customFormat="false" ht="15" hidden="false" customHeight="false" outlineLevel="0" collapsed="false">
      <c r="B12" s="14" t="str">
        <f aca="false">IFERROR(IF('Enter data'!$A$13="","",'Enter data'!$A$13),"")</f>
        <v/>
      </c>
      <c r="C12" s="15" t="str">
        <f aca="false">IFERROR(IF(OR('Enter data'!$A$13="",'Enter data'!$A$7=""),"",SUMPRODUCT(ABS('Enter data'!$B$13:$M$13-'Enter data'!$B$7:$M$7))),"")</f>
        <v/>
      </c>
      <c r="D12" s="15" t="str">
        <f aca="false">IFERROR(IF(OR('Enter data'!$A$13="",'Enter data'!$A$8=""),"",SUMPRODUCT(ABS('Enter data'!$B$13:$M$13-'Enter data'!$B$8:$M$8))),"")</f>
        <v/>
      </c>
      <c r="E12" s="15" t="str">
        <f aca="false">IFERROR(IF(OR('Enter data'!$A$13="",'Enter data'!$A$9=""),"",SUMPRODUCT(ABS('Enter data'!$B$13:$M$13-'Enter data'!$B$9:$M$9))),"")</f>
        <v/>
      </c>
      <c r="F12" s="15" t="str">
        <f aca="false">IFERROR(IF(OR('Enter data'!$A$13="",'Enter data'!$A$10=""),"",SUMPRODUCT(ABS('Enter data'!$B$13:$M$13-'Enter data'!$B$10:$M$10))),"")</f>
        <v/>
      </c>
      <c r="G12" s="15" t="str">
        <f aca="false">IFERROR(IF(OR('Enter data'!$A$13="",'Enter data'!$A$11=""),"",SUMPRODUCT(ABS('Enter data'!$B$13:$M$13-'Enter data'!$B$11:$M$11))),"")</f>
        <v/>
      </c>
      <c r="H12" s="15" t="str">
        <f aca="false">IFERROR(IF(OR('Enter data'!$A$13="",'Enter data'!$A$12=""),"",SUMPRODUCT(ABS('Enter data'!$B$13:$M$13-'Enter data'!$B$12:$M$12))),"")</f>
        <v/>
      </c>
      <c r="I12" s="15" t="str">
        <f aca="false">IFERROR(IF(OR('Enter data'!$A$13="",'Enter data'!$A$13=""),"",SUMPRODUCT(ABS('Enter data'!$B$13:$M$13-'Enter data'!$B$13:$M$13))),"")</f>
        <v/>
      </c>
      <c r="J12" s="15" t="str">
        <f aca="false">IFERROR(IF(OR('Enter data'!$A$13="",'Enter data'!$A$14=""),"",SUMPRODUCT(ABS('Enter data'!$B$13:$M$13-'Enter data'!$B$14:$M$14))),"")</f>
        <v/>
      </c>
    </row>
    <row r="13" customFormat="false" ht="15" hidden="false" customHeight="false" outlineLevel="0" collapsed="false">
      <c r="B13" s="14" t="str">
        <f aca="false">IFERROR(IF('Enter data'!$A$14="","",'Enter data'!$A$14),"")</f>
        <v/>
      </c>
      <c r="C13" s="15" t="str">
        <f aca="false">IFERROR(IF(OR('Enter data'!$A$14="",'Enter data'!$A$7=""),"",SUMPRODUCT(ABS('Enter data'!$B$14:$M$14-'Enter data'!$B$7:$M$7))),"")</f>
        <v/>
      </c>
      <c r="D13" s="15" t="str">
        <f aca="false">IFERROR(IF(OR('Enter data'!$A$14="",'Enter data'!$A$8=""),"",SUMPRODUCT(ABS('Enter data'!$B$14:$M$14-'Enter data'!$B$8:$M$8))),"")</f>
        <v/>
      </c>
      <c r="E13" s="15" t="str">
        <f aca="false">IFERROR(IF(OR('Enter data'!$A$14="",'Enter data'!$A$9=""),"",SUMPRODUCT(ABS('Enter data'!$B$14:$M$14-'Enter data'!$B$9:$M$9))),"")</f>
        <v/>
      </c>
      <c r="F13" s="15" t="str">
        <f aca="false">IFERROR(IF(OR('Enter data'!$A$14="",'Enter data'!$A$10=""),"",SUMPRODUCT(ABS('Enter data'!$B$14:$M$14-'Enter data'!$B$10:$M$10))),"")</f>
        <v/>
      </c>
      <c r="G13" s="15" t="str">
        <f aca="false">IFERROR(IF(OR('Enter data'!$A$14="",'Enter data'!$A$11=""),"",SUMPRODUCT(ABS('Enter data'!$B$14:$M$14-'Enter data'!$B$11:$M$11))),"")</f>
        <v/>
      </c>
      <c r="H13" s="15" t="str">
        <f aca="false">IFERROR(IF(OR('Enter data'!$A$14="",'Enter data'!$A$12=""),"",SUMPRODUCT(ABS('Enter data'!$B$14:$M$14-'Enter data'!$B$12:$M$12))),"")</f>
        <v/>
      </c>
      <c r="I13" s="15" t="str">
        <f aca="false">IFERROR(IF(OR('Enter data'!$A$14="",'Enter data'!$A$13=""),"",SUMPRODUCT(ABS('Enter data'!$B$14:$M$14-'Enter data'!$B$13:$M$13))),"")</f>
        <v/>
      </c>
      <c r="J13" s="15" t="str">
        <f aca="false">IFERROR(IF(OR('Enter data'!$A$14="",'Enter data'!$A$14=""),"",SUMPRODUCT(ABS('Enter data'!$B$14:$M$14-'Enter data'!$B$14:$M$14))),"")</f>
        <v/>
      </c>
    </row>
    <row r="16" customFormat="false" ht="15" hidden="false" customHeight="false" outlineLevel="0" collapsed="false">
      <c r="B16" s="9" t="s">
        <v>49</v>
      </c>
    </row>
    <row r="17" customFormat="false" ht="30" hidden="false" customHeight="true" outlineLevel="0" collapsed="false">
      <c r="B17" s="10" t="s">
        <v>34</v>
      </c>
      <c r="C17" s="10" t="s">
        <v>50</v>
      </c>
      <c r="D17" s="10" t="s">
        <v>51</v>
      </c>
    </row>
    <row r="18" customFormat="false" ht="15" hidden="false" customHeight="false" outlineLevel="0" collapsed="false">
      <c r="B18" s="14" t="str">
        <f aca="false">IFERROR('Enter data'!$B$5,"")</f>
        <v>bilateral symmetry</v>
      </c>
      <c r="C18" s="15" t="n">
        <f aca="false">IFERROR(SUM('Enter data'!$B$7:$B$14),"")</f>
        <v>0</v>
      </c>
      <c r="D18" s="16" t="str">
        <f aca="false">IFERROR(IF(COUNTA('Enter data'!$A$7:$A$14)=0,"",IF(C18=COUNTA('Enter data'!$A$7:$A$14),"in every animal",IF(C18=0,"in none",IF(C18=1,"unique to one animal",IF(C18=2,"shared by exactly two","shared by several"))))),"")</f>
        <v/>
      </c>
    </row>
    <row r="19" customFormat="false" ht="15" hidden="false" customHeight="false" outlineLevel="0" collapsed="false">
      <c r="B19" s="14" t="str">
        <f aca="false">IFERROR('Enter data'!$C$5,"")</f>
        <v>external segmentation</v>
      </c>
      <c r="C19" s="15" t="n">
        <f aca="false">IFERROR(SUM('Enter data'!$C$7:$C$14),"")</f>
        <v>0</v>
      </c>
      <c r="D19" s="16" t="str">
        <f aca="false">IFERROR(IF(COUNTA('Enter data'!$A$7:$A$14)=0,"",IF(C19=COUNTA('Enter data'!$A$7:$A$14),"in every animal",IF(C19=0,"in none",IF(C19=1,"unique to one animal",IF(C19=2,"shared by exactly two","shared by several"))))),"")</f>
        <v/>
      </c>
    </row>
    <row r="20" customFormat="false" ht="15" hidden="false" customHeight="false" outlineLevel="0" collapsed="false">
      <c r="B20" s="14" t="str">
        <f aca="false">IFERROR('Enter data'!$D$5,"")</f>
        <v>jointed appendages</v>
      </c>
      <c r="C20" s="15" t="n">
        <f aca="false">IFERROR(SUM('Enter data'!$D$7:$D$14),"")</f>
        <v>0</v>
      </c>
      <c r="D20" s="16" t="str">
        <f aca="false">IFERROR(IF(COUNTA('Enter data'!$A$7:$A$14)=0,"",IF(C20=COUNTA('Enter data'!$A$7:$A$14),"in every animal",IF(C20=0,"in none",IF(C20=1,"unique to one animal",IF(C20=2,"shared by exactly two","shared by several"))))),"")</f>
        <v/>
      </c>
    </row>
    <row r="21" customFormat="false" ht="15" hidden="false" customHeight="false" outlineLevel="0" collapsed="false">
      <c r="B21" s="14" t="str">
        <f aca="false">IFERROR('Enter data'!$E$5,"")</f>
        <v>chitinous exoskeleton</v>
      </c>
      <c r="C21" s="15" t="n">
        <f aca="false">IFERROR(SUM('Enter data'!$E$7:$E$14),"")</f>
        <v>0</v>
      </c>
      <c r="D21" s="16" t="str">
        <f aca="false">IFERROR(IF(COUNTA('Enter data'!$A$7:$A$14)=0,"",IF(C21=COUNTA('Enter data'!$A$7:$A$14),"in every animal",IF(C21=0,"in none",IF(C21=1,"unique to one animal",IF(C21=2,"shared by exactly two","shared by several"))))),"")</f>
        <v/>
      </c>
    </row>
    <row r="22" customFormat="false" ht="15" hidden="false" customHeight="false" outlineLevel="0" collapsed="false">
      <c r="B22" s="14" t="str">
        <f aca="false">IFERROR('Enter data'!$F$5,"")</f>
        <v>calcareous shell</v>
      </c>
      <c r="C22" s="15" t="n">
        <f aca="false">IFERROR(SUM('Enter data'!$F$7:$F$14),"")</f>
        <v>0</v>
      </c>
      <c r="D22" s="16" t="str">
        <f aca="false">IFERROR(IF(COUNTA('Enter data'!$A$7:$A$14)=0,"",IF(C22=COUNTA('Enter data'!$A$7:$A$14),"in every animal",IF(C22=0,"in none",IF(C22=1,"unique to one animal",IF(C22=2,"shared by exactly two","shared by several"))))),"")</f>
        <v/>
      </c>
    </row>
    <row r="23" customFormat="false" ht="15" hidden="false" customHeight="false" outlineLevel="0" collapsed="false">
      <c r="B23" s="14" t="str">
        <f aca="false">IFERROR('Enter data'!$G$5,"")</f>
        <v>muscular foot</v>
      </c>
      <c r="C23" s="15" t="n">
        <f aca="false">IFERROR(SUM('Enter data'!$G$7:$G$14),"")</f>
        <v>0</v>
      </c>
      <c r="D23" s="16" t="str">
        <f aca="false">IFERROR(IF(COUNTA('Enter data'!$A$7:$A$14)=0,"",IF(C23=COUNTA('Enter data'!$A$7:$A$14),"in every animal",IF(C23=0,"in none",IF(C23=1,"unique to one animal",IF(C23=2,"shared by exactly two","shared by several"))))),"")</f>
        <v/>
      </c>
    </row>
    <row r="24" customFormat="false" ht="15" hidden="false" customHeight="false" outlineLevel="0" collapsed="false">
      <c r="B24" s="14" t="str">
        <f aca="false">IFERROR('Enter data'!$H$5,"")</f>
        <v>mantle</v>
      </c>
      <c r="C24" s="15" t="n">
        <f aca="false">IFERROR(SUM('Enter data'!$H$7:$H$14),"")</f>
        <v>0</v>
      </c>
      <c r="D24" s="16" t="str">
        <f aca="false">IFERROR(IF(COUNTA('Enter data'!$A$7:$A$14)=0,"",IF(C24=COUNTA('Enter data'!$A$7:$A$14),"in every animal",IF(C24=0,"in none",IF(C24=1,"unique to one animal",IF(C24=2,"shared by exactly two","shared by several"))))),"")</f>
        <v/>
      </c>
    </row>
    <row r="25" customFormat="false" ht="15" hidden="false" customHeight="false" outlineLevel="0" collapsed="false">
      <c r="B25" s="14" t="str">
        <f aca="false">IFERROR('Enter data'!$I$5,"")</f>
        <v>radula</v>
      </c>
      <c r="C25" s="15" t="n">
        <f aca="false">IFERROR(SUM('Enter data'!$I$7:$I$14),"")</f>
        <v>0</v>
      </c>
      <c r="D25" s="16" t="str">
        <f aca="false">IFERROR(IF(COUNTA('Enter data'!$A$7:$A$14)=0,"",IF(C25=COUNTA('Enter data'!$A$7:$A$14),"in every animal",IF(C25=0,"in none",IF(C25=1,"unique to one animal",IF(C25=2,"shared by exactly two","shared by several"))))),"")</f>
        <v/>
      </c>
    </row>
    <row r="26" customFormat="false" ht="15" hidden="false" customHeight="false" outlineLevel="0" collapsed="false">
      <c r="B26" s="14" t="str">
        <f aca="false">IFERROR('Enter data'!$J$5,"")</f>
        <v>closed circulatory system</v>
      </c>
      <c r="C26" s="15" t="n">
        <f aca="false">IFERROR(SUM('Enter data'!$J$7:$J$14),"")</f>
        <v>0</v>
      </c>
      <c r="D26" s="16" t="str">
        <f aca="false">IFERROR(IF(COUNTA('Enter data'!$A$7:$A$14)=0,"",IF(C26=COUNTA('Enter data'!$A$7:$A$14),"in every animal",IF(C26=0,"in none",IF(C26=1,"unique to one animal",IF(C26=2,"shared by exactly two","shared by several"))))),"")</f>
        <v/>
      </c>
    </row>
    <row r="27" customFormat="false" ht="15" hidden="false" customHeight="false" outlineLevel="0" collapsed="false">
      <c r="B27" s="14" t="str">
        <f aca="false">IFERROR('Enter data'!$K$5,"")</f>
        <v>extensive true coelom</v>
      </c>
      <c r="C27" s="15" t="n">
        <f aca="false">IFERROR(SUM('Enter data'!$K$7:$K$14),"")</f>
        <v>0</v>
      </c>
      <c r="D27" s="16" t="str">
        <f aca="false">IFERROR(IF(COUNTA('Enter data'!$A$7:$A$14)=0,"",IF(C27=COUNTA('Enter data'!$A$7:$A$14),"in every animal",IF(C27=0,"in none",IF(C27=1,"unique to one animal",IF(C27=2,"shared by exactly two","shared by several"))))),"")</f>
        <v/>
      </c>
    </row>
    <row r="28" customFormat="false" ht="15" hidden="false" customHeight="false" outlineLevel="0" collapsed="false">
      <c r="B28" s="14" t="str">
        <f aca="false">IFERROR('Enter data'!$L$5,"")</f>
        <v>ventral nerve cord</v>
      </c>
      <c r="C28" s="15" t="n">
        <f aca="false">IFERROR(SUM('Enter data'!$L$7:$L$14),"")</f>
        <v>0</v>
      </c>
      <c r="D28" s="16" t="str">
        <f aca="false">IFERROR(IF(COUNTA('Enter data'!$A$7:$A$14)=0,"",IF(C28=COUNTA('Enter data'!$A$7:$A$14),"in every animal",IF(C28=0,"in none",IF(C28=1,"unique to one animal",IF(C28=2,"shared by exactly two","shared by several"))))),"")</f>
        <v/>
      </c>
    </row>
    <row r="29" customFormat="false" ht="15" hidden="false" customHeight="false" outlineLevel="0" collapsed="false">
      <c r="B29" s="14" t="str">
        <f aca="false">IFERROR('Enter data'!$M$5,"")</f>
        <v>complete digestive tract</v>
      </c>
      <c r="C29" s="15" t="n">
        <f aca="false">IFERROR(SUM('Enter data'!$M$7:$M$14),"")</f>
        <v>0</v>
      </c>
      <c r="D29" s="16" t="str">
        <f aca="false">IFERROR(IF(COUNTA('Enter data'!$A$7:$A$14)=0,"",IF(C29=COUNTA('Enter data'!$A$7:$A$14),"in every animal",IF(C29=0,"in none",IF(C29=1,"unique to one animal",IF(C29=2,"shared by exactly two","shared by several"))))),"")</f>
        <v/>
      </c>
    </row>
    <row r="32" customFormat="false" ht="15" hidden="false" customHeight="false" outlineLevel="0" collapsed="false">
      <c r="B32" s="9" t="s">
        <v>52</v>
      </c>
    </row>
    <row r="33" customFormat="false" ht="15" hidden="false" customHeight="false" outlineLevel="0" collapsed="false">
      <c r="B33" s="17" t="s">
        <v>53</v>
      </c>
      <c r="C33" s="18" t="n">
        <f aca="false">IFERROR(COUNTIFS('Enter data'!$B$20:$B$31,1,'Enter data'!$C$20:$C$31,1)+COUNTIFS('Enter data'!$B$20:$B$31,1,'Enter data'!$C$20:$C$31,0)+COUNTIFS('Enter data'!$B$20:$B$31,0,'Enter data'!$C$20:$C$31,1)+COUNTIFS('Enter data'!$B$20:$B$31,0,'Enter data'!$C$20:$C$31,0),"")</f>
        <v>0</v>
      </c>
    </row>
    <row r="34" customFormat="false" ht="15" hidden="false" customHeight="false" outlineLevel="0" collapsed="false">
      <c r="B34" s="17" t="s">
        <v>54</v>
      </c>
      <c r="C34" s="19" t="str">
        <f aca="false">IFERROR((COUNTIFS('Enter data'!$B$20:$B$31,1,'Enter data'!$C$20:$C$31,1)+COUNTIFS('Enter data'!$B$20:$B$31,0,'Enter data'!$C$20:$C$31,0))/$C$33,"")</f>
        <v/>
      </c>
    </row>
    <row r="35" customFormat="false" ht="15" hidden="false" customHeight="false" outlineLevel="0" collapsed="false">
      <c r="B35" s="17" t="s">
        <v>55</v>
      </c>
      <c r="C35" s="20" t="str">
        <f aca="false">IFERROR(((COUNTIFS('Enter data'!$B$20:$B$31,1,'Enter data'!$C$20:$C$31,1)+COUNTIFS('Enter data'!$B$20:$B$31,1,'Enter data'!$C$20:$C$31,0))*(COUNTIFS('Enter data'!$B$20:$B$31,1,'Enter data'!$C$20:$C$31,1)+COUNTIFS('Enter data'!$B$20:$B$31,0,'Enter data'!$C$20:$C$31,1))+(COUNTIFS('Enter data'!$B$20:$B$31,0,'Enter data'!$C$20:$C$31,1)+COUNTIFS('Enter data'!$B$20:$B$31,0,'Enter data'!$C$20:$C$31,0))*(COUNTIFS('Enter data'!$B$20:$B$31,1,'Enter data'!$C$20:$C$31,0)+COUNTIFS('Enter data'!$B$20:$B$31,0,'Enter data'!$C$20:$C$31,0)))/$C$33^2,"")</f>
        <v/>
      </c>
    </row>
    <row r="36" customFormat="false" ht="15" hidden="false" customHeight="false" outlineLevel="0" collapsed="false">
      <c r="B36" s="17" t="s">
        <v>56</v>
      </c>
      <c r="C36" s="20" t="str">
        <f aca="false">IFERROR(($C$34-$C$35)/(1-$C$35),"")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2026-10-01T00:32:33Z</dcterms:modified>
  <cp:revision>0</cp:revision>
  <dc:subject/>
  <dc:title>ZOO-01 Comparative body plans: character matrix and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