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<sst xmlns="http://schemas.openxmlformats.org/spreadsheetml/2006/main" count="86" uniqueCount="60">
  <si>
    <t xml:space="preserve">ENV-02  Porosity and density of rocks by water absorption</t>
  </si>
  <si>
    <t xml:space="preserve">Excel version of the card. It does the same calculations as the R script env02_rock_porosity.R.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</si>
  <si>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</si>
  <si>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</si>
  <si>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</si>
  <si>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</si>
  <si>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</si>
  <si>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</si>
  <si>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</si>
  <si>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</si>
  <si>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Absorption (%) = (saturated mass - dry mass) / dry mass x 100. Bulk density = dry mass / bulk volume. Apparent porosity (%) = (saturated mass - dry mass) / (water density x volume) x 100.</t>
  </si>
  <si>
    <t xml:space="preserve">Bulk volume: read the balance with the saturated piece suspended in a beaker of water; the reading in grams divided by the water density gives the volume in mL (use 1 for approximately 1 g/mL, or set the density below).</t>
  </si>
  <si>
    <t xml:space="preserve">Pieces that absorb little water need a larger mass (or a finer balance).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</si>
  <si>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</si>
  <si>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</si>
  <si>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</si>
  <si>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</si>
  <si>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Rock type names</t>
  </si>
  <si>
    <t xml:space="preserve">Type 1</t>
  </si>
  <si>
    <t xml:space="preserve">Type 2</t>
  </si>
  <si>
    <t xml:space="preserve">Type 3</t>
  </si>
  <si>
    <t xml:space="preserve">Type 4</t>
  </si>
  <si>
    <t xml:space="preserve">Type 5</t>
  </si>
  <si>
    <t xml:space="preserve">limestone</t>
  </si>
  <si>
    <t xml:space="preserve">sandstone</t>
  </si>
  <si>
    <t xml:space="preserve">andesite</t>
  </si>
  <si>
    <t xml:space="preserve">basalt</t>
  </si>
  <si>
    <t xml:space="preserve">coral limestone</t>
  </si>
  <si>
    <t xml:space="preserve">2. Pieces</t>
  </si>
  <si>
    <t xml:space="preserve">Rock type</t>
  </si>
  <si>
    <t xml:space="preserve">Dry mass (g)</t>
  </si>
  <si>
    <t xml:space="preserve">Saturated mass (g)</t>
  </si>
  <si>
    <t xml:space="preserve">Bulk volume (mL)</t>
  </si>
  <si>
    <t xml:space="preserve">Absorption (%)</t>
  </si>
  <si>
    <t xml:space="preserve">Bulk density (g/mL)</t>
  </si>
  <si>
    <t xml:space="preserve">Apparent porosity (%)</t>
  </si>
  <si>
    <t xml:space="preserve">Density (text blank)</t>
  </si>
  <si>
    <t xml:space="preserve">Porosity (text blank)</t>
  </si>
  <si>
    <t xml:space="preserve">Results</t>
  </si>
  <si>
    <t xml:space="preserve">Everything on this sheet is calculated. Change only the yellow settings.</t>
  </si>
  <si>
    <t xml:space="preserve">Settings</t>
  </si>
  <si>
    <t xml:space="preserve">Water density (g/mL)</t>
  </si>
  <si>
    <t xml:space="preserve">About 0.997 at 25 C.</t>
  </si>
  <si>
    <t xml:space="preserve">Absorption (%) by rock type</t>
  </si>
  <si>
    <t xml:space="preserve">Name</t>
  </si>
  <si>
    <t xml:space="preserve">n</t>
  </si>
  <si>
    <t xml:space="preserve">Mean</t>
  </si>
  <si>
    <t xml:space="preserve">SD</t>
  </si>
  <si>
    <t xml:space="preserve">SE</t>
  </si>
  <si>
    <t xml:space="preserve">Bulk density (g/mL) by rock type</t>
  </si>
  <si>
    <t xml:space="preserve">Apparent porosity (%) by rock type</t>
  </si>
  <si>
    <t xml:space="preserve">Porosity against bulk density (all pieces)</t>
  </si>
  <si>
    <t xml:space="preserve">Points used</t>
  </si>
  <si>
    <t xml:space="preserve">Slope</t>
  </si>
  <si>
    <t xml:space="preserve">Intercept</t>
  </si>
  <si>
    <t xml:space="preserve">R squared</t>
  </si>
  <si>
    <t xml:space="preserve">Residual standard deviation</t>
  </si>
  <si>
    <t xml:space="preserve">Standard error of the slope</t>
  </si>
  <si>
    <t xml:space="preserve">95% interval for the slope, lower</t>
  </si>
  <si>
    <t xml:space="preserve">95% interval for the slope, upper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</si>
</sst>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;\-0.000;;@"/>
    <numFmt numFmtId="166" formatCode="0.00"/>
    <numFmt numFmtId="167" formatCode="0.0"/>
    <numFmt numFmtId="168" formatCode="0"/>
    <numFmt numFmtId="169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Porosity against bulk density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f4e78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c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'Enter data'!$H$12:$H$51</c:f>
              <c:numCache>
                <c:formatCode>0.00</c:formatCode>
                <c:ptCount val="40"/>
                <c:pt idx="0">
                  <c:v>2.54271844660194</c:v>
                </c:pt>
                <c:pt idx="1">
                  <c:v>2.52371134020619</c:v>
                </c:pt>
                <c:pt idx="2">
                  <c:v>2.51195652173913</c:v>
                </c:pt>
                <c:pt idx="3">
                  <c:v>2.2252427184466</c:v>
                </c:pt>
                <c:pt idx="4">
                  <c:v>2.19902912621359</c:v>
                </c:pt>
                <c:pt idx="5">
                  <c:v>2.1921568627451</c:v>
                </c:pt>
                <c:pt idx="6">
                  <c:v>2.52641509433962</c:v>
                </c:pt>
                <c:pt idx="7">
                  <c:v>2.55660377358491</c:v>
                </c:pt>
                <c:pt idx="8">
                  <c:v>2.51</c:v>
                </c:pt>
                <c:pt idx="9">
                  <c:v>2.934</c:v>
                </c:pt>
                <c:pt idx="10">
                  <c:v>2.826</c:v>
                </c:pt>
                <c:pt idx="11">
                  <c:v>2.88823529411765</c:v>
                </c:pt>
                <c:pt idx="12">
                  <c:v>1.84150943396226</c:v>
                </c:pt>
                <c:pt idx="13">
                  <c:v>1.82903225806452</c:v>
                </c:pt>
                <c:pt idx="14">
                  <c:v>1.806</c:v>
                </c:pt>
              </c:numCache>
            </c:numRef>
          </c:xVal>
          <c:yVal>
            <c:numRef>
              <c:f>'Enter data'!$I$12:$I$51</c:f>
              <c:numCache>
                <c:formatCode>0.0</c:formatCode>
                <c:ptCount val="40"/>
                <c:pt idx="0">
                  <c:v>4.96635537681006</c:v>
                </c:pt>
                <c:pt idx="1">
                  <c:v>4.9633436391649</c:v>
                </c:pt>
                <c:pt idx="2">
                  <c:v>5.01504513540621</c:v>
                </c:pt>
                <c:pt idx="3">
                  <c:v>18.0152106805854</c:v>
                </c:pt>
                <c:pt idx="4">
                  <c:v>17.9178311633931</c:v>
                </c:pt>
                <c:pt idx="5">
                  <c:v>17.9951619564576</c:v>
                </c:pt>
                <c:pt idx="6">
                  <c:v>5.01504513540623</c:v>
                </c:pt>
                <c:pt idx="7">
                  <c:v>5.01504513540623</c:v>
                </c:pt>
                <c:pt idx="8">
                  <c:v>5.01504513540622</c:v>
                </c:pt>
                <c:pt idx="9">
                  <c:v>3.00902708124373</c:v>
                </c:pt>
                <c:pt idx="10">
                  <c:v>3.00902708124373</c:v>
                </c:pt>
                <c:pt idx="11">
                  <c:v>3.04836076858022</c:v>
                </c:pt>
                <c:pt idx="12">
                  <c:v>30.0902708124373</c:v>
                </c:pt>
                <c:pt idx="13">
                  <c:v>29.9824203794178</c:v>
                </c:pt>
                <c:pt idx="14">
                  <c:v>29.8896690070211</c:v>
                </c:pt>
              </c:numCache>
            </c:numRef>
          </c:yVal>
          <c:smooth val="1"/>
        </c:ser>
        <c:axId val="8582504"/>
        <c:axId val="74607916"/>
      </c:scatterChart>
      <c:valAx>
        <c:axId val="858250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Bulk density (g/mL)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607916"/>
        <c:crosses val="autoZero"/>
        <c:crossBetween val="midCat"/>
      </c:valAx>
      <c:valAx>
        <c:axId val="746079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Apparent porosity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8250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42</xdr:row>
      <xdr:rowOff>160920</xdr:rowOff>
    </xdr:from>
    <xdr:to>
      <xdr:col>3</xdr:col>
      <xdr:colOff>536040</xdr:colOff>
      <xdr:row>58</xdr:row>
      <xdr:rowOff>172440</xdr:rowOff>
    </xdr:to>
    <xdr:graphicFrame>
      <xdr:nvGraphicFramePr>
        <xdr:cNvPr id="0" name="Chart 1"/>
        <xdr:cNvGraphicFramePr/>
      </xdr:nvGraphicFramePr>
      <xdr:xfrm>
        <a:off x="211320" y="87631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6" t="s">
        <v>13</v>
      </c>
    </row>
    <row r="19" customFormat="false" ht="15" hidden="false" customHeight="false" outlineLevel="0" collapsed="false">
      <c r="B19" s="2"/>
    </row>
    <row r="20" customFormat="false" ht="22.35" hidden="false" customHeight="false" outlineLevel="0" collapsed="false">
      <c r="B20" s="6" t="s">
        <v>14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15</v>
      </c>
    </row>
    <row r="2" customFormat="false" ht="15" hidden="false" customHeight="false" outlineLevel="0" collapsed="false">
      <c r="A2" s="8" t="s">
        <v>16</v>
      </c>
    </row>
    <row r="4" customFormat="false" ht="15" hidden="false" customHeight="false" outlineLevel="0" collapsed="false">
      <c r="A4" s="9" t="s">
        <v>17</v>
      </c>
    </row>
    <row r="5" customFormat="false" ht="31.5" hidden="false" customHeight="true" outlineLevel="0" collapsed="false">
      <c r="A5" s="10" t="s">
        <v>18</v>
      </c>
      <c r="B5" s="10" t="s">
        <v>19</v>
      </c>
      <c r="C5" s="10" t="s">
        <v>20</v>
      </c>
      <c r="D5" s="10" t="s">
        <v>21</v>
      </c>
      <c r="E5" s="10" t="s">
        <v>22</v>
      </c>
    </row>
    <row r="6" customFormat="false" ht="15" hidden="false" customHeight="false" outlineLevel="0" collapsed="false">
      <c r="A6" s="11" t="s">
        <v>23</v>
      </c>
      <c r="B6" s="11" t="s">
        <v>24</v>
      </c>
      <c r="C6" s="11" t="s">
        <v>25</v>
      </c>
      <c r="D6" s="11" t="s">
        <v>26</v>
      </c>
      <c r="E6" s="11" t="s">
        <v>27</v>
      </c>
    </row>
    <row r="9" customFormat="false" ht="15" hidden="false" customHeight="false" outlineLevel="0" collapsed="false">
      <c r="A9" s="9" t="s">
        <v>28</v>
      </c>
    </row>
    <row r="10" customFormat="false" ht="31.5" hidden="false" customHeight="true" outlineLevel="0" collapsed="false">
      <c r="A10" s="10" t="s">
        <v>29</v>
      </c>
      <c r="B10" s="10" t="s">
        <v>30</v>
      </c>
      <c r="C10" s="10" t="s">
        <v>31</v>
      </c>
      <c r="D10" s="10" t="s">
        <v>32</v>
      </c>
      <c r="E10" s="10" t="s">
        <v>33</v>
      </c>
      <c r="F10" s="10" t="s">
        <v>34</v>
      </c>
      <c r="G10" s="10" t="s">
        <v>35</v>
      </c>
      <c r="H10" s="10" t="s">
        <v>36</v>
      </c>
      <c r="I10" s="10" t="s">
        <v>37</v>
      </c>
    </row>
    <row r="11" customFormat="false" ht="15" hidden="false" customHeight="false" outlineLevel="0" collapsed="false">
      <c r="A11" s="12" t="s">
        <v>23</v>
      </c>
      <c r="B11" s="12" t="n">
        <v>250</v>
      </c>
      <c r="C11" s="12" t="n">
        <v>258.2</v>
      </c>
      <c r="D11" s="12" t="n">
        <v>100</v>
      </c>
    </row>
    <row r="12" customFormat="false" ht="15" hidden="false" customHeight="false" outlineLevel="0" collapsed="false">
      <c r="A12" s="11" t="s">
        <v>23</v>
      </c>
      <c r="B12" s="11" t="n">
        <v>261.9</v>
      </c>
      <c r="C12" s="11" t="n">
        <v>267</v>
      </c>
      <c r="D12" s="11" t="n">
        <v>103</v>
      </c>
      <c r="E12" s="13" t="n">
        <f aca="false">IF(AND(ISNUMBER(B12),ISNUMBER(C12),B12&gt;0),100*(C12-B12)/B12,0)</f>
        <v>1.94730813287515</v>
      </c>
      <c r="F12" s="13" t="n">
        <f aca="false">IF(AND(ISNUMBER(B12),ISNUMBER(D12),D12&gt;0),B12/D12,0)</f>
        <v>2.54271844660194</v>
      </c>
      <c r="G12" s="13" t="n">
        <f aca="false">IF(AND(ISNUMBER(B12),ISNUMBER(C12),ISNUMBER(D12),D12&gt;0),100*(C12-B12)/(Results!$C$5*D12),0)</f>
        <v>4.96635537681006</v>
      </c>
      <c r="H12" s="14" t="n">
        <f aca="false">IF(F12&gt;0,F12,"")</f>
        <v>2.54271844660194</v>
      </c>
      <c r="I12" s="15" t="n">
        <f aca="false">IF(G12&gt;0,G12,"")</f>
        <v>4.96635537681006</v>
      </c>
    </row>
    <row r="13" customFormat="false" ht="15" hidden="false" customHeight="false" outlineLevel="0" collapsed="false">
      <c r="A13" s="11" t="s">
        <v>23</v>
      </c>
      <c r="B13" s="11" t="n">
        <v>244.8</v>
      </c>
      <c r="C13" s="11" t="n">
        <v>249.6</v>
      </c>
      <c r="D13" s="11" t="n">
        <v>97</v>
      </c>
      <c r="E13" s="13" t="n">
        <f aca="false">IF(AND(ISNUMBER(B13),ISNUMBER(C13),B13&gt;0),100*(C13-B13)/B13,0)</f>
        <v>1.96078431372548</v>
      </c>
      <c r="F13" s="13" t="n">
        <f aca="false">IF(AND(ISNUMBER(B13),ISNUMBER(D13),D13&gt;0),B13/D13,0)</f>
        <v>2.52371134020619</v>
      </c>
      <c r="G13" s="13" t="n">
        <f aca="false">IF(AND(ISNUMBER(B13),ISNUMBER(C13),ISNUMBER(D13),D13&gt;0),100*(C13-B13)/(Results!$C$5*D13),0)</f>
        <v>4.9633436391649</v>
      </c>
      <c r="H13" s="14" t="n">
        <f aca="false">IF(F13&gt;0,F13,"")</f>
        <v>2.52371134020619</v>
      </c>
      <c r="I13" s="15" t="n">
        <f aca="false">IF(G13&gt;0,G13,"")</f>
        <v>4.9633436391649</v>
      </c>
    </row>
    <row r="14" customFormat="false" ht="15" hidden="false" customHeight="false" outlineLevel="0" collapsed="false">
      <c r="A14" s="11" t="s">
        <v>23</v>
      </c>
      <c r="B14" s="11" t="n">
        <v>231.1</v>
      </c>
      <c r="C14" s="11" t="n">
        <v>235.7</v>
      </c>
      <c r="D14" s="11" t="n">
        <v>92</v>
      </c>
      <c r="E14" s="13" t="n">
        <f aca="false">IF(AND(ISNUMBER(B14),ISNUMBER(C14),B14&gt;0),100*(C14-B14)/B14,0)</f>
        <v>1.99048031155344</v>
      </c>
      <c r="F14" s="13" t="n">
        <f aca="false">IF(AND(ISNUMBER(B14),ISNUMBER(D14),D14&gt;0),B14/D14,0)</f>
        <v>2.51195652173913</v>
      </c>
      <c r="G14" s="13" t="n">
        <f aca="false">IF(AND(ISNUMBER(B14),ISNUMBER(C14),ISNUMBER(D14),D14&gt;0),100*(C14-B14)/(Results!$C$5*D14),0)</f>
        <v>5.01504513540621</v>
      </c>
      <c r="H14" s="14" t="n">
        <f aca="false">IF(F14&gt;0,F14,"")</f>
        <v>2.51195652173913</v>
      </c>
      <c r="I14" s="15" t="n">
        <f aca="false">IF(G14&gt;0,G14,"")</f>
        <v>5.01504513540621</v>
      </c>
    </row>
    <row r="15" customFormat="false" ht="15" hidden="false" customHeight="false" outlineLevel="0" collapsed="false">
      <c r="A15" s="11" t="s">
        <v>24</v>
      </c>
      <c r="B15" s="11" t="n">
        <v>229.2</v>
      </c>
      <c r="C15" s="11" t="n">
        <v>247.7</v>
      </c>
      <c r="D15" s="11" t="n">
        <v>103</v>
      </c>
      <c r="E15" s="13" t="n">
        <f aca="false">IF(AND(ISNUMBER(B15),ISNUMBER(C15),B15&gt;0),100*(C15-B15)/B15,0)</f>
        <v>8.07155322862129</v>
      </c>
      <c r="F15" s="13" t="n">
        <f aca="false">IF(AND(ISNUMBER(B15),ISNUMBER(D15),D15&gt;0),B15/D15,0)</f>
        <v>2.2252427184466</v>
      </c>
      <c r="G15" s="13" t="n">
        <f aca="false">IF(AND(ISNUMBER(B15),ISNUMBER(C15),ISNUMBER(D15),D15&gt;0),100*(C15-B15)/(Results!$C$5*D15),0)</f>
        <v>18.0152106805854</v>
      </c>
      <c r="H15" s="14" t="n">
        <f aca="false">IF(F15&gt;0,F15,"")</f>
        <v>2.2252427184466</v>
      </c>
      <c r="I15" s="15" t="n">
        <f aca="false">IF(G15&gt;0,G15,"")</f>
        <v>18.0152106805854</v>
      </c>
    </row>
    <row r="16" customFormat="false" ht="15" hidden="false" customHeight="false" outlineLevel="0" collapsed="false">
      <c r="A16" s="11" t="s">
        <v>24</v>
      </c>
      <c r="B16" s="11" t="n">
        <v>226.5</v>
      </c>
      <c r="C16" s="11" t="n">
        <v>244.9</v>
      </c>
      <c r="D16" s="11" t="n">
        <v>103</v>
      </c>
      <c r="E16" s="13" t="n">
        <f aca="false">IF(AND(ISNUMBER(B16),ISNUMBER(C16),B16&gt;0),100*(C16-B16)/B16,0)</f>
        <v>8.12362030905078</v>
      </c>
      <c r="F16" s="13" t="n">
        <f aca="false">IF(AND(ISNUMBER(B16),ISNUMBER(D16),D16&gt;0),B16/D16,0)</f>
        <v>2.19902912621359</v>
      </c>
      <c r="G16" s="13" t="n">
        <f aca="false">IF(AND(ISNUMBER(B16),ISNUMBER(C16),ISNUMBER(D16),D16&gt;0),100*(C16-B16)/(Results!$C$5*D16),0)</f>
        <v>17.9178311633931</v>
      </c>
      <c r="H16" s="14" t="n">
        <f aca="false">IF(F16&gt;0,F16,"")</f>
        <v>2.19902912621359</v>
      </c>
      <c r="I16" s="15" t="n">
        <f aca="false">IF(G16&gt;0,G16,"")</f>
        <v>17.9178311633931</v>
      </c>
    </row>
    <row r="17" customFormat="false" ht="15" hidden="false" customHeight="false" outlineLevel="0" collapsed="false">
      <c r="A17" s="11" t="s">
        <v>24</v>
      </c>
      <c r="B17" s="11" t="n">
        <v>223.6</v>
      </c>
      <c r="C17" s="11" t="n">
        <v>241.9</v>
      </c>
      <c r="D17" s="11" t="n">
        <v>102</v>
      </c>
      <c r="E17" s="13" t="n">
        <f aca="false">IF(AND(ISNUMBER(B17),ISNUMBER(C17),B17&gt;0),100*(C17-B17)/B17,0)</f>
        <v>8.18425760286226</v>
      </c>
      <c r="F17" s="13" t="n">
        <f aca="false">IF(AND(ISNUMBER(B17),ISNUMBER(D17),D17&gt;0),B17/D17,0)</f>
        <v>2.1921568627451</v>
      </c>
      <c r="G17" s="13" t="n">
        <f aca="false">IF(AND(ISNUMBER(B17),ISNUMBER(C17),ISNUMBER(D17),D17&gt;0),100*(C17-B17)/(Results!$C$5*D17),0)</f>
        <v>17.9951619564576</v>
      </c>
      <c r="H17" s="14" t="n">
        <f aca="false">IF(F17&gt;0,F17,"")</f>
        <v>2.1921568627451</v>
      </c>
      <c r="I17" s="15" t="n">
        <f aca="false">IF(G17&gt;0,G17,"")</f>
        <v>17.9951619564576</v>
      </c>
    </row>
    <row r="18" customFormat="false" ht="15" hidden="false" customHeight="false" outlineLevel="0" collapsed="false">
      <c r="A18" s="11" t="s">
        <v>25</v>
      </c>
      <c r="B18" s="11" t="n">
        <v>267.8</v>
      </c>
      <c r="C18" s="11" t="n">
        <v>273.1</v>
      </c>
      <c r="D18" s="11" t="n">
        <v>106</v>
      </c>
      <c r="E18" s="13" t="n">
        <f aca="false">IF(AND(ISNUMBER(B18),ISNUMBER(C18),B18&gt;0),100*(C18-B18)/B18,0)</f>
        <v>1.97908887229276</v>
      </c>
      <c r="F18" s="13" t="n">
        <f aca="false">IF(AND(ISNUMBER(B18),ISNUMBER(D18),D18&gt;0),B18/D18,0)</f>
        <v>2.52641509433962</v>
      </c>
      <c r="G18" s="13" t="n">
        <f aca="false">IF(AND(ISNUMBER(B18),ISNUMBER(C18),ISNUMBER(D18),D18&gt;0),100*(C18-B18)/(Results!$C$5*D18),0)</f>
        <v>5.01504513540623</v>
      </c>
      <c r="H18" s="14" t="n">
        <f aca="false">IF(F18&gt;0,F18,"")</f>
        <v>2.52641509433962</v>
      </c>
      <c r="I18" s="15" t="n">
        <f aca="false">IF(G18&gt;0,G18,"")</f>
        <v>5.01504513540623</v>
      </c>
    </row>
    <row r="19" customFormat="false" ht="15" hidden="false" customHeight="false" outlineLevel="0" collapsed="false">
      <c r="A19" s="11" t="s">
        <v>25</v>
      </c>
      <c r="B19" s="11" t="n">
        <v>271</v>
      </c>
      <c r="C19" s="11" t="n">
        <v>276.3</v>
      </c>
      <c r="D19" s="11" t="n">
        <v>106</v>
      </c>
      <c r="E19" s="13" t="n">
        <f aca="false">IF(AND(ISNUMBER(B19),ISNUMBER(C19),B19&gt;0),100*(C19-B19)/B19,0)</f>
        <v>1.95571955719558</v>
      </c>
      <c r="F19" s="13" t="n">
        <f aca="false">IF(AND(ISNUMBER(B19),ISNUMBER(D19),D19&gt;0),B19/D19,0)</f>
        <v>2.55660377358491</v>
      </c>
      <c r="G19" s="13" t="n">
        <f aca="false">IF(AND(ISNUMBER(B19),ISNUMBER(C19),ISNUMBER(D19),D19&gt;0),100*(C19-B19)/(Results!$C$5*D19),0)</f>
        <v>5.01504513540623</v>
      </c>
      <c r="H19" s="14" t="n">
        <f aca="false">IF(F19&gt;0,F19,"")</f>
        <v>2.55660377358491</v>
      </c>
      <c r="I19" s="15" t="n">
        <f aca="false">IF(G19&gt;0,G19,"")</f>
        <v>5.01504513540623</v>
      </c>
    </row>
    <row r="20" customFormat="false" ht="15" hidden="false" customHeight="false" outlineLevel="0" collapsed="false">
      <c r="A20" s="11" t="s">
        <v>25</v>
      </c>
      <c r="B20" s="11" t="n">
        <v>251</v>
      </c>
      <c r="C20" s="11" t="n">
        <v>256</v>
      </c>
      <c r="D20" s="11" t="n">
        <v>100</v>
      </c>
      <c r="E20" s="13" t="n">
        <f aca="false">IF(AND(ISNUMBER(B20),ISNUMBER(C20),B20&gt;0),100*(C20-B20)/B20,0)</f>
        <v>1.99203187250996</v>
      </c>
      <c r="F20" s="13" t="n">
        <f aca="false">IF(AND(ISNUMBER(B20),ISNUMBER(D20),D20&gt;0),B20/D20,0)</f>
        <v>2.51</v>
      </c>
      <c r="G20" s="13" t="n">
        <f aca="false">IF(AND(ISNUMBER(B20),ISNUMBER(C20),ISNUMBER(D20),D20&gt;0),100*(C20-B20)/(Results!$C$5*D20),0)</f>
        <v>5.01504513540622</v>
      </c>
      <c r="H20" s="14" t="n">
        <f aca="false">IF(F20&gt;0,F20,"")</f>
        <v>2.51</v>
      </c>
      <c r="I20" s="15" t="n">
        <f aca="false">IF(G20&gt;0,G20,"")</f>
        <v>5.01504513540622</v>
      </c>
    </row>
    <row r="21" customFormat="false" ht="15" hidden="false" customHeight="false" outlineLevel="0" collapsed="false">
      <c r="A21" s="11" t="s">
        <v>26</v>
      </c>
      <c r="B21" s="11" t="n">
        <v>293.4</v>
      </c>
      <c r="C21" s="11" t="n">
        <v>296.4</v>
      </c>
      <c r="D21" s="11" t="n">
        <v>100</v>
      </c>
      <c r="E21" s="13" t="n">
        <f aca="false">IF(AND(ISNUMBER(B21),ISNUMBER(C21),B21&gt;0),100*(C21-B21)/B21,0)</f>
        <v>1.02249488752556</v>
      </c>
      <c r="F21" s="13" t="n">
        <f aca="false">IF(AND(ISNUMBER(B21),ISNUMBER(D21),D21&gt;0),B21/D21,0)</f>
        <v>2.934</v>
      </c>
      <c r="G21" s="13" t="n">
        <f aca="false">IF(AND(ISNUMBER(B21),ISNUMBER(C21),ISNUMBER(D21),D21&gt;0),100*(C21-B21)/(Results!$C$5*D21),0)</f>
        <v>3.00902708124373</v>
      </c>
      <c r="H21" s="14" t="n">
        <f aca="false">IF(F21&gt;0,F21,"")</f>
        <v>2.934</v>
      </c>
      <c r="I21" s="15" t="n">
        <f aca="false">IF(G21&gt;0,G21,"")</f>
        <v>3.00902708124373</v>
      </c>
    </row>
    <row r="22" customFormat="false" ht="15" hidden="false" customHeight="false" outlineLevel="0" collapsed="false">
      <c r="A22" s="11" t="s">
        <v>26</v>
      </c>
      <c r="B22" s="11" t="n">
        <v>282.6</v>
      </c>
      <c r="C22" s="11" t="n">
        <v>285.6</v>
      </c>
      <c r="D22" s="11" t="n">
        <v>100</v>
      </c>
      <c r="E22" s="13" t="n">
        <f aca="false">IF(AND(ISNUMBER(B22),ISNUMBER(C22),B22&gt;0),100*(C22-B22)/B22,0)</f>
        <v>1.06157112526539</v>
      </c>
      <c r="F22" s="13" t="n">
        <f aca="false">IF(AND(ISNUMBER(B22),ISNUMBER(D22),D22&gt;0),B22/D22,0)</f>
        <v>2.826</v>
      </c>
      <c r="G22" s="13" t="n">
        <f aca="false">IF(AND(ISNUMBER(B22),ISNUMBER(C22),ISNUMBER(D22),D22&gt;0),100*(C22-B22)/(Results!$C$5*D22),0)</f>
        <v>3.00902708124373</v>
      </c>
      <c r="H22" s="14" t="n">
        <f aca="false">IF(F22&gt;0,F22,"")</f>
        <v>2.826</v>
      </c>
      <c r="I22" s="15" t="n">
        <f aca="false">IF(G22&gt;0,G22,"")</f>
        <v>3.00902708124373</v>
      </c>
    </row>
    <row r="23" customFormat="false" ht="15" hidden="false" customHeight="false" outlineLevel="0" collapsed="false">
      <c r="A23" s="11" t="s">
        <v>26</v>
      </c>
      <c r="B23" s="11" t="n">
        <v>294.6</v>
      </c>
      <c r="C23" s="11" t="n">
        <v>297.7</v>
      </c>
      <c r="D23" s="11" t="n">
        <v>102</v>
      </c>
      <c r="E23" s="13" t="n">
        <f aca="false">IF(AND(ISNUMBER(B23),ISNUMBER(C23),B23&gt;0),100*(C23-B23)/B23,0)</f>
        <v>1.05227427019687</v>
      </c>
      <c r="F23" s="13" t="n">
        <f aca="false">IF(AND(ISNUMBER(B23),ISNUMBER(D23),D23&gt;0),B23/D23,0)</f>
        <v>2.88823529411765</v>
      </c>
      <c r="G23" s="13" t="n">
        <f aca="false">IF(AND(ISNUMBER(B23),ISNUMBER(C23),ISNUMBER(D23),D23&gt;0),100*(C23-B23)/(Results!$C$5*D23),0)</f>
        <v>3.04836076858022</v>
      </c>
      <c r="H23" s="14" t="n">
        <f aca="false">IF(F23&gt;0,F23,"")</f>
        <v>2.88823529411765</v>
      </c>
      <c r="I23" s="15" t="n">
        <f aca="false">IF(G23&gt;0,G23,"")</f>
        <v>3.04836076858022</v>
      </c>
    </row>
    <row r="24" customFormat="false" ht="15" hidden="false" customHeight="false" outlineLevel="0" collapsed="false">
      <c r="A24" s="11" t="s">
        <v>27</v>
      </c>
      <c r="B24" s="11" t="n">
        <v>195.2</v>
      </c>
      <c r="C24" s="11" t="n">
        <v>227</v>
      </c>
      <c r="D24" s="11" t="n">
        <v>106</v>
      </c>
      <c r="E24" s="13" t="n">
        <f aca="false">IF(AND(ISNUMBER(B24),ISNUMBER(C24),B24&gt;0),100*(C24-B24)/B24,0)</f>
        <v>16.2909836065574</v>
      </c>
      <c r="F24" s="13" t="n">
        <f aca="false">IF(AND(ISNUMBER(B24),ISNUMBER(D24),D24&gt;0),B24/D24,0)</f>
        <v>1.84150943396226</v>
      </c>
      <c r="G24" s="13" t="n">
        <f aca="false">IF(AND(ISNUMBER(B24),ISNUMBER(C24),ISNUMBER(D24),D24&gt;0),100*(C24-B24)/(Results!$C$5*D24),0)</f>
        <v>30.0902708124373</v>
      </c>
      <c r="H24" s="14" t="n">
        <f aca="false">IF(F24&gt;0,F24,"")</f>
        <v>1.84150943396226</v>
      </c>
      <c r="I24" s="15" t="n">
        <f aca="false">IF(G24&gt;0,G24,"")</f>
        <v>30.0902708124373</v>
      </c>
    </row>
    <row r="25" customFormat="false" ht="15" hidden="false" customHeight="false" outlineLevel="0" collapsed="false">
      <c r="A25" s="11" t="s">
        <v>27</v>
      </c>
      <c r="B25" s="11" t="n">
        <v>170.1</v>
      </c>
      <c r="C25" s="11" t="n">
        <v>197.9</v>
      </c>
      <c r="D25" s="11" t="n">
        <v>93</v>
      </c>
      <c r="E25" s="13" t="n">
        <f aca="false">IF(AND(ISNUMBER(B25),ISNUMBER(C25),B25&gt;0),100*(C25-B25)/B25,0)</f>
        <v>16.3433274544386</v>
      </c>
      <c r="F25" s="13" t="n">
        <f aca="false">IF(AND(ISNUMBER(B25),ISNUMBER(D25),D25&gt;0),B25/D25,0)</f>
        <v>1.82903225806452</v>
      </c>
      <c r="G25" s="13" t="n">
        <f aca="false">IF(AND(ISNUMBER(B25),ISNUMBER(C25),ISNUMBER(D25),D25&gt;0),100*(C25-B25)/(Results!$C$5*D25),0)</f>
        <v>29.9824203794178</v>
      </c>
      <c r="H25" s="14" t="n">
        <f aca="false">IF(F25&gt;0,F25,"")</f>
        <v>1.82903225806452</v>
      </c>
      <c r="I25" s="15" t="n">
        <f aca="false">IF(G25&gt;0,G25,"")</f>
        <v>29.9824203794178</v>
      </c>
    </row>
    <row r="26" customFormat="false" ht="15" hidden="false" customHeight="false" outlineLevel="0" collapsed="false">
      <c r="A26" s="11" t="s">
        <v>27</v>
      </c>
      <c r="B26" s="11" t="n">
        <v>180.6</v>
      </c>
      <c r="C26" s="11" t="n">
        <v>210.4</v>
      </c>
      <c r="D26" s="11" t="n">
        <v>100</v>
      </c>
      <c r="E26" s="13" t="n">
        <f aca="false">IF(AND(ISNUMBER(B26),ISNUMBER(C26),B26&gt;0),100*(C26-B26)/B26,0)</f>
        <v>16.500553709856</v>
      </c>
      <c r="F26" s="13" t="n">
        <f aca="false">IF(AND(ISNUMBER(B26),ISNUMBER(D26),D26&gt;0),B26/D26,0)</f>
        <v>1.806</v>
      </c>
      <c r="G26" s="13" t="n">
        <f aca="false">IF(AND(ISNUMBER(B26),ISNUMBER(C26),ISNUMBER(D26),D26&gt;0),100*(C26-B26)/(Results!$C$5*D26),0)</f>
        <v>29.8896690070211</v>
      </c>
      <c r="H26" s="14" t="n">
        <f aca="false">IF(F26&gt;0,F26,"")</f>
        <v>1.806</v>
      </c>
      <c r="I26" s="15" t="n">
        <f aca="false">IF(G26&gt;0,G26,"")</f>
        <v>29.8896690070211</v>
      </c>
    </row>
    <row r="27" customFormat="false" ht="15" hidden="false" customHeight="false" outlineLevel="0" collapsed="false">
      <c r="A27" s="11"/>
      <c r="B27" s="11"/>
      <c r="C27" s="11"/>
      <c r="D27" s="11"/>
      <c r="E27" s="13" t="n">
        <f aca="false">IF(AND(ISNUMBER(B27),ISNUMBER(C27),B27&gt;0),100*(C27-B27)/B27,0)</f>
        <v>0</v>
      </c>
      <c r="F27" s="13" t="n">
        <f aca="false">IF(AND(ISNUMBER(B27),ISNUMBER(D27),D27&gt;0),B27/D27,0)</f>
        <v>0</v>
      </c>
      <c r="G27" s="13" t="n">
        <f aca="false">IF(AND(ISNUMBER(B27),ISNUMBER(C27),ISNUMBER(D27),D27&gt;0),100*(C27-B27)/(Results!$C$5*D27),0)</f>
        <v>0</v>
      </c>
      <c r="H27" s="14" t="str">
        <f aca="false">IF(F27&gt;0,F27,"")</f>
        <v/>
      </c>
      <c r="I27" s="15" t="str">
        <f aca="false">IF(G27&gt;0,G27,"")</f>
        <v/>
      </c>
    </row>
    <row r="28" customFormat="false" ht="15" hidden="false" customHeight="false" outlineLevel="0" collapsed="false">
      <c r="A28" s="11"/>
      <c r="B28" s="11"/>
      <c r="C28" s="11"/>
      <c r="D28" s="11"/>
      <c r="E28" s="13" t="n">
        <f aca="false">IF(AND(ISNUMBER(B28),ISNUMBER(C28),B28&gt;0),100*(C28-B28)/B28,0)</f>
        <v>0</v>
      </c>
      <c r="F28" s="13" t="n">
        <f aca="false">IF(AND(ISNUMBER(B28),ISNUMBER(D28),D28&gt;0),B28/D28,0)</f>
        <v>0</v>
      </c>
      <c r="G28" s="13" t="n">
        <f aca="false">IF(AND(ISNUMBER(B28),ISNUMBER(C28),ISNUMBER(D28),D28&gt;0),100*(C28-B28)/(Results!$C$5*D28),0)</f>
        <v>0</v>
      </c>
      <c r="H28" s="14" t="str">
        <f aca="false">IF(F28&gt;0,F28,"")</f>
        <v/>
      </c>
      <c r="I28" s="15" t="str">
        <f aca="false">IF(G28&gt;0,G28,"")</f>
        <v/>
      </c>
    </row>
    <row r="29" customFormat="false" ht="15" hidden="false" customHeight="false" outlineLevel="0" collapsed="false">
      <c r="A29" s="11"/>
      <c r="B29" s="11"/>
      <c r="C29" s="11"/>
      <c r="D29" s="11"/>
      <c r="E29" s="13" t="n">
        <f aca="false">IF(AND(ISNUMBER(B29),ISNUMBER(C29),B29&gt;0),100*(C29-B29)/B29,0)</f>
        <v>0</v>
      </c>
      <c r="F29" s="13" t="n">
        <f aca="false">IF(AND(ISNUMBER(B29),ISNUMBER(D29),D29&gt;0),B29/D29,0)</f>
        <v>0</v>
      </c>
      <c r="G29" s="13" t="n">
        <f aca="false">IF(AND(ISNUMBER(B29),ISNUMBER(C29),ISNUMBER(D29),D29&gt;0),100*(C29-B29)/(Results!$C$5*D29),0)</f>
        <v>0</v>
      </c>
      <c r="H29" s="14" t="str">
        <f aca="false">IF(F29&gt;0,F29,"")</f>
        <v/>
      </c>
      <c r="I29" s="15" t="str">
        <f aca="false">IF(G29&gt;0,G29,"")</f>
        <v/>
      </c>
    </row>
    <row r="30" customFormat="false" ht="15" hidden="false" customHeight="false" outlineLevel="0" collapsed="false">
      <c r="A30" s="11"/>
      <c r="B30" s="11"/>
      <c r="C30" s="11"/>
      <c r="D30" s="11"/>
      <c r="E30" s="13" t="n">
        <f aca="false">IF(AND(ISNUMBER(B30),ISNUMBER(C30),B30&gt;0),100*(C30-B30)/B30,0)</f>
        <v>0</v>
      </c>
      <c r="F30" s="13" t="n">
        <f aca="false">IF(AND(ISNUMBER(B30),ISNUMBER(D30),D30&gt;0),B30/D30,0)</f>
        <v>0</v>
      </c>
      <c r="G30" s="13" t="n">
        <f aca="false">IF(AND(ISNUMBER(B30),ISNUMBER(C30),ISNUMBER(D30),D30&gt;0),100*(C30-B30)/(Results!$C$5*D30),0)</f>
        <v>0</v>
      </c>
      <c r="H30" s="14" t="str">
        <f aca="false">IF(F30&gt;0,F30,"")</f>
        <v/>
      </c>
      <c r="I30" s="15" t="str">
        <f aca="false">IF(G30&gt;0,G30,"")</f>
        <v/>
      </c>
    </row>
    <row r="31" customFormat="false" ht="15" hidden="false" customHeight="false" outlineLevel="0" collapsed="false">
      <c r="A31" s="11"/>
      <c r="B31" s="11"/>
      <c r="C31" s="11"/>
      <c r="D31" s="11"/>
      <c r="E31" s="13" t="n">
        <f aca="false">IF(AND(ISNUMBER(B31),ISNUMBER(C31),B31&gt;0),100*(C31-B31)/B31,0)</f>
        <v>0</v>
      </c>
      <c r="F31" s="13" t="n">
        <f aca="false">IF(AND(ISNUMBER(B31),ISNUMBER(D31),D31&gt;0),B31/D31,0)</f>
        <v>0</v>
      </c>
      <c r="G31" s="13" t="n">
        <f aca="false">IF(AND(ISNUMBER(B31),ISNUMBER(C31),ISNUMBER(D31),D31&gt;0),100*(C31-B31)/(Results!$C$5*D31),0)</f>
        <v>0</v>
      </c>
      <c r="H31" s="14" t="str">
        <f aca="false">IF(F31&gt;0,F31,"")</f>
        <v/>
      </c>
      <c r="I31" s="15" t="str">
        <f aca="false">IF(G31&gt;0,G31,"")</f>
        <v/>
      </c>
    </row>
    <row r="32" customFormat="false" ht="15" hidden="false" customHeight="false" outlineLevel="0" collapsed="false">
      <c r="A32" s="11"/>
      <c r="B32" s="11"/>
      <c r="C32" s="11"/>
      <c r="D32" s="11"/>
      <c r="E32" s="13" t="n">
        <f aca="false">IF(AND(ISNUMBER(B32),ISNUMBER(C32),B32&gt;0),100*(C32-B32)/B32,0)</f>
        <v>0</v>
      </c>
      <c r="F32" s="13" t="n">
        <f aca="false">IF(AND(ISNUMBER(B32),ISNUMBER(D32),D32&gt;0),B32/D32,0)</f>
        <v>0</v>
      </c>
      <c r="G32" s="13" t="n">
        <f aca="false">IF(AND(ISNUMBER(B32),ISNUMBER(C32),ISNUMBER(D32),D32&gt;0),100*(C32-B32)/(Results!$C$5*D32),0)</f>
        <v>0</v>
      </c>
      <c r="H32" s="14" t="str">
        <f aca="false">IF(F32&gt;0,F32,"")</f>
        <v/>
      </c>
      <c r="I32" s="15" t="str">
        <f aca="false">IF(G32&gt;0,G32,"")</f>
        <v/>
      </c>
    </row>
    <row r="33" customFormat="false" ht="15" hidden="false" customHeight="false" outlineLevel="0" collapsed="false">
      <c r="A33" s="11"/>
      <c r="B33" s="11"/>
      <c r="C33" s="11"/>
      <c r="D33" s="11"/>
      <c r="E33" s="13" t="n">
        <f aca="false">IF(AND(ISNUMBER(B33),ISNUMBER(C33),B33&gt;0),100*(C33-B33)/B33,0)</f>
        <v>0</v>
      </c>
      <c r="F33" s="13" t="n">
        <f aca="false">IF(AND(ISNUMBER(B33),ISNUMBER(D33),D33&gt;0),B33/D33,0)</f>
        <v>0</v>
      </c>
      <c r="G33" s="13" t="n">
        <f aca="false">IF(AND(ISNUMBER(B33),ISNUMBER(C33),ISNUMBER(D33),D33&gt;0),100*(C33-B33)/(Results!$C$5*D33),0)</f>
        <v>0</v>
      </c>
      <c r="H33" s="14" t="str">
        <f aca="false">IF(F33&gt;0,F33,"")</f>
        <v/>
      </c>
      <c r="I33" s="15" t="str">
        <f aca="false">IF(G33&gt;0,G33,"")</f>
        <v/>
      </c>
    </row>
    <row r="34" customFormat="false" ht="15" hidden="false" customHeight="false" outlineLevel="0" collapsed="false">
      <c r="A34" s="11"/>
      <c r="B34" s="11"/>
      <c r="C34" s="11"/>
      <c r="D34" s="11"/>
      <c r="E34" s="13" t="n">
        <f aca="false">IF(AND(ISNUMBER(B34),ISNUMBER(C34),B34&gt;0),100*(C34-B34)/B34,0)</f>
        <v>0</v>
      </c>
      <c r="F34" s="13" t="n">
        <f aca="false">IF(AND(ISNUMBER(B34),ISNUMBER(D34),D34&gt;0),B34/D34,0)</f>
        <v>0</v>
      </c>
      <c r="G34" s="13" t="n">
        <f aca="false">IF(AND(ISNUMBER(B34),ISNUMBER(C34),ISNUMBER(D34),D34&gt;0),100*(C34-B34)/(Results!$C$5*D34),0)</f>
        <v>0</v>
      </c>
      <c r="H34" s="14" t="str">
        <f aca="false">IF(F34&gt;0,F34,"")</f>
        <v/>
      </c>
      <c r="I34" s="15" t="str">
        <f aca="false">IF(G34&gt;0,G34,"")</f>
        <v/>
      </c>
    </row>
    <row r="35" customFormat="false" ht="15" hidden="false" customHeight="false" outlineLevel="0" collapsed="false">
      <c r="A35" s="11"/>
      <c r="B35" s="11"/>
      <c r="C35" s="11"/>
      <c r="D35" s="11"/>
      <c r="E35" s="13" t="n">
        <f aca="false">IF(AND(ISNUMBER(B35),ISNUMBER(C35),B35&gt;0),100*(C35-B35)/B35,0)</f>
        <v>0</v>
      </c>
      <c r="F35" s="13" t="n">
        <f aca="false">IF(AND(ISNUMBER(B35),ISNUMBER(D35),D35&gt;0),B35/D35,0)</f>
        <v>0</v>
      </c>
      <c r="G35" s="13" t="n">
        <f aca="false">IF(AND(ISNUMBER(B35),ISNUMBER(C35),ISNUMBER(D35),D35&gt;0),100*(C35-B35)/(Results!$C$5*D35),0)</f>
        <v>0</v>
      </c>
      <c r="H35" s="14" t="str">
        <f aca="false">IF(F35&gt;0,F35,"")</f>
        <v/>
      </c>
      <c r="I35" s="15" t="str">
        <f aca="false">IF(G35&gt;0,G35,"")</f>
        <v/>
      </c>
    </row>
    <row r="36" customFormat="false" ht="15" hidden="false" customHeight="false" outlineLevel="0" collapsed="false">
      <c r="A36" s="11"/>
      <c r="B36" s="11"/>
      <c r="C36" s="11"/>
      <c r="D36" s="11"/>
      <c r="E36" s="13" t="n">
        <f aca="false">IF(AND(ISNUMBER(B36),ISNUMBER(C36),B36&gt;0),100*(C36-B36)/B36,0)</f>
        <v>0</v>
      </c>
      <c r="F36" s="13" t="n">
        <f aca="false">IF(AND(ISNUMBER(B36),ISNUMBER(D36),D36&gt;0),B36/D36,0)</f>
        <v>0</v>
      </c>
      <c r="G36" s="13" t="n">
        <f aca="false">IF(AND(ISNUMBER(B36),ISNUMBER(C36),ISNUMBER(D36),D36&gt;0),100*(C36-B36)/(Results!$C$5*D36),0)</f>
        <v>0</v>
      </c>
      <c r="H36" s="14" t="str">
        <f aca="false">IF(F36&gt;0,F36,"")</f>
        <v/>
      </c>
      <c r="I36" s="15" t="str">
        <f aca="false">IF(G36&gt;0,G36,"")</f>
        <v/>
      </c>
    </row>
    <row r="37" customFormat="false" ht="15" hidden="false" customHeight="false" outlineLevel="0" collapsed="false">
      <c r="A37" s="11"/>
      <c r="B37" s="11"/>
      <c r="C37" s="11"/>
      <c r="D37" s="11"/>
      <c r="E37" s="13" t="n">
        <f aca="false">IF(AND(ISNUMBER(B37),ISNUMBER(C37),B37&gt;0),100*(C37-B37)/B37,0)</f>
        <v>0</v>
      </c>
      <c r="F37" s="13" t="n">
        <f aca="false">IF(AND(ISNUMBER(B37),ISNUMBER(D37),D37&gt;0),B37/D37,0)</f>
        <v>0</v>
      </c>
      <c r="G37" s="13" t="n">
        <f aca="false">IF(AND(ISNUMBER(B37),ISNUMBER(C37),ISNUMBER(D37),D37&gt;0),100*(C37-B37)/(Results!$C$5*D37),0)</f>
        <v>0</v>
      </c>
      <c r="H37" s="14" t="str">
        <f aca="false">IF(F37&gt;0,F37,"")</f>
        <v/>
      </c>
      <c r="I37" s="15" t="str">
        <f aca="false">IF(G37&gt;0,G37,"")</f>
        <v/>
      </c>
    </row>
    <row r="38" customFormat="false" ht="15" hidden="false" customHeight="false" outlineLevel="0" collapsed="false">
      <c r="A38" s="11"/>
      <c r="B38" s="11"/>
      <c r="C38" s="11"/>
      <c r="D38" s="11"/>
      <c r="E38" s="13" t="n">
        <f aca="false">IF(AND(ISNUMBER(B38),ISNUMBER(C38),B38&gt;0),100*(C38-B38)/B38,0)</f>
        <v>0</v>
      </c>
      <c r="F38" s="13" t="n">
        <f aca="false">IF(AND(ISNUMBER(B38),ISNUMBER(D38),D38&gt;0),B38/D38,0)</f>
        <v>0</v>
      </c>
      <c r="G38" s="13" t="n">
        <f aca="false">IF(AND(ISNUMBER(B38),ISNUMBER(C38),ISNUMBER(D38),D38&gt;0),100*(C38-B38)/(Results!$C$5*D38),0)</f>
        <v>0</v>
      </c>
      <c r="H38" s="14" t="str">
        <f aca="false">IF(F38&gt;0,F38,"")</f>
        <v/>
      </c>
      <c r="I38" s="15" t="str">
        <f aca="false">IF(G38&gt;0,G38,"")</f>
        <v/>
      </c>
    </row>
    <row r="39" customFormat="false" ht="15" hidden="false" customHeight="false" outlineLevel="0" collapsed="false">
      <c r="A39" s="11"/>
      <c r="B39" s="11"/>
      <c r="C39" s="11"/>
      <c r="D39" s="11"/>
      <c r="E39" s="13" t="n">
        <f aca="false">IF(AND(ISNUMBER(B39),ISNUMBER(C39),B39&gt;0),100*(C39-B39)/B39,0)</f>
        <v>0</v>
      </c>
      <c r="F39" s="13" t="n">
        <f aca="false">IF(AND(ISNUMBER(B39),ISNUMBER(D39),D39&gt;0),B39/D39,0)</f>
        <v>0</v>
      </c>
      <c r="G39" s="13" t="n">
        <f aca="false">IF(AND(ISNUMBER(B39),ISNUMBER(C39),ISNUMBER(D39),D39&gt;0),100*(C39-B39)/(Results!$C$5*D39),0)</f>
        <v>0</v>
      </c>
      <c r="H39" s="14" t="str">
        <f aca="false">IF(F39&gt;0,F39,"")</f>
        <v/>
      </c>
      <c r="I39" s="15" t="str">
        <f aca="false">IF(G39&gt;0,G39,"")</f>
        <v/>
      </c>
    </row>
    <row r="40" customFormat="false" ht="15" hidden="false" customHeight="false" outlineLevel="0" collapsed="false">
      <c r="A40" s="11"/>
      <c r="B40" s="11"/>
      <c r="C40" s="11"/>
      <c r="D40" s="11"/>
      <c r="E40" s="13" t="n">
        <f aca="false">IF(AND(ISNUMBER(B40),ISNUMBER(C40),B40&gt;0),100*(C40-B40)/B40,0)</f>
        <v>0</v>
      </c>
      <c r="F40" s="13" t="n">
        <f aca="false">IF(AND(ISNUMBER(B40),ISNUMBER(D40),D40&gt;0),B40/D40,0)</f>
        <v>0</v>
      </c>
      <c r="G40" s="13" t="n">
        <f aca="false">IF(AND(ISNUMBER(B40),ISNUMBER(C40),ISNUMBER(D40),D40&gt;0),100*(C40-B40)/(Results!$C$5*D40),0)</f>
        <v>0</v>
      </c>
      <c r="H40" s="14" t="str">
        <f aca="false">IF(F40&gt;0,F40,"")</f>
        <v/>
      </c>
      <c r="I40" s="15" t="str">
        <f aca="false">IF(G40&gt;0,G40,"")</f>
        <v/>
      </c>
    </row>
    <row r="41" customFormat="false" ht="15" hidden="false" customHeight="false" outlineLevel="0" collapsed="false">
      <c r="A41" s="11"/>
      <c r="B41" s="11"/>
      <c r="C41" s="11"/>
      <c r="D41" s="11"/>
      <c r="E41" s="13" t="n">
        <f aca="false">IF(AND(ISNUMBER(B41),ISNUMBER(C41),B41&gt;0),100*(C41-B41)/B41,0)</f>
        <v>0</v>
      </c>
      <c r="F41" s="13" t="n">
        <f aca="false">IF(AND(ISNUMBER(B41),ISNUMBER(D41),D41&gt;0),B41/D41,0)</f>
        <v>0</v>
      </c>
      <c r="G41" s="13" t="n">
        <f aca="false">IF(AND(ISNUMBER(B41),ISNUMBER(C41),ISNUMBER(D41),D41&gt;0),100*(C41-B41)/(Results!$C$5*D41),0)</f>
        <v>0</v>
      </c>
      <c r="H41" s="14" t="str">
        <f aca="false">IF(F41&gt;0,F41,"")</f>
        <v/>
      </c>
      <c r="I41" s="15" t="str">
        <f aca="false">IF(G41&gt;0,G41,"")</f>
        <v/>
      </c>
    </row>
    <row r="42" customFormat="false" ht="15" hidden="false" customHeight="false" outlineLevel="0" collapsed="false">
      <c r="A42" s="11"/>
      <c r="B42" s="11"/>
      <c r="C42" s="11"/>
      <c r="D42" s="11"/>
      <c r="E42" s="13" t="n">
        <f aca="false">IF(AND(ISNUMBER(B42),ISNUMBER(C42),B42&gt;0),100*(C42-B42)/B42,0)</f>
        <v>0</v>
      </c>
      <c r="F42" s="13" t="n">
        <f aca="false">IF(AND(ISNUMBER(B42),ISNUMBER(D42),D42&gt;0),B42/D42,0)</f>
        <v>0</v>
      </c>
      <c r="G42" s="13" t="n">
        <f aca="false">IF(AND(ISNUMBER(B42),ISNUMBER(C42),ISNUMBER(D42),D42&gt;0),100*(C42-B42)/(Results!$C$5*D42),0)</f>
        <v>0</v>
      </c>
      <c r="H42" s="14" t="str">
        <f aca="false">IF(F42&gt;0,F42,"")</f>
        <v/>
      </c>
      <c r="I42" s="15" t="str">
        <f aca="false">IF(G42&gt;0,G42,"")</f>
        <v/>
      </c>
    </row>
    <row r="43" customFormat="false" ht="15" hidden="false" customHeight="false" outlineLevel="0" collapsed="false">
      <c r="A43" s="11"/>
      <c r="B43" s="11"/>
      <c r="C43" s="11"/>
      <c r="D43" s="11"/>
      <c r="E43" s="13" t="n">
        <f aca="false">IF(AND(ISNUMBER(B43),ISNUMBER(C43),B43&gt;0),100*(C43-B43)/B43,0)</f>
        <v>0</v>
      </c>
      <c r="F43" s="13" t="n">
        <f aca="false">IF(AND(ISNUMBER(B43),ISNUMBER(D43),D43&gt;0),B43/D43,0)</f>
        <v>0</v>
      </c>
      <c r="G43" s="13" t="n">
        <f aca="false">IF(AND(ISNUMBER(B43),ISNUMBER(C43),ISNUMBER(D43),D43&gt;0),100*(C43-B43)/(Results!$C$5*D43),0)</f>
        <v>0</v>
      </c>
      <c r="H43" s="14" t="str">
        <f aca="false">IF(F43&gt;0,F43,"")</f>
        <v/>
      </c>
      <c r="I43" s="15" t="str">
        <f aca="false">IF(G43&gt;0,G43,"")</f>
        <v/>
      </c>
    </row>
    <row r="44" customFormat="false" ht="15" hidden="false" customHeight="false" outlineLevel="0" collapsed="false">
      <c r="A44" s="11"/>
      <c r="B44" s="11"/>
      <c r="C44" s="11"/>
      <c r="D44" s="11"/>
      <c r="E44" s="13" t="n">
        <f aca="false">IF(AND(ISNUMBER(B44),ISNUMBER(C44),B44&gt;0),100*(C44-B44)/B44,0)</f>
        <v>0</v>
      </c>
      <c r="F44" s="13" t="n">
        <f aca="false">IF(AND(ISNUMBER(B44),ISNUMBER(D44),D44&gt;0),B44/D44,0)</f>
        <v>0</v>
      </c>
      <c r="G44" s="13" t="n">
        <f aca="false">IF(AND(ISNUMBER(B44),ISNUMBER(C44),ISNUMBER(D44),D44&gt;0),100*(C44-B44)/(Results!$C$5*D44),0)</f>
        <v>0</v>
      </c>
      <c r="H44" s="14" t="str">
        <f aca="false">IF(F44&gt;0,F44,"")</f>
        <v/>
      </c>
      <c r="I44" s="15" t="str">
        <f aca="false">IF(G44&gt;0,G44,"")</f>
        <v/>
      </c>
    </row>
    <row r="45" customFormat="false" ht="15" hidden="false" customHeight="false" outlineLevel="0" collapsed="false">
      <c r="A45" s="11"/>
      <c r="B45" s="11"/>
      <c r="C45" s="11"/>
      <c r="D45" s="11"/>
      <c r="E45" s="13" t="n">
        <f aca="false">IF(AND(ISNUMBER(B45),ISNUMBER(C45),B45&gt;0),100*(C45-B45)/B45,0)</f>
        <v>0</v>
      </c>
      <c r="F45" s="13" t="n">
        <f aca="false">IF(AND(ISNUMBER(B45),ISNUMBER(D45),D45&gt;0),B45/D45,0)</f>
        <v>0</v>
      </c>
      <c r="G45" s="13" t="n">
        <f aca="false">IF(AND(ISNUMBER(B45),ISNUMBER(C45),ISNUMBER(D45),D45&gt;0),100*(C45-B45)/(Results!$C$5*D45),0)</f>
        <v>0</v>
      </c>
      <c r="H45" s="14" t="str">
        <f aca="false">IF(F45&gt;0,F45,"")</f>
        <v/>
      </c>
      <c r="I45" s="15" t="str">
        <f aca="false">IF(G45&gt;0,G45,"")</f>
        <v/>
      </c>
    </row>
    <row r="46" customFormat="false" ht="15" hidden="false" customHeight="false" outlineLevel="0" collapsed="false">
      <c r="A46" s="11"/>
      <c r="B46" s="11"/>
      <c r="C46" s="11"/>
      <c r="D46" s="11"/>
      <c r="E46" s="13" t="n">
        <f aca="false">IF(AND(ISNUMBER(B46),ISNUMBER(C46),B46&gt;0),100*(C46-B46)/B46,0)</f>
        <v>0</v>
      </c>
      <c r="F46" s="13" t="n">
        <f aca="false">IF(AND(ISNUMBER(B46),ISNUMBER(D46),D46&gt;0),B46/D46,0)</f>
        <v>0</v>
      </c>
      <c r="G46" s="13" t="n">
        <f aca="false">IF(AND(ISNUMBER(B46),ISNUMBER(C46),ISNUMBER(D46),D46&gt;0),100*(C46-B46)/(Results!$C$5*D46),0)</f>
        <v>0</v>
      </c>
      <c r="H46" s="14" t="str">
        <f aca="false">IF(F46&gt;0,F46,"")</f>
        <v/>
      </c>
      <c r="I46" s="15" t="str">
        <f aca="false">IF(G46&gt;0,G46,"")</f>
        <v/>
      </c>
    </row>
    <row r="47" customFormat="false" ht="15" hidden="false" customHeight="false" outlineLevel="0" collapsed="false">
      <c r="A47" s="11"/>
      <c r="B47" s="11"/>
      <c r="C47" s="11"/>
      <c r="D47" s="11"/>
      <c r="E47" s="13" t="n">
        <f aca="false">IF(AND(ISNUMBER(B47),ISNUMBER(C47),B47&gt;0),100*(C47-B47)/B47,0)</f>
        <v>0</v>
      </c>
      <c r="F47" s="13" t="n">
        <f aca="false">IF(AND(ISNUMBER(B47),ISNUMBER(D47),D47&gt;0),B47/D47,0)</f>
        <v>0</v>
      </c>
      <c r="G47" s="13" t="n">
        <f aca="false">IF(AND(ISNUMBER(B47),ISNUMBER(C47),ISNUMBER(D47),D47&gt;0),100*(C47-B47)/(Results!$C$5*D47),0)</f>
        <v>0</v>
      </c>
      <c r="H47" s="14" t="str">
        <f aca="false">IF(F47&gt;0,F47,"")</f>
        <v/>
      </c>
      <c r="I47" s="15" t="str">
        <f aca="false">IF(G47&gt;0,G47,"")</f>
        <v/>
      </c>
    </row>
    <row r="48" customFormat="false" ht="15" hidden="false" customHeight="false" outlineLevel="0" collapsed="false">
      <c r="A48" s="11"/>
      <c r="B48" s="11"/>
      <c r="C48" s="11"/>
      <c r="D48" s="11"/>
      <c r="E48" s="13" t="n">
        <f aca="false">IF(AND(ISNUMBER(B48),ISNUMBER(C48),B48&gt;0),100*(C48-B48)/B48,0)</f>
        <v>0</v>
      </c>
      <c r="F48" s="13" t="n">
        <f aca="false">IF(AND(ISNUMBER(B48),ISNUMBER(D48),D48&gt;0),B48/D48,0)</f>
        <v>0</v>
      </c>
      <c r="G48" s="13" t="n">
        <f aca="false">IF(AND(ISNUMBER(B48),ISNUMBER(C48),ISNUMBER(D48),D48&gt;0),100*(C48-B48)/(Results!$C$5*D48),0)</f>
        <v>0</v>
      </c>
      <c r="H48" s="14" t="str">
        <f aca="false">IF(F48&gt;0,F48,"")</f>
        <v/>
      </c>
      <c r="I48" s="15" t="str">
        <f aca="false">IF(G48&gt;0,G48,"")</f>
        <v/>
      </c>
    </row>
    <row r="49" customFormat="false" ht="15" hidden="false" customHeight="false" outlineLevel="0" collapsed="false">
      <c r="A49" s="11"/>
      <c r="B49" s="11"/>
      <c r="C49" s="11"/>
      <c r="D49" s="11"/>
      <c r="E49" s="13" t="n">
        <f aca="false">IF(AND(ISNUMBER(B49),ISNUMBER(C49),B49&gt;0),100*(C49-B49)/B49,0)</f>
        <v>0</v>
      </c>
      <c r="F49" s="13" t="n">
        <f aca="false">IF(AND(ISNUMBER(B49),ISNUMBER(D49),D49&gt;0),B49/D49,0)</f>
        <v>0</v>
      </c>
      <c r="G49" s="13" t="n">
        <f aca="false">IF(AND(ISNUMBER(B49),ISNUMBER(C49),ISNUMBER(D49),D49&gt;0),100*(C49-B49)/(Results!$C$5*D49),0)</f>
        <v>0</v>
      </c>
      <c r="H49" s="14" t="str">
        <f aca="false">IF(F49&gt;0,F49,"")</f>
        <v/>
      </c>
      <c r="I49" s="15" t="str">
        <f aca="false">IF(G49&gt;0,G49,"")</f>
        <v/>
      </c>
    </row>
    <row r="50" customFormat="false" ht="15" hidden="false" customHeight="false" outlineLevel="0" collapsed="false">
      <c r="A50" s="11"/>
      <c r="B50" s="11"/>
      <c r="C50" s="11"/>
      <c r="D50" s="11"/>
      <c r="E50" s="13" t="n">
        <f aca="false">IF(AND(ISNUMBER(B50),ISNUMBER(C50),B50&gt;0),100*(C50-B50)/B50,0)</f>
        <v>0</v>
      </c>
      <c r="F50" s="13" t="n">
        <f aca="false">IF(AND(ISNUMBER(B50),ISNUMBER(D50),D50&gt;0),B50/D50,0)</f>
        <v>0</v>
      </c>
      <c r="G50" s="13" t="n">
        <f aca="false">IF(AND(ISNUMBER(B50),ISNUMBER(C50),ISNUMBER(D50),D50&gt;0),100*(C50-B50)/(Results!$C$5*D50),0)</f>
        <v>0</v>
      </c>
      <c r="H50" s="14" t="str">
        <f aca="false">IF(F50&gt;0,F50,"")</f>
        <v/>
      </c>
      <c r="I50" s="15" t="str">
        <f aca="false">IF(G50&gt;0,G50,"")</f>
        <v/>
      </c>
    </row>
    <row r="51" customFormat="false" ht="15" hidden="false" customHeight="false" outlineLevel="0" collapsed="false">
      <c r="A51" s="11"/>
      <c r="B51" s="11"/>
      <c r="C51" s="11"/>
      <c r="D51" s="11"/>
      <c r="E51" s="13" t="n">
        <f aca="false">IF(AND(ISNUMBER(B51),ISNUMBER(C51),B51&gt;0),100*(C51-B51)/B51,0)</f>
        <v>0</v>
      </c>
      <c r="F51" s="13" t="n">
        <f aca="false">IF(AND(ISNUMBER(B51),ISNUMBER(D51),D51&gt;0),B51/D51,0)</f>
        <v>0</v>
      </c>
      <c r="G51" s="13" t="n">
        <f aca="false">IF(AND(ISNUMBER(B51),ISNUMBER(C51),ISNUMBER(D51),D51&gt;0),100*(C51-B51)/(Results!$C$5*D51),0)</f>
        <v>0</v>
      </c>
      <c r="H51" s="14" t="str">
        <f aca="false">IF(F51&gt;0,F51,"")</f>
        <v/>
      </c>
      <c r="I51" s="15" t="str">
        <f aca="false">IF(G51&gt;0,G51,"")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12:D5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38</v>
      </c>
    </row>
    <row r="2" customFormat="false" ht="15" hidden="false" customHeight="false" outlineLevel="0" collapsed="false">
      <c r="B2" s="8" t="s">
        <v>39</v>
      </c>
    </row>
    <row r="4" customFormat="false" ht="15" hidden="false" customHeight="false" outlineLevel="0" collapsed="false">
      <c r="B4" s="9" t="s">
        <v>40</v>
      </c>
    </row>
    <row r="5" customFormat="false" ht="15" hidden="false" customHeight="false" outlineLevel="0" collapsed="false">
      <c r="B5" s="16" t="s">
        <v>41</v>
      </c>
      <c r="C5" s="11" t="n">
        <v>0.997</v>
      </c>
      <c r="D5" s="8" t="s">
        <v>42</v>
      </c>
    </row>
    <row r="7" customFormat="false" ht="15" hidden="false" customHeight="false" outlineLevel="0" collapsed="false">
      <c r="B7" s="9" t="s">
        <v>43</v>
      </c>
    </row>
    <row r="8" customFormat="false" ht="30" hidden="false" customHeight="true" outlineLevel="0" collapsed="false">
      <c r="B8" s="10" t="s">
        <v>44</v>
      </c>
      <c r="C8" s="10" t="s">
        <v>45</v>
      </c>
      <c r="D8" s="10" t="s">
        <v>46</v>
      </c>
      <c r="E8" s="10" t="s">
        <v>47</v>
      </c>
      <c r="F8" s="10" t="s">
        <v>48</v>
      </c>
    </row>
    <row r="9" customFormat="false" ht="15" hidden="false" customHeight="false" outlineLevel="0" collapsed="false">
      <c r="B9" s="17" t="str">
        <f aca="false">IFERROR('Enter data'!$A$6,"")</f>
        <v>limestone</v>
      </c>
      <c r="C9" s="18" t="n">
        <f aca="false">IFERROR(COUNTIFS('Enter data'!$A$12:$A$51,'Enter data'!$A$6,'Enter data'!$E$12:$E$51,"&lt;&gt;0"),"")</f>
        <v>3</v>
      </c>
      <c r="D9" s="19" t="n">
        <f aca="false">IFERROR(AVERAGEIFS('Enter data'!$E$12:$E$51,'Enter data'!$A$12:$A$51,'Enter data'!$A$6,'Enter data'!$E$12:$E$51,"&lt;&gt;0"),"")</f>
        <v>1.96619091938469</v>
      </c>
      <c r="E9" s="19" t="n">
        <f aca="false">IFERROR(SQRT(MAX(0,(SUMPRODUCT(('Enter data'!$A$12:$A$51='Enter data'!$A$6)*('Enter data'!$E$12:$E$51&lt;&gt;0)*'Enter data'!$E$12:$E$51^2)-C9*D9^2)/(C9-1))),"")</f>
        <v>0.0220880689858376</v>
      </c>
      <c r="F9" s="19" t="n">
        <f aca="false">IFERROR(E9/SQRT(C9),"")</f>
        <v>0.0127525525748524</v>
      </c>
    </row>
    <row r="10" customFormat="false" ht="15" hidden="false" customHeight="false" outlineLevel="0" collapsed="false">
      <c r="B10" s="17" t="str">
        <f aca="false">IFERROR('Enter data'!$B$6,"")</f>
        <v>sandstone</v>
      </c>
      <c r="C10" s="18" t="n">
        <f aca="false">IFERROR(COUNTIFS('Enter data'!$A$12:$A$51,'Enter data'!$B$6,'Enter data'!$E$12:$E$51,"&lt;&gt;0"),"")</f>
        <v>3</v>
      </c>
      <c r="D10" s="19" t="n">
        <f aca="false">IFERROR(AVERAGEIFS('Enter data'!$E$12:$E$51,'Enter data'!$A$12:$A$51,'Enter data'!$B$6,'Enter data'!$E$12:$E$51,"&lt;&gt;0"),"")</f>
        <v>8.12647704684478</v>
      </c>
      <c r="E10" s="19" t="n">
        <f aca="false">IFERROR(SQRT(MAX(0,(SUMPRODUCT(('Enter data'!$A$12:$A$51='Enter data'!$B$6)*('Enter data'!$E$12:$E$51&lt;&gt;0)*'Enter data'!$E$12:$E$51^2)-C10*D10^2)/(C10-1))),"")</f>
        <v>0.0564064686573691</v>
      </c>
      <c r="F10" s="19" t="n">
        <f aca="false">IFERROR(E10/SQRT(C10),"")</f>
        <v>0.0325662898633682</v>
      </c>
    </row>
    <row r="11" customFormat="false" ht="15" hidden="false" customHeight="false" outlineLevel="0" collapsed="false">
      <c r="B11" s="17" t="str">
        <f aca="false">IFERROR('Enter data'!$C$6,"")</f>
        <v>andesite</v>
      </c>
      <c r="C11" s="18" t="n">
        <f aca="false">IFERROR(COUNTIFS('Enter data'!$A$12:$A$51,'Enter data'!$C$6,'Enter data'!$E$12:$E$51,"&lt;&gt;0"),"")</f>
        <v>3</v>
      </c>
      <c r="D11" s="19" t="n">
        <f aca="false">IFERROR(AVERAGEIFS('Enter data'!$E$12:$E$51,'Enter data'!$A$12:$A$51,'Enter data'!$C$6,'Enter data'!$E$12:$E$51,"&lt;&gt;0"),"")</f>
        <v>1.97561343399943</v>
      </c>
      <c r="E11" s="19" t="n">
        <f aca="false">IFERROR(SQRT(MAX(0,(SUMPRODUCT(('Enter data'!$A$12:$A$51='Enter data'!$C$6)*('Enter data'!$E$12:$E$51&lt;&gt;0)*'Enter data'!$E$12:$E$51^2)-C11*D11^2)/(C11-1))),"")</f>
        <v>0.0184039415444492</v>
      </c>
      <c r="F11" s="19" t="n">
        <f aca="false">IFERROR(E11/SQRT(C11),"")</f>
        <v>0.0106255206048379</v>
      </c>
    </row>
    <row r="12" customFormat="false" ht="15" hidden="false" customHeight="false" outlineLevel="0" collapsed="false">
      <c r="B12" s="17" t="str">
        <f aca="false">IFERROR('Enter data'!$D$6,"")</f>
        <v>basalt</v>
      </c>
      <c r="C12" s="18" t="n">
        <f aca="false">IFERROR(COUNTIFS('Enter data'!$A$12:$A$51,'Enter data'!$D$6,'Enter data'!$E$12:$E$51,"&lt;&gt;0"),"")</f>
        <v>3</v>
      </c>
      <c r="D12" s="19" t="n">
        <f aca="false">IFERROR(AVERAGEIFS('Enter data'!$E$12:$E$51,'Enter data'!$A$12:$A$51,'Enter data'!$D$6,'Enter data'!$E$12:$E$51,"&lt;&gt;0"),"")</f>
        <v>1.04544676099594</v>
      </c>
      <c r="E12" s="19" t="n">
        <f aca="false">IFERROR(SQRT(MAX(0,(SUMPRODUCT(('Enter data'!$A$12:$A$51='Enter data'!$D$6)*('Enter data'!$E$12:$E$51&lt;&gt;0)*'Enter data'!$E$12:$E$51^2)-C12*D12^2)/(C12-1))),"")</f>
        <v>0.0204132126425891</v>
      </c>
      <c r="F12" s="19" t="n">
        <f aca="false">IFERROR(E12/SQRT(C12),"")</f>
        <v>0.0117855738142239</v>
      </c>
    </row>
    <row r="13" customFormat="false" ht="15" hidden="false" customHeight="false" outlineLevel="0" collapsed="false">
      <c r="B13" s="17" t="str">
        <f aca="false">IFERROR('Enter data'!$E$6,"")</f>
        <v>coral limestone</v>
      </c>
      <c r="C13" s="18" t="n">
        <f aca="false">IFERROR(COUNTIFS('Enter data'!$A$12:$A$51,'Enter data'!$E$6,'Enter data'!$E$12:$E$51,"&lt;&gt;0"),"")</f>
        <v>3</v>
      </c>
      <c r="D13" s="19" t="n">
        <f aca="false">IFERROR(AVERAGEIFS('Enter data'!$E$12:$E$51,'Enter data'!$A$12:$A$51,'Enter data'!$E$6,'Enter data'!$E$12:$E$51,"&lt;&gt;0"),"")</f>
        <v>16.3782882569507</v>
      </c>
      <c r="E13" s="19" t="n">
        <f aca="false">IFERROR(SQRT(MAX(0,(SUMPRODUCT(('Enter data'!$A$12:$A$51='Enter data'!$E$6)*('Enter data'!$E$12:$E$51&lt;&gt;0)*'Enter data'!$E$12:$E$51^2)-C13*D13^2)/(C13-1))),"")</f>
        <v>0.109071537687169</v>
      </c>
      <c r="F13" s="19" t="n">
        <f aca="false">IFERROR(E13/SQRT(C13),"")</f>
        <v>0.0629724816446134</v>
      </c>
    </row>
    <row r="16" customFormat="false" ht="15" hidden="false" customHeight="false" outlineLevel="0" collapsed="false">
      <c r="B16" s="9" t="s">
        <v>49</v>
      </c>
    </row>
    <row r="17" customFormat="false" ht="30" hidden="false" customHeight="true" outlineLevel="0" collapsed="false">
      <c r="B17" s="10" t="s">
        <v>44</v>
      </c>
      <c r="C17" s="10" t="s">
        <v>45</v>
      </c>
      <c r="D17" s="10" t="s">
        <v>46</v>
      </c>
      <c r="E17" s="10" t="s">
        <v>47</v>
      </c>
      <c r="F17" s="10" t="s">
        <v>48</v>
      </c>
    </row>
    <row r="18" customFormat="false" ht="15" hidden="false" customHeight="false" outlineLevel="0" collapsed="false">
      <c r="B18" s="17" t="str">
        <f aca="false">IFERROR('Enter data'!$A$6,"")</f>
        <v>limestone</v>
      </c>
      <c r="C18" s="18" t="n">
        <f aca="false">IFERROR(COUNTIFS('Enter data'!$A$12:$A$51,'Enter data'!$A$6,'Enter data'!$F$12:$F$51,"&lt;&gt;0"),"")</f>
        <v>3</v>
      </c>
      <c r="D18" s="19" t="n">
        <f aca="false">IFERROR(AVERAGEIFS('Enter data'!$F$12:$F$51,'Enter data'!$A$12:$A$51,'Enter data'!$A$6,'Enter data'!$F$12:$F$51,"&lt;&gt;0"),"")</f>
        <v>2.52612876951575</v>
      </c>
      <c r="E18" s="19" t="n">
        <f aca="false">IFERROR(SQRT(MAX(0,(SUMPRODUCT(('Enter data'!$A$12:$A$51='Enter data'!$A$6)*('Enter data'!$F$12:$F$51&lt;&gt;0)*'Enter data'!$F$12:$F$51^2)-C18*D18^2)/(C18-1))),"")</f>
        <v>0.0155227890105732</v>
      </c>
      <c r="F18" s="19" t="n">
        <f aca="false">IFERROR(E18/SQRT(C18),"")</f>
        <v>0.00896208641382822</v>
      </c>
    </row>
    <row r="19" customFormat="false" ht="15" hidden="false" customHeight="false" outlineLevel="0" collapsed="false">
      <c r="B19" s="17" t="str">
        <f aca="false">IFERROR('Enter data'!$B$6,"")</f>
        <v>sandstone</v>
      </c>
      <c r="C19" s="18" t="n">
        <f aca="false">IFERROR(COUNTIFS('Enter data'!$A$12:$A$51,'Enter data'!$B$6,'Enter data'!$F$12:$F$51,"&lt;&gt;0"),"")</f>
        <v>3</v>
      </c>
      <c r="D19" s="19" t="n">
        <f aca="false">IFERROR(AVERAGEIFS('Enter data'!$F$12:$F$51,'Enter data'!$A$12:$A$51,'Enter data'!$B$6,'Enter data'!$F$12:$F$51,"&lt;&gt;0"),"")</f>
        <v>2.20547623580176</v>
      </c>
      <c r="E19" s="19" t="n">
        <f aca="false">IFERROR(SQRT(MAX(0,(SUMPRODUCT(('Enter data'!$A$12:$A$51='Enter data'!$B$6)*('Enter data'!$F$12:$F$51&lt;&gt;0)*'Enter data'!$F$12:$F$51^2)-C19*D19^2)/(C19-1))),"")</f>
        <v>0.0174597359202316</v>
      </c>
      <c r="F19" s="19" t="n">
        <f aca="false">IFERROR(E19/SQRT(C19),"")</f>
        <v>0.0100803832335255</v>
      </c>
    </row>
    <row r="20" customFormat="false" ht="15" hidden="false" customHeight="false" outlineLevel="0" collapsed="false">
      <c r="B20" s="17" t="str">
        <f aca="false">IFERROR('Enter data'!$C$6,"")</f>
        <v>andesite</v>
      </c>
      <c r="C20" s="18" t="n">
        <f aca="false">IFERROR(COUNTIFS('Enter data'!$A$12:$A$51,'Enter data'!$C$6,'Enter data'!$F$12:$F$51,"&lt;&gt;0"),"")</f>
        <v>3</v>
      </c>
      <c r="D20" s="19" t="n">
        <f aca="false">IFERROR(AVERAGEIFS('Enter data'!$F$12:$F$51,'Enter data'!$A$12:$A$51,'Enter data'!$C$6,'Enter data'!$F$12:$F$51,"&lt;&gt;0"),"")</f>
        <v>2.53100628930818</v>
      </c>
      <c r="E20" s="19" t="n">
        <f aca="false">IFERROR(SQRT(MAX(0,(SUMPRODUCT(('Enter data'!$A$12:$A$51='Enter data'!$C$6)*('Enter data'!$F$12:$F$51&lt;&gt;0)*'Enter data'!$F$12:$F$51^2)-C20*D20^2)/(C20-1))),"")</f>
        <v>0.0236386808328456</v>
      </c>
      <c r="F20" s="19" t="n">
        <f aca="false">IFERROR(E20/SQRT(C20),"")</f>
        <v>0.0136477987421311</v>
      </c>
    </row>
    <row r="21" customFormat="false" ht="15" hidden="false" customHeight="false" outlineLevel="0" collapsed="false">
      <c r="B21" s="17" t="str">
        <f aca="false">IFERROR('Enter data'!$D$6,"")</f>
        <v>basalt</v>
      </c>
      <c r="C21" s="18" t="n">
        <f aca="false">IFERROR(COUNTIFS('Enter data'!$A$12:$A$51,'Enter data'!$D$6,'Enter data'!$F$12:$F$51,"&lt;&gt;0"),"")</f>
        <v>3</v>
      </c>
      <c r="D21" s="19" t="n">
        <f aca="false">IFERROR(AVERAGEIFS('Enter data'!$F$12:$F$51,'Enter data'!$A$12:$A$51,'Enter data'!$D$6,'Enter data'!$F$12:$F$51,"&lt;&gt;0"),"")</f>
        <v>2.88274509803922</v>
      </c>
      <c r="E21" s="19" t="n">
        <f aca="false">IFERROR(SQRT(MAX(0,(SUMPRODUCT(('Enter data'!$A$12:$A$51='Enter data'!$D$6)*('Enter data'!$F$12:$F$51&lt;&gt;0)*'Enter data'!$F$12:$F$51^2)-C21*D21^2)/(C21-1))),"")</f>
        <v>0.0542089170684605</v>
      </c>
      <c r="F21" s="19" t="n">
        <f aca="false">IFERROR(E21/SQRT(C21),"")</f>
        <v>0.0312975328619538</v>
      </c>
    </row>
    <row r="22" customFormat="false" ht="15" hidden="false" customHeight="false" outlineLevel="0" collapsed="false">
      <c r="B22" s="17" t="str">
        <f aca="false">IFERROR('Enter data'!$E$6,"")</f>
        <v>coral limestone</v>
      </c>
      <c r="C22" s="18" t="n">
        <f aca="false">IFERROR(COUNTIFS('Enter data'!$A$12:$A$51,'Enter data'!$E$6,'Enter data'!$F$12:$F$51,"&lt;&gt;0"),"")</f>
        <v>3</v>
      </c>
      <c r="D22" s="19" t="n">
        <f aca="false">IFERROR(AVERAGEIFS('Enter data'!$F$12:$F$51,'Enter data'!$A$12:$A$51,'Enter data'!$E$6,'Enter data'!$F$12:$F$51,"&lt;&gt;0"),"")</f>
        <v>1.82551389734226</v>
      </c>
      <c r="E22" s="19" t="n">
        <f aca="false">IFERROR(SQRT(MAX(0,(SUMPRODUCT(('Enter data'!$A$12:$A$51='Enter data'!$E$6)*('Enter data'!$F$12:$F$51&lt;&gt;0)*'Enter data'!$F$12:$F$51^2)-C22*D22^2)/(C22-1))),"")</f>
        <v>0.0180142754977477</v>
      </c>
      <c r="F22" s="19" t="n">
        <f aca="false">IFERROR(E22/SQRT(C22),"")</f>
        <v>0.0104005468078807</v>
      </c>
    </row>
    <row r="25" customFormat="false" ht="15" hidden="false" customHeight="false" outlineLevel="0" collapsed="false">
      <c r="B25" s="9" t="s">
        <v>50</v>
      </c>
    </row>
    <row r="26" customFormat="false" ht="30" hidden="false" customHeight="true" outlineLevel="0" collapsed="false">
      <c r="B26" s="10" t="s">
        <v>44</v>
      </c>
      <c r="C26" s="10" t="s">
        <v>45</v>
      </c>
      <c r="D26" s="10" t="s">
        <v>46</v>
      </c>
      <c r="E26" s="10" t="s">
        <v>47</v>
      </c>
      <c r="F26" s="10" t="s">
        <v>48</v>
      </c>
    </row>
    <row r="27" customFormat="false" ht="15" hidden="false" customHeight="false" outlineLevel="0" collapsed="false">
      <c r="B27" s="17" t="str">
        <f aca="false">IFERROR('Enter data'!$A$6,"")</f>
        <v>limestone</v>
      </c>
      <c r="C27" s="18" t="n">
        <f aca="false">IFERROR(COUNTIFS('Enter data'!$A$12:$A$51,'Enter data'!$A$6,'Enter data'!$G$12:$G$51,"&lt;&gt;0"),"")</f>
        <v>3</v>
      </c>
      <c r="D27" s="20" t="n">
        <f aca="false">IFERROR(AVERAGEIFS('Enter data'!$G$12:$G$51,'Enter data'!$A$12:$A$51,'Enter data'!$A$6,'Enter data'!$G$12:$G$51,"&lt;&gt;0"),"")</f>
        <v>4.98158138379373</v>
      </c>
      <c r="E27" s="20" t="n">
        <f aca="false">IFERROR(SQRT(MAX(0,(SUMPRODUCT(('Enter data'!$A$12:$A$51='Enter data'!$A$6)*('Enter data'!$G$12:$G$51&lt;&gt;0)*'Enter data'!$G$12:$G$51^2)-C27*D27^2)/(C27-1))),"")</f>
        <v>0.0290195562491633</v>
      </c>
      <c r="F27" s="20" t="n">
        <f aca="false">IFERROR(E27/SQRT(C27),"")</f>
        <v>0.0167544486122179</v>
      </c>
    </row>
    <row r="28" customFormat="false" ht="15" hidden="false" customHeight="false" outlineLevel="0" collapsed="false">
      <c r="B28" s="17" t="str">
        <f aca="false">IFERROR('Enter data'!$B$6,"")</f>
        <v>sandstone</v>
      </c>
      <c r="C28" s="18" t="n">
        <f aca="false">IFERROR(COUNTIFS('Enter data'!$A$12:$A$51,'Enter data'!$B$6,'Enter data'!$G$12:$G$51,"&lt;&gt;0"),"")</f>
        <v>3</v>
      </c>
      <c r="D28" s="20" t="n">
        <f aca="false">IFERROR(AVERAGEIFS('Enter data'!$G$12:$G$51,'Enter data'!$A$12:$A$51,'Enter data'!$B$6,'Enter data'!$G$12:$G$51,"&lt;&gt;0"),"")</f>
        <v>17.9760679334787</v>
      </c>
      <c r="E28" s="20" t="n">
        <f aca="false">IFERROR(SQRT(MAX(0,(SUMPRODUCT(('Enter data'!$A$12:$A$51='Enter data'!$B$6)*('Enter data'!$G$12:$G$51&lt;&gt;0)*'Enter data'!$G$12:$G$51^2)-C28*D28^2)/(C28-1))),"")</f>
        <v>0.0514210936989233</v>
      </c>
      <c r="F28" s="20" t="n">
        <f aca="false">IFERROR(E28/SQRT(C28),"")</f>
        <v>0.0296879822890984</v>
      </c>
    </row>
    <row r="29" customFormat="false" ht="15" hidden="false" customHeight="false" outlineLevel="0" collapsed="false">
      <c r="B29" s="17" t="str">
        <f aca="false">IFERROR('Enter data'!$C$6,"")</f>
        <v>andesite</v>
      </c>
      <c r="C29" s="18" t="n">
        <f aca="false">IFERROR(COUNTIFS('Enter data'!$A$12:$A$51,'Enter data'!$C$6,'Enter data'!$G$12:$G$51,"&lt;&gt;0"),"")</f>
        <v>3</v>
      </c>
      <c r="D29" s="20" t="n">
        <f aca="false">IFERROR(AVERAGEIFS('Enter data'!$G$12:$G$51,'Enter data'!$A$12:$A$51,'Enter data'!$C$6,'Enter data'!$G$12:$G$51,"&lt;&gt;0"),"")</f>
        <v>5.01504513540623</v>
      </c>
      <c r="E29" s="20" t="n">
        <f aca="false">IFERROR(SQRT(MAX(0,(SUMPRODUCT(('Enter data'!$A$12:$A$51='Enter data'!$C$6)*('Enter data'!$G$12:$G$51&lt;&gt;0)*'Enter data'!$G$12:$G$51^2)-C29*D29^2)/(C29-1))),"")</f>
        <v>0</v>
      </c>
      <c r="F29" s="20" t="n">
        <f aca="false">IFERROR(E29/SQRT(C29),"")</f>
        <v>0</v>
      </c>
    </row>
    <row r="30" customFormat="false" ht="15" hidden="false" customHeight="false" outlineLevel="0" collapsed="false">
      <c r="B30" s="17" t="str">
        <f aca="false">IFERROR('Enter data'!$D$6,"")</f>
        <v>basalt</v>
      </c>
      <c r="C30" s="18" t="n">
        <f aca="false">IFERROR(COUNTIFS('Enter data'!$A$12:$A$51,'Enter data'!$D$6,'Enter data'!$G$12:$G$51,"&lt;&gt;0"),"")</f>
        <v>3</v>
      </c>
      <c r="D30" s="20" t="n">
        <f aca="false">IFERROR(AVERAGEIFS('Enter data'!$G$12:$G$51,'Enter data'!$A$12:$A$51,'Enter data'!$D$6,'Enter data'!$G$12:$G$51,"&lt;&gt;0"),"")</f>
        <v>3.02213831035589</v>
      </c>
      <c r="E30" s="20" t="n">
        <f aca="false">IFERROR(SQRT(MAX(0,(SUMPRODUCT(('Enter data'!$A$12:$A$51='Enter data'!$D$6)*('Enter data'!$G$12:$G$51&lt;&gt;0)*'Enter data'!$G$12:$G$51^2)-C30*D30^2)/(C30-1))),"")</f>
        <v>0.0227093149718226</v>
      </c>
      <c r="F30" s="20" t="n">
        <f aca="false">IFERROR(E30/SQRT(C30),"")</f>
        <v>0.0131112291120938</v>
      </c>
    </row>
    <row r="31" customFormat="false" ht="15" hidden="false" customHeight="false" outlineLevel="0" collapsed="false">
      <c r="B31" s="17" t="str">
        <f aca="false">IFERROR('Enter data'!$E$6,"")</f>
        <v>coral limestone</v>
      </c>
      <c r="C31" s="18" t="n">
        <f aca="false">IFERROR(COUNTIFS('Enter data'!$A$12:$A$51,'Enter data'!$E$6,'Enter data'!$G$12:$G$51,"&lt;&gt;0"),"")</f>
        <v>3</v>
      </c>
      <c r="D31" s="20" t="n">
        <f aca="false">IFERROR(AVERAGEIFS('Enter data'!$G$12:$G$51,'Enter data'!$A$12:$A$51,'Enter data'!$E$6,'Enter data'!$G$12:$G$51,"&lt;&gt;0"),"")</f>
        <v>29.9874533996254</v>
      </c>
      <c r="E31" s="20" t="n">
        <f aca="false">IFERROR(SQRT(MAX(0,(SUMPRODUCT(('Enter data'!$A$12:$A$51='Enter data'!$E$6)*('Enter data'!$G$12:$G$51&lt;&gt;0)*'Enter data'!$G$12:$G$51^2)-C31*D31^2)/(C31-1))),"")</f>
        <v>0.100395565406129</v>
      </c>
      <c r="F31" s="20" t="n">
        <f aca="false">IFERROR(E31/SQRT(C31),"")</f>
        <v>0.0579634067126734</v>
      </c>
    </row>
    <row r="34" customFormat="false" ht="15" hidden="false" customHeight="false" outlineLevel="0" collapsed="false">
      <c r="B34" s="9" t="s">
        <v>51</v>
      </c>
    </row>
    <row r="35" customFormat="false" ht="15" hidden="false" customHeight="false" outlineLevel="0" collapsed="false">
      <c r="B35" s="16" t="s">
        <v>52</v>
      </c>
      <c r="C35" s="21" t="n">
        <f aca="false">IFERROR(SUMPRODUCT(--ISNUMBER('Enter data'!$H$12:$H$51),--ISNUMBER('Enter data'!$I$12:$I$51)),"")</f>
        <v>15</v>
      </c>
    </row>
    <row r="36" customFormat="false" ht="15" hidden="false" customHeight="false" outlineLevel="0" collapsed="false">
      <c r="B36" s="16" t="s">
        <v>53</v>
      </c>
      <c r="C36" s="22" t="n">
        <f aca="false">IFERROR(SLOPE('Enter data'!$I$12:$I$51,'Enter data'!$H$12:$H$51),"")</f>
        <v>-27.6778332019976</v>
      </c>
    </row>
    <row r="37" customFormat="false" ht="15" hidden="false" customHeight="false" outlineLevel="0" collapsed="false">
      <c r="B37" s="16" t="s">
        <v>54</v>
      </c>
      <c r="C37" s="22" t="n">
        <f aca="false">IFERROR(INTERCEPT('Enter data'!$I$12:$I$51,'Enter data'!$H$12:$H$51),"")</f>
        <v>78.4620074664454</v>
      </c>
    </row>
    <row r="38" customFormat="false" ht="15" hidden="false" customHeight="false" outlineLevel="0" collapsed="false">
      <c r="B38" s="16" t="s">
        <v>55</v>
      </c>
      <c r="C38" s="22" t="n">
        <f aca="false">IFERROR(RSQ('Enter data'!$I$12:$I$51,'Enter data'!$H$12:$H$51),"")</f>
        <v>0.907103105458223</v>
      </c>
    </row>
    <row r="39" customFormat="false" ht="15" hidden="false" customHeight="false" outlineLevel="0" collapsed="false">
      <c r="B39" s="16" t="s">
        <v>56</v>
      </c>
      <c r="C39" s="22" t="n">
        <f aca="false">IFERROR(STEYX('Enter data'!$I$12:$I$51,'Enter data'!$H$12:$H$51),"")</f>
        <v>3.39524332689276</v>
      </c>
    </row>
    <row r="40" customFormat="false" ht="15" hidden="false" customHeight="false" outlineLevel="0" collapsed="false">
      <c r="B40" s="16" t="s">
        <v>57</v>
      </c>
      <c r="C40" s="22" t="n">
        <f aca="false">IFERROR($C$39/SQRT(DEVSQ('Enter data'!$H$12:$H$51)),"")</f>
        <v>2.4565900179834</v>
      </c>
    </row>
    <row r="41" customFormat="false" ht="15" hidden="false" customHeight="false" outlineLevel="0" collapsed="false">
      <c r="B41" s="16" t="s">
        <v>58</v>
      </c>
      <c r="C41" s="22" t="n">
        <f aca="false">IFERROR($C$36-TINV(0.05,$C$35-2)*$C$40,"")</f>
        <v>-32.9849732786283</v>
      </c>
    </row>
    <row r="42" customFormat="false" ht="15" hidden="false" customHeight="false" outlineLevel="0" collapsed="false">
      <c r="B42" s="16" t="s">
        <v>59</v>
      </c>
      <c r="C42" s="22" t="n">
        <f aca="false">IFERROR($C$36+TINV(0.05,$C$35-2)*$C$40,"")</f>
        <v>-22.3706931253669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2026-10-01T00:30:42Z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2026-10-01T00:31:08Z</dcterms:modified>
  <cp:revision>1</cp:revision>
  <dc:subject/>
  <dc:title>ENV-02 Porosity and density of rocks by water absorption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