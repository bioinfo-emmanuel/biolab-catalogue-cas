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<sst xmlns="http://schemas.openxmlformats.org/spreadsheetml/2006/main" count="63" uniqueCount="57">
  <si>
    <t xml:space="preserve">ZOO-02  Gut length, diet, and body size in market fish</t>
  </si>
  <si>
    <t xml:space="preserve">Excel version of the card. It does the same calculations as the R script gut_length_analysis.R.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</si>
  <si>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</si>
  <si>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</si>
  <si>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</si>
  <si>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</si>
  <si>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</si>
  <si>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</si>
  <si>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</si>
  <si>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</si>
  <si>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Relative gut length = gut length / standard length. The fish is the replicate.</t>
  </si>
  <si>
    <t xml:space="preserve">Differences from the R script on the card</t>
  </si>
  <si>
    <t xml:space="preserve">The R script uses Kruskal-Wallis and Wilcoxon tests. This workbook uses one-way ANOVA and Welch t tests with a Bonferroni adjustment (close when the groups are well separated); Spearman correlations are replaced by Pearson correlations.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</si>
  <si>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</si>
  <si>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</si>
  <si>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</si>
  <si>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</si>
  <si>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Species names</t>
  </si>
  <si>
    <t xml:space="preserve">Species 1</t>
  </si>
  <si>
    <t xml:space="preserve">Species 2</t>
  </si>
  <si>
    <t xml:space="preserve">Species 3</t>
  </si>
  <si>
    <t xml:space="preserve">species A</t>
  </si>
  <si>
    <t xml:space="preserve">species B</t>
  </si>
  <si>
    <t xml:space="preserve">species C</t>
  </si>
  <si>
    <t xml:space="preserve">2. Fish of species 1</t>
  </si>
  <si>
    <t xml:space="preserve">Standard length (mm)</t>
  </si>
  <si>
    <t xml:space="preserve">Gut length (mm)</t>
  </si>
  <si>
    <t xml:space="preserve">Relative gut length</t>
  </si>
  <si>
    <t xml:space="preserve">3. Fish of species 2</t>
  </si>
  <si>
    <t xml:space="preserve">4. Fish of species 3</t>
  </si>
  <si>
    <t xml:space="preserve">Results</t>
  </si>
  <si>
    <t xml:space="preserve">Everything on this sheet is calculated. Change only the yellow settings.</t>
  </si>
  <si>
    <t xml:space="preserve">Relative gut length by species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</si>
  <si>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</si>
  <si>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</si>
  <si>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</si>
  <si>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</si>
  <si>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</si>
  <si>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</si>
  <si>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</si>
  <si>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One-way analysis of variance</t>
  </si>
  <si>
    <t xml:space="preserve">Total observations</t>
  </si>
  <si>
    <t xml:space="preserve">Grand mean</t>
  </si>
  <si>
    <t xml:space="preserve">Sum of squares between groups</t>
  </si>
  <si>
    <t xml:space="preserve">Sum of squares within groups</t>
  </si>
  <si>
    <t xml:space="preserve">F ratio</t>
  </si>
  <si>
    <t xml:space="preserve">p value</t>
  </si>
  <si>
    <t xml:space="preserve">Pair (Welch t tests)</t>
  </si>
  <si>
    <t xml:space="preserve">Difference in means</t>
  </si>
  <si>
    <t xml:space="preserve">p (unadjusted)</t>
  </si>
  <si>
    <t xml:space="preserve">p (Bonferroni)</t>
  </si>
  <si>
    <t xml:space="preserve">Relative gut length against standard length within each species</t>
  </si>
  <si>
    <t xml:space="preserve">Species</t>
  </si>
  <si>
    <t xml:space="preserve">Correlation</t>
  </si>
  <si>
    <t xml:space="preserve">Fish</t>
  </si>
  <si>
    <t xml:space="preserve">t</t>
  </si>
  <si>
    <t xml:space="preserve">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</si>
</sst>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"/>
    <numFmt numFmtId="167" formatCode="0.000"/>
    <numFmt numFmtId="168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3" t="s">
        <v>11</v>
      </c>
    </row>
    <row r="17" customFormat="false" ht="23.8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6" t="s">
        <v>13</v>
      </c>
    </row>
    <row r="20" customFormat="false" ht="15" hidden="false" customHeight="false" outlineLevel="0" collapsed="false">
      <c r="B20" s="2"/>
    </row>
    <row r="21" customFormat="false" ht="22.35" hidden="false" customHeight="false" outlineLevel="0" collapsed="false">
      <c r="B21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  <c r="C5" s="10" t="s">
        <v>20</v>
      </c>
    </row>
    <row r="6" customFormat="false" ht="15" hidden="false" customHeight="false" outlineLevel="0" collapsed="false">
      <c r="A6" s="11" t="s">
        <v>21</v>
      </c>
      <c r="B6" s="11" t="s">
        <v>22</v>
      </c>
      <c r="C6" s="11" t="s">
        <v>23</v>
      </c>
    </row>
    <row r="9" customFormat="false" ht="15" hidden="false" customHeight="false" outlineLevel="0" collapsed="false">
      <c r="A9" s="9" t="s">
        <v>24</v>
      </c>
    </row>
    <row r="10" customFormat="false" ht="31.5" hidden="false" customHeight="true" outlineLevel="0" collapsed="false">
      <c r="A10" s="10" t="s">
        <v>25</v>
      </c>
      <c r="B10" s="10" t="s">
        <v>26</v>
      </c>
      <c r="C10" s="10" t="s">
        <v>27</v>
      </c>
    </row>
    <row r="11" customFormat="false" ht="15" hidden="false" customHeight="false" outlineLevel="0" collapsed="false">
      <c r="A11" s="12" t="n">
        <v>180</v>
      </c>
      <c r="B11" s="12" t="n">
        <v>468</v>
      </c>
    </row>
    <row r="12" customFormat="false" ht="15" hidden="false" customHeight="false" outlineLevel="0" collapsed="false">
      <c r="A12" s="11" t="n">
        <v>206</v>
      </c>
      <c r="B12" s="11" t="n">
        <v>490</v>
      </c>
      <c r="C12" s="13" t="n">
        <f aca="false">IF(AND(ISNUMBER(A12),ISNUMBER(B12)),B12/A12,"")</f>
        <v>2.37864077669903</v>
      </c>
    </row>
    <row r="13" customFormat="false" ht="15" hidden="false" customHeight="false" outlineLevel="0" collapsed="false">
      <c r="A13" s="11" t="n">
        <v>224</v>
      </c>
      <c r="B13" s="11" t="n">
        <v>605</v>
      </c>
      <c r="C13" s="13" t="n">
        <f aca="false">IF(AND(ISNUMBER(A13),ISNUMBER(B13)),B13/A13,"")</f>
        <v>2.70089285714286</v>
      </c>
    </row>
    <row r="14" customFormat="false" ht="15" hidden="false" customHeight="false" outlineLevel="0" collapsed="false">
      <c r="A14" s="11" t="n">
        <v>116</v>
      </c>
      <c r="B14" s="11" t="n">
        <v>284</v>
      </c>
      <c r="C14" s="13" t="n">
        <f aca="false">IF(AND(ISNUMBER(A14),ISNUMBER(B14)),B14/A14,"")</f>
        <v>2.44827586206897</v>
      </c>
    </row>
    <row r="15" customFormat="false" ht="15" hidden="false" customHeight="false" outlineLevel="0" collapsed="false">
      <c r="A15" s="11" t="n">
        <v>177</v>
      </c>
      <c r="B15" s="11" t="n">
        <v>519</v>
      </c>
      <c r="C15" s="13" t="n">
        <f aca="false">IF(AND(ISNUMBER(A15),ISNUMBER(B15)),B15/A15,"")</f>
        <v>2.93220338983051</v>
      </c>
    </row>
    <row r="16" customFormat="false" ht="15" hidden="false" customHeight="false" outlineLevel="0" collapsed="false">
      <c r="A16" s="11" t="n">
        <v>205</v>
      </c>
      <c r="B16" s="11" t="n">
        <v>602</v>
      </c>
      <c r="C16" s="13" t="n">
        <f aca="false">IF(AND(ISNUMBER(A16),ISNUMBER(B16)),B16/A16,"")</f>
        <v>2.93658536585366</v>
      </c>
    </row>
    <row r="17" customFormat="false" ht="15" hidden="false" customHeight="false" outlineLevel="0" collapsed="false">
      <c r="A17" s="11" t="n">
        <v>214</v>
      </c>
      <c r="B17" s="11" t="n">
        <v>656</v>
      </c>
      <c r="C17" s="13" t="n">
        <f aca="false">IF(AND(ISNUMBER(A17),ISNUMBER(B17)),B17/A17,"")</f>
        <v>3.06542056074766</v>
      </c>
    </row>
    <row r="18" customFormat="false" ht="15" hidden="false" customHeight="false" outlineLevel="0" collapsed="false">
      <c r="A18" s="11" t="n">
        <v>196</v>
      </c>
      <c r="B18" s="11" t="n">
        <v>508</v>
      </c>
      <c r="C18" s="13" t="n">
        <f aca="false">IF(AND(ISNUMBER(A18),ISNUMBER(B18)),B18/A18,"")</f>
        <v>2.59183673469388</v>
      </c>
    </row>
    <row r="19" customFormat="false" ht="15" hidden="false" customHeight="false" outlineLevel="0" collapsed="false">
      <c r="A19" s="11" t="n">
        <v>217</v>
      </c>
      <c r="B19" s="11" t="n">
        <v>642</v>
      </c>
      <c r="C19" s="13" t="n">
        <f aca="false">IF(AND(ISNUMBER(A19),ISNUMBER(B19)),B19/A19,"")</f>
        <v>2.95852534562212</v>
      </c>
    </row>
    <row r="20" customFormat="false" ht="15" hidden="false" customHeight="false" outlineLevel="0" collapsed="false">
      <c r="A20" s="11" t="n">
        <v>187</v>
      </c>
      <c r="B20" s="11" t="n">
        <v>442</v>
      </c>
      <c r="C20" s="13" t="n">
        <f aca="false">IF(AND(ISNUMBER(A20),ISNUMBER(B20)),B20/A20,"")</f>
        <v>2.36363636363636</v>
      </c>
    </row>
    <row r="21" customFormat="false" ht="15" hidden="false" customHeight="false" outlineLevel="0" collapsed="false">
      <c r="A21" s="11" t="n">
        <v>194</v>
      </c>
      <c r="B21" s="11" t="n">
        <v>463</v>
      </c>
      <c r="C21" s="13" t="n">
        <f aca="false">IF(AND(ISNUMBER(A21),ISNUMBER(B21)),B21/A21,"")</f>
        <v>2.38659793814433</v>
      </c>
    </row>
    <row r="22" customFormat="false" ht="15" hidden="false" customHeight="false" outlineLevel="0" collapsed="false">
      <c r="A22" s="11" t="n">
        <v>184</v>
      </c>
      <c r="B22" s="11" t="n">
        <v>482</v>
      </c>
      <c r="C22" s="13" t="n">
        <f aca="false">IF(AND(ISNUMBER(A22),ISNUMBER(B22)),B22/A22,"")</f>
        <v>2.6195652173913</v>
      </c>
    </row>
    <row r="23" customFormat="false" ht="15" hidden="false" customHeight="false" outlineLevel="0" collapsed="false">
      <c r="A23" s="11" t="n">
        <v>153</v>
      </c>
      <c r="B23" s="11" t="n">
        <v>409</v>
      </c>
      <c r="C23" s="13" t="n">
        <f aca="false">IF(AND(ISNUMBER(A23),ISNUMBER(B23)),B23/A23,"")</f>
        <v>2.67320261437909</v>
      </c>
    </row>
    <row r="24" customFormat="false" ht="15" hidden="false" customHeight="false" outlineLevel="0" collapsed="false">
      <c r="A24" s="11"/>
      <c r="B24" s="11"/>
      <c r="C24" s="13" t="str">
        <f aca="false">IF(AND(ISNUMBER(A24),ISNUMBER(B24)),B24/A24,"")</f>
        <v/>
      </c>
    </row>
    <row r="25" customFormat="false" ht="15" hidden="false" customHeight="false" outlineLevel="0" collapsed="false">
      <c r="A25" s="11"/>
      <c r="B25" s="11"/>
      <c r="C25" s="13" t="str">
        <f aca="false">IF(AND(ISNUMBER(A25),ISNUMBER(B25)),B25/A25,"")</f>
        <v/>
      </c>
    </row>
    <row r="26" customFormat="false" ht="15" hidden="false" customHeight="false" outlineLevel="0" collapsed="false">
      <c r="A26" s="11"/>
      <c r="B26" s="11"/>
      <c r="C26" s="13" t="str">
        <f aca="false">IF(AND(ISNUMBER(A26),ISNUMBER(B26)),B26/A26,"")</f>
        <v/>
      </c>
    </row>
    <row r="29" customFormat="false" ht="15" hidden="false" customHeight="false" outlineLevel="0" collapsed="false">
      <c r="A29" s="9" t="s">
        <v>28</v>
      </c>
    </row>
    <row r="30" customFormat="false" ht="31.5" hidden="false" customHeight="true" outlineLevel="0" collapsed="false">
      <c r="A30" s="10" t="s">
        <v>25</v>
      </c>
      <c r="B30" s="10" t="s">
        <v>26</v>
      </c>
      <c r="C30" s="10" t="s">
        <v>27</v>
      </c>
    </row>
    <row r="31" customFormat="false" ht="15" hidden="false" customHeight="false" outlineLevel="0" collapsed="false">
      <c r="A31" s="12" t="n">
        <v>180</v>
      </c>
      <c r="B31" s="12" t="n">
        <v>468</v>
      </c>
    </row>
    <row r="32" customFormat="false" ht="15" hidden="false" customHeight="false" outlineLevel="0" collapsed="false">
      <c r="A32" s="11" t="n">
        <v>140</v>
      </c>
      <c r="B32" s="11" t="n">
        <v>192</v>
      </c>
      <c r="C32" s="13" t="n">
        <f aca="false">IF(AND(ISNUMBER(A32),ISNUMBER(B32)),B32/A32,"")</f>
        <v>1.37142857142857</v>
      </c>
    </row>
    <row r="33" customFormat="false" ht="15" hidden="false" customHeight="false" outlineLevel="0" collapsed="false">
      <c r="A33" s="11" t="n">
        <v>137</v>
      </c>
      <c r="B33" s="11" t="n">
        <v>179</v>
      </c>
      <c r="C33" s="13" t="n">
        <f aca="false">IF(AND(ISNUMBER(A33),ISNUMBER(B33)),B33/A33,"")</f>
        <v>1.30656934306569</v>
      </c>
    </row>
    <row r="34" customFormat="false" ht="15" hidden="false" customHeight="false" outlineLevel="0" collapsed="false">
      <c r="A34" s="11" t="n">
        <v>189</v>
      </c>
      <c r="B34" s="11" t="n">
        <v>280</v>
      </c>
      <c r="C34" s="13" t="n">
        <f aca="false">IF(AND(ISNUMBER(A34),ISNUMBER(B34)),B34/A34,"")</f>
        <v>1.48148148148148</v>
      </c>
    </row>
    <row r="35" customFormat="false" ht="15" hidden="false" customHeight="false" outlineLevel="0" collapsed="false">
      <c r="A35" s="11" t="n">
        <v>158</v>
      </c>
      <c r="B35" s="11" t="n">
        <v>222</v>
      </c>
      <c r="C35" s="13" t="n">
        <f aca="false">IF(AND(ISNUMBER(A35),ISNUMBER(B35)),B35/A35,"")</f>
        <v>1.40506329113924</v>
      </c>
    </row>
    <row r="36" customFormat="false" ht="15" hidden="false" customHeight="false" outlineLevel="0" collapsed="false">
      <c r="A36" s="11" t="n">
        <v>210</v>
      </c>
      <c r="B36" s="11" t="n">
        <v>269</v>
      </c>
      <c r="C36" s="13" t="n">
        <f aca="false">IF(AND(ISNUMBER(A36),ISNUMBER(B36)),B36/A36,"")</f>
        <v>1.28095238095238</v>
      </c>
    </row>
    <row r="37" customFormat="false" ht="15" hidden="false" customHeight="false" outlineLevel="0" collapsed="false">
      <c r="A37" s="11" t="n">
        <v>190</v>
      </c>
      <c r="B37" s="11" t="n">
        <v>319</v>
      </c>
      <c r="C37" s="13" t="n">
        <f aca="false">IF(AND(ISNUMBER(A37),ISNUMBER(B37)),B37/A37,"")</f>
        <v>1.67894736842105</v>
      </c>
    </row>
    <row r="38" customFormat="false" ht="15" hidden="false" customHeight="false" outlineLevel="0" collapsed="false">
      <c r="A38" s="11" t="n">
        <v>188</v>
      </c>
      <c r="B38" s="11" t="n">
        <v>254</v>
      </c>
      <c r="C38" s="13" t="n">
        <f aca="false">IF(AND(ISNUMBER(A38),ISNUMBER(B38)),B38/A38,"")</f>
        <v>1.35106382978723</v>
      </c>
    </row>
    <row r="39" customFormat="false" ht="15" hidden="false" customHeight="false" outlineLevel="0" collapsed="false">
      <c r="A39" s="11" t="n">
        <v>185</v>
      </c>
      <c r="B39" s="11" t="n">
        <v>256</v>
      </c>
      <c r="C39" s="13" t="n">
        <f aca="false">IF(AND(ISNUMBER(A39),ISNUMBER(B39)),B39/A39,"")</f>
        <v>1.38378378378378</v>
      </c>
    </row>
    <row r="40" customFormat="false" ht="15" hidden="false" customHeight="false" outlineLevel="0" collapsed="false">
      <c r="A40" s="11" t="n">
        <v>202</v>
      </c>
      <c r="B40" s="11" t="n">
        <v>294</v>
      </c>
      <c r="C40" s="13" t="n">
        <f aca="false">IF(AND(ISNUMBER(A40),ISNUMBER(B40)),B40/A40,"")</f>
        <v>1.45544554455446</v>
      </c>
    </row>
    <row r="41" customFormat="false" ht="15" hidden="false" customHeight="false" outlineLevel="0" collapsed="false">
      <c r="A41" s="11" t="n">
        <v>176</v>
      </c>
      <c r="B41" s="11" t="n">
        <v>289</v>
      </c>
      <c r="C41" s="13" t="n">
        <f aca="false">IF(AND(ISNUMBER(A41),ISNUMBER(B41)),B41/A41,"")</f>
        <v>1.64204545454545</v>
      </c>
    </row>
    <row r="42" customFormat="false" ht="15" hidden="false" customHeight="false" outlineLevel="0" collapsed="false">
      <c r="A42" s="11" t="n">
        <v>207</v>
      </c>
      <c r="B42" s="11" t="n">
        <v>285</v>
      </c>
      <c r="C42" s="13" t="n">
        <f aca="false">IF(AND(ISNUMBER(A42),ISNUMBER(B42)),B42/A42,"")</f>
        <v>1.3768115942029</v>
      </c>
    </row>
    <row r="43" customFormat="false" ht="15" hidden="false" customHeight="false" outlineLevel="0" collapsed="false">
      <c r="A43" s="11" t="n">
        <v>167</v>
      </c>
      <c r="B43" s="11" t="n">
        <v>250</v>
      </c>
      <c r="C43" s="13" t="n">
        <f aca="false">IF(AND(ISNUMBER(A43),ISNUMBER(B43)),B43/A43,"")</f>
        <v>1.49700598802395</v>
      </c>
    </row>
    <row r="44" customFormat="false" ht="15" hidden="false" customHeight="false" outlineLevel="0" collapsed="false">
      <c r="A44" s="11"/>
      <c r="B44" s="11"/>
      <c r="C44" s="13" t="str">
        <f aca="false">IF(AND(ISNUMBER(A44),ISNUMBER(B44)),B44/A44,"")</f>
        <v/>
      </c>
    </row>
    <row r="45" customFormat="false" ht="15" hidden="false" customHeight="false" outlineLevel="0" collapsed="false">
      <c r="A45" s="11"/>
      <c r="B45" s="11"/>
      <c r="C45" s="13" t="str">
        <f aca="false">IF(AND(ISNUMBER(A45),ISNUMBER(B45)),B45/A45,"")</f>
        <v/>
      </c>
    </row>
    <row r="46" customFormat="false" ht="15" hidden="false" customHeight="false" outlineLevel="0" collapsed="false">
      <c r="A46" s="11"/>
      <c r="B46" s="11"/>
      <c r="C46" s="13" t="str">
        <f aca="false">IF(AND(ISNUMBER(A46),ISNUMBER(B46)),B46/A46,"")</f>
        <v/>
      </c>
    </row>
    <row r="49" customFormat="false" ht="15" hidden="false" customHeight="false" outlineLevel="0" collapsed="false">
      <c r="A49" s="9" t="s">
        <v>29</v>
      </c>
    </row>
    <row r="50" customFormat="false" ht="31.5" hidden="false" customHeight="true" outlineLevel="0" collapsed="false">
      <c r="A50" s="10" t="s">
        <v>25</v>
      </c>
      <c r="B50" s="10" t="s">
        <v>26</v>
      </c>
      <c r="C50" s="10" t="s">
        <v>27</v>
      </c>
    </row>
    <row r="51" customFormat="false" ht="15" hidden="false" customHeight="false" outlineLevel="0" collapsed="false">
      <c r="A51" s="12" t="n">
        <v>180</v>
      </c>
      <c r="B51" s="12" t="n">
        <v>468</v>
      </c>
    </row>
    <row r="52" customFormat="false" ht="15" hidden="false" customHeight="false" outlineLevel="0" collapsed="false">
      <c r="A52" s="11" t="n">
        <v>182</v>
      </c>
      <c r="B52" s="11" t="n">
        <v>160</v>
      </c>
      <c r="C52" s="13" t="n">
        <f aca="false">IF(AND(ISNUMBER(A52),ISNUMBER(B52)),B52/A52,"")</f>
        <v>0.879120879120879</v>
      </c>
    </row>
    <row r="53" customFormat="false" ht="15" hidden="false" customHeight="false" outlineLevel="0" collapsed="false">
      <c r="A53" s="11" t="n">
        <v>143</v>
      </c>
      <c r="B53" s="11" t="n">
        <v>115</v>
      </c>
      <c r="C53" s="13" t="n">
        <f aca="false">IF(AND(ISNUMBER(A53),ISNUMBER(B53)),B53/A53,"")</f>
        <v>0.804195804195804</v>
      </c>
    </row>
    <row r="54" customFormat="false" ht="15" hidden="false" customHeight="false" outlineLevel="0" collapsed="false">
      <c r="A54" s="11" t="n">
        <v>200</v>
      </c>
      <c r="B54" s="11" t="n">
        <v>169</v>
      </c>
      <c r="C54" s="13" t="n">
        <f aca="false">IF(AND(ISNUMBER(A54),ISNUMBER(B54)),B54/A54,"")</f>
        <v>0.845</v>
      </c>
    </row>
    <row r="55" customFormat="false" ht="15" hidden="false" customHeight="false" outlineLevel="0" collapsed="false">
      <c r="A55" s="11" t="n">
        <v>206</v>
      </c>
      <c r="B55" s="11" t="n">
        <v>189</v>
      </c>
      <c r="C55" s="13" t="n">
        <f aca="false">IF(AND(ISNUMBER(A55),ISNUMBER(B55)),B55/A55,"")</f>
        <v>0.91747572815534</v>
      </c>
    </row>
    <row r="56" customFormat="false" ht="15" hidden="false" customHeight="false" outlineLevel="0" collapsed="false">
      <c r="A56" s="11" t="n">
        <v>174</v>
      </c>
      <c r="B56" s="11" t="n">
        <v>122</v>
      </c>
      <c r="C56" s="13" t="n">
        <f aca="false">IF(AND(ISNUMBER(A56),ISNUMBER(B56)),B56/A56,"")</f>
        <v>0.701149425287356</v>
      </c>
    </row>
    <row r="57" customFormat="false" ht="15" hidden="false" customHeight="false" outlineLevel="0" collapsed="false">
      <c r="A57" s="11" t="n">
        <v>180</v>
      </c>
      <c r="B57" s="11" t="n">
        <v>155</v>
      </c>
      <c r="C57" s="13" t="n">
        <f aca="false">IF(AND(ISNUMBER(A57),ISNUMBER(B57)),B57/A57,"")</f>
        <v>0.861111111111111</v>
      </c>
    </row>
    <row r="58" customFormat="false" ht="15" hidden="false" customHeight="false" outlineLevel="0" collapsed="false">
      <c r="A58" s="11" t="n">
        <v>142</v>
      </c>
      <c r="B58" s="11" t="n">
        <v>92</v>
      </c>
      <c r="C58" s="13" t="n">
        <f aca="false">IF(AND(ISNUMBER(A58),ISNUMBER(B58)),B58/A58,"")</f>
        <v>0.647887323943662</v>
      </c>
    </row>
    <row r="59" customFormat="false" ht="15" hidden="false" customHeight="false" outlineLevel="0" collapsed="false">
      <c r="A59" s="11" t="n">
        <v>142</v>
      </c>
      <c r="B59" s="11" t="n">
        <v>119</v>
      </c>
      <c r="C59" s="13" t="n">
        <f aca="false">IF(AND(ISNUMBER(A59),ISNUMBER(B59)),B59/A59,"")</f>
        <v>0.838028169014085</v>
      </c>
    </row>
    <row r="60" customFormat="false" ht="15" hidden="false" customHeight="false" outlineLevel="0" collapsed="false">
      <c r="A60" s="11" t="n">
        <v>170</v>
      </c>
      <c r="B60" s="11" t="n">
        <v>139</v>
      </c>
      <c r="C60" s="13" t="n">
        <f aca="false">IF(AND(ISNUMBER(A60),ISNUMBER(B60)),B60/A60,"")</f>
        <v>0.817647058823529</v>
      </c>
    </row>
    <row r="61" customFormat="false" ht="15" hidden="false" customHeight="false" outlineLevel="0" collapsed="false">
      <c r="A61" s="11" t="n">
        <v>196</v>
      </c>
      <c r="B61" s="11" t="n">
        <v>148</v>
      </c>
      <c r="C61" s="13" t="n">
        <f aca="false">IF(AND(ISNUMBER(A61),ISNUMBER(B61)),B61/A61,"")</f>
        <v>0.755102040816327</v>
      </c>
    </row>
    <row r="62" customFormat="false" ht="15" hidden="false" customHeight="false" outlineLevel="0" collapsed="false">
      <c r="A62" s="11" t="n">
        <v>168</v>
      </c>
      <c r="B62" s="11" t="n">
        <v>120</v>
      </c>
      <c r="C62" s="13" t="n">
        <f aca="false">IF(AND(ISNUMBER(A62),ISNUMBER(B62)),B62/A62,"")</f>
        <v>0.714285714285714</v>
      </c>
    </row>
    <row r="63" customFormat="false" ht="15" hidden="false" customHeight="false" outlineLevel="0" collapsed="false">
      <c r="A63" s="11" t="n">
        <v>187</v>
      </c>
      <c r="B63" s="11" t="n">
        <v>149</v>
      </c>
      <c r="C63" s="13" t="n">
        <f aca="false">IF(AND(ISNUMBER(A63),ISNUMBER(B63)),B63/A63,"")</f>
        <v>0.796791443850267</v>
      </c>
    </row>
    <row r="64" customFormat="false" ht="15" hidden="false" customHeight="false" outlineLevel="0" collapsed="false">
      <c r="A64" s="11"/>
      <c r="B64" s="11"/>
      <c r="C64" s="13" t="str">
        <f aca="false">IF(AND(ISNUMBER(A64),ISNUMBER(B64)),B64/A64,"")</f>
        <v/>
      </c>
    </row>
    <row r="65" customFormat="false" ht="15" hidden="false" customHeight="false" outlineLevel="0" collapsed="false">
      <c r="A65" s="11"/>
      <c r="B65" s="11"/>
      <c r="C65" s="13" t="str">
        <f aca="false">IF(AND(ISNUMBER(A65),ISNUMBER(B65)),B65/A65,"")</f>
        <v/>
      </c>
    </row>
    <row r="66" customFormat="false" ht="15" hidden="false" customHeight="false" outlineLevel="0" collapsed="false">
      <c r="A66" s="11"/>
      <c r="B66" s="11"/>
      <c r="C66" s="13" t="str">
        <f aca="false">IF(AND(ISNUMBER(A66),ISNUMBER(B66)),B66/A66,"")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12:B26 A32:B46 A52:B6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30</v>
      </c>
    </row>
    <row r="2" customFormat="false" ht="15" hidden="false" customHeight="false" outlineLevel="0" collapsed="false">
      <c r="B2" s="8" t="s">
        <v>31</v>
      </c>
    </row>
    <row r="4" customFormat="false" ht="15" hidden="false" customHeight="false" outlineLevel="0" collapsed="false">
      <c r="B4" s="9" t="s">
        <v>32</v>
      </c>
    </row>
    <row r="5" customFormat="false" ht="30" hidden="false" customHeight="true" outlineLevel="0" collapsed="false">
      <c r="B5" s="10" t="s">
        <v>33</v>
      </c>
      <c r="C5" s="10" t="s">
        <v>34</v>
      </c>
      <c r="D5" s="10" t="s">
        <v>35</v>
      </c>
      <c r="E5" s="10" t="s">
        <v>36</v>
      </c>
      <c r="F5" s="10" t="s">
        <v>37</v>
      </c>
      <c r="G5" s="10" t="s">
        <v>38</v>
      </c>
      <c r="H5" s="10" t="s">
        <v>39</v>
      </c>
    </row>
    <row r="6" customFormat="false" ht="15" hidden="false" customHeight="false" outlineLevel="0" collapsed="false">
      <c r="B6" s="14" t="str">
        <f aca="false">IFERROR('Enter data'!$A$6,"")</f>
        <v>species A</v>
      </c>
      <c r="C6" s="15" t="n">
        <f aca="false">IFERROR(COUNT('Enter data'!$C$12:$C$26),"")</f>
        <v>12</v>
      </c>
      <c r="D6" s="16" t="n">
        <f aca="false">IFERROR(AVERAGE('Enter data'!$C$12:$C$26),"")</f>
        <v>2.67128191885081</v>
      </c>
      <c r="E6" s="16" t="n">
        <f aca="false">IFERROR(STDEV('Enter data'!$C$12:$C$26),"")</f>
        <v>0.251766113587092</v>
      </c>
      <c r="F6" s="16" t="n">
        <f aca="false">IFERROR(STDEV('Enter data'!$C$12:$C$26)/SQRT(COUNT('Enter data'!$C$12:$C$26)),"")</f>
        <v>0.0726786167261666</v>
      </c>
      <c r="G6" s="16" t="n">
        <f aca="false">IFERROR(MIN('Enter data'!$C$12:$C$26),"")</f>
        <v>2.36363636363636</v>
      </c>
      <c r="H6" s="16" t="n">
        <f aca="false">IFERROR(MAX('Enter data'!$C$12:$C$26),"")</f>
        <v>3.06542056074766</v>
      </c>
    </row>
    <row r="7" customFormat="false" ht="15" hidden="false" customHeight="false" outlineLevel="0" collapsed="false">
      <c r="B7" s="14" t="str">
        <f aca="false">IFERROR('Enter data'!$B$6,"")</f>
        <v>species B</v>
      </c>
      <c r="C7" s="15" t="n">
        <f aca="false">IFERROR(COUNT('Enter data'!$C$32:$C$46),"")</f>
        <v>12</v>
      </c>
      <c r="D7" s="16" t="n">
        <f aca="false">IFERROR(AVERAGE('Enter data'!$C$32:$C$46),"")</f>
        <v>1.43588321928218</v>
      </c>
      <c r="E7" s="16" t="n">
        <f aca="false">IFERROR(STDEV('Enter data'!$C$32:$C$46),"")</f>
        <v>0.123217832439176</v>
      </c>
      <c r="F7" s="16" t="n">
        <f aca="false">IFERROR(STDEV('Enter data'!$C$32:$C$46)/SQRT(COUNT('Enter data'!$C$32:$C$46)),"")</f>
        <v>0.0355699243638604</v>
      </c>
      <c r="G7" s="16" t="n">
        <f aca="false">IFERROR(MIN('Enter data'!$C$32:$C$46),"")</f>
        <v>1.28095238095238</v>
      </c>
      <c r="H7" s="16" t="n">
        <f aca="false">IFERROR(MAX('Enter data'!$C$32:$C$46),"")</f>
        <v>1.67894736842105</v>
      </c>
    </row>
    <row r="8" customFormat="false" ht="15" hidden="false" customHeight="false" outlineLevel="0" collapsed="false">
      <c r="B8" s="14" t="str">
        <f aca="false">IFERROR('Enter data'!$C$6,"")</f>
        <v>species C</v>
      </c>
      <c r="C8" s="15" t="n">
        <f aca="false">IFERROR(COUNT('Enter data'!$C$52:$C$66),"")</f>
        <v>12</v>
      </c>
      <c r="D8" s="16" t="n">
        <f aca="false">IFERROR(AVERAGE('Enter data'!$C$52:$C$66),"")</f>
        <v>0.798149558217006</v>
      </c>
      <c r="E8" s="16" t="n">
        <f aca="false">IFERROR(STDEV('Enter data'!$C$52:$C$66),"")</f>
        <v>0.0796795093334002</v>
      </c>
      <c r="F8" s="16" t="n">
        <f aca="false">IFERROR(STDEV('Enter data'!$C$52:$C$66)/SQRT(COUNT('Enter data'!$C$52:$C$66)),"")</f>
        <v>0.0230014930812679</v>
      </c>
      <c r="G8" s="16" t="n">
        <f aca="false">IFERROR(MIN('Enter data'!$C$52:$C$66),"")</f>
        <v>0.647887323943662</v>
      </c>
      <c r="H8" s="16" t="n">
        <f aca="false">IFERROR(MAX('Enter data'!$C$52:$C$66),"")</f>
        <v>0.91747572815534</v>
      </c>
    </row>
    <row r="11" customFormat="false" ht="15" hidden="false" customHeight="false" outlineLevel="0" collapsed="false">
      <c r="B11" s="9" t="s">
        <v>40</v>
      </c>
    </row>
    <row r="12" customFormat="false" ht="15" hidden="false" customHeight="false" outlineLevel="0" collapsed="false">
      <c r="B12" s="17" t="s">
        <v>41</v>
      </c>
      <c r="C12" s="18" t="n">
        <f aca="false">IFERROR(SUM($C$6:$C$8),"")</f>
        <v>36</v>
      </c>
    </row>
    <row r="13" customFormat="false" ht="15" hidden="false" customHeight="false" outlineLevel="0" collapsed="false">
      <c r="B13" s="17" t="s">
        <v>42</v>
      </c>
      <c r="C13" s="19" t="n">
        <f aca="false">IFERROR(SUMPRODUCT($C$6:$C$8,$D$6:$D$8)/$C$12,"")</f>
        <v>1.63510489878333</v>
      </c>
    </row>
    <row r="14" customFormat="false" ht="15" hidden="false" customHeight="false" outlineLevel="0" collapsed="false">
      <c r="B14" s="17" t="s">
        <v>43</v>
      </c>
      <c r="C14" s="19" t="n">
        <f aca="false">IFERROR(SUMPRODUCT($C$6:$C$8,($D$6:$D$8-$C$13)^2),"")</f>
        <v>21.7661560392201</v>
      </c>
    </row>
    <row r="15" customFormat="false" ht="15" hidden="false" customHeight="false" outlineLevel="0" collapsed="false">
      <c r="B15" s="17" t="s">
        <v>44</v>
      </c>
      <c r="C15" s="19" t="n">
        <f aca="false">IFERROR(SUMPRODUCT($C$6:$C$8-1,$E$6:$E$8^2),"")</f>
        <v>0.934093978283055</v>
      </c>
    </row>
    <row r="16" customFormat="false" ht="15" hidden="false" customHeight="false" outlineLevel="0" collapsed="false">
      <c r="B16" s="17" t="s">
        <v>45</v>
      </c>
      <c r="C16" s="20" t="n">
        <f aca="false">IFERROR(($C$14/(3-1))/($C$15/($C$12-3)),"")</f>
        <v>384.481201032112</v>
      </c>
    </row>
    <row r="17" customFormat="false" ht="15" hidden="false" customHeight="false" outlineLevel="0" collapsed="false">
      <c r="B17" s="17" t="s">
        <v>46</v>
      </c>
      <c r="C17" s="21" t="n">
        <f aca="false">IFERROR(FDIST($C$16,3-1,$C$12-3),"")</f>
        <v>1.37068883810045E-023</v>
      </c>
    </row>
    <row r="18" customFormat="false" ht="30" hidden="false" customHeight="true" outlineLevel="0" collapsed="false">
      <c r="B18" s="10" t="s">
        <v>47</v>
      </c>
      <c r="C18" s="10" t="s">
        <v>48</v>
      </c>
      <c r="D18" s="10" t="s">
        <v>49</v>
      </c>
      <c r="E18" s="10" t="s">
        <v>50</v>
      </c>
    </row>
    <row r="19" customFormat="false" ht="15" hidden="false" customHeight="false" outlineLevel="0" collapsed="false">
      <c r="B19" s="14" t="str">
        <f aca="false">IFERROR('Enter data'!$A$6&amp;" vs "&amp;'Enter data'!$B$6,"")</f>
        <v>species A vs species B</v>
      </c>
      <c r="C19" s="22" t="n">
        <f aca="false">IFERROR($D$6-$D$7,"")</f>
        <v>1.23539869956863</v>
      </c>
      <c r="D19" s="23" t="n">
        <f aca="false">IFERROR(TTEST('Enter data'!$C$12:$C$26,'Enter data'!$C$32:$C$46,2,3),"")</f>
        <v>5.94904861339401E-011</v>
      </c>
      <c r="E19" s="23" t="n">
        <f aca="false">IFERROR(MIN(1,3*D19),"")</f>
        <v>1.7847145840182E-010</v>
      </c>
    </row>
    <row r="20" customFormat="false" ht="15" hidden="false" customHeight="false" outlineLevel="0" collapsed="false">
      <c r="B20" s="14" t="str">
        <f aca="false">IFERROR('Enter data'!$A$6&amp;" vs "&amp;'Enter data'!$C$6,"")</f>
        <v>species A vs species C</v>
      </c>
      <c r="C20" s="22" t="n">
        <f aca="false">IFERROR($D$6-$D$8,"")</f>
        <v>1.87313236063381</v>
      </c>
      <c r="D20" s="23" t="n">
        <f aca="false">IFERROR(TTEST('Enter data'!$C$12:$C$26,'Enter data'!$C$52:$C$66,2,3),"")</f>
        <v>2.13444330805266E-012</v>
      </c>
      <c r="E20" s="23" t="n">
        <f aca="false">IFERROR(MIN(1,3*D20),"")</f>
        <v>6.40332992415798E-012</v>
      </c>
    </row>
    <row r="21" customFormat="false" ht="15" hidden="false" customHeight="false" outlineLevel="0" collapsed="false">
      <c r="B21" s="14" t="str">
        <f aca="false">IFERROR('Enter data'!$B$6&amp;" vs "&amp;'Enter data'!$C$6,"")</f>
        <v>species B vs species C</v>
      </c>
      <c r="C21" s="22" t="n">
        <f aca="false">IFERROR($D$7-$D$8,"")</f>
        <v>0.637733661065177</v>
      </c>
      <c r="D21" s="23" t="n">
        <f aca="false">IFERROR(TTEST('Enter data'!$C$32:$C$46,'Enter data'!$C$52:$C$66,2,3),"")</f>
        <v>5.95214321439811E-012</v>
      </c>
      <c r="E21" s="23" t="n">
        <f aca="false">IFERROR(MIN(1,3*D21),"")</f>
        <v>1.78564296431943E-011</v>
      </c>
    </row>
    <row r="24" customFormat="false" ht="15" hidden="false" customHeight="false" outlineLevel="0" collapsed="false">
      <c r="B24" s="9" t="s">
        <v>51</v>
      </c>
    </row>
    <row r="25" customFormat="false" ht="30" hidden="false" customHeight="true" outlineLevel="0" collapsed="false">
      <c r="B25" s="10" t="s">
        <v>52</v>
      </c>
      <c r="C25" s="10" t="s">
        <v>53</v>
      </c>
      <c r="D25" s="10" t="s">
        <v>54</v>
      </c>
      <c r="E25" s="10" t="s">
        <v>55</v>
      </c>
      <c r="F25" s="10" t="s">
        <v>56</v>
      </c>
    </row>
    <row r="26" customFormat="false" ht="15" hidden="false" customHeight="false" outlineLevel="0" collapsed="false">
      <c r="B26" s="14" t="str">
        <f aca="false">IFERROR(IF('Enter data'!$A$6="","",'Enter data'!$A$6),"")</f>
        <v>species A</v>
      </c>
      <c r="C26" s="22" t="n">
        <f aca="false">IFERROR(CORREL('Enter data'!$A$12:$A$26,'Enter data'!$C$12:$C$26),"")</f>
        <v>0.360504994850478</v>
      </c>
      <c r="D26" s="15" t="n">
        <f aca="false">IFERROR(COUNT('Enter data'!$C$12:$C$26),"")</f>
        <v>12</v>
      </c>
      <c r="E26" s="22" t="n">
        <f aca="false">IFERROR(C26*SQRT((D26-2)/(1-C26^2)),"")</f>
        <v>1.22220100831143</v>
      </c>
      <c r="F26" s="23" t="n">
        <f aca="false">IFERROR(TDIST(ABS(E26),D26-2,2),"")</f>
        <v>0.249657619160229</v>
      </c>
    </row>
    <row r="27" customFormat="false" ht="15" hidden="false" customHeight="false" outlineLevel="0" collapsed="false">
      <c r="B27" s="14" t="str">
        <f aca="false">IFERROR(IF('Enter data'!$B$6="","",'Enter data'!$B$6),"")</f>
        <v>species B</v>
      </c>
      <c r="C27" s="22" t="n">
        <f aca="false">IFERROR(CORREL('Enter data'!$A$32:$A$46,'Enter data'!$C$32:$C$46),"")</f>
        <v>0.0998324496715163</v>
      </c>
      <c r="D27" s="15" t="n">
        <f aca="false">IFERROR(COUNT('Enter data'!$C$32:$C$46),"")</f>
        <v>12</v>
      </c>
      <c r="E27" s="22" t="n">
        <f aca="false">IFERROR(C27*SQRT((D27-2)/(1-C27^2)),"")</f>
        <v>0.317282987940957</v>
      </c>
      <c r="F27" s="23" t="n">
        <f aca="false">IFERROR(TDIST(ABS(E27),D27-2,2),"")</f>
        <v>0.757554219305567</v>
      </c>
    </row>
    <row r="28" customFormat="false" ht="15" hidden="false" customHeight="false" outlineLevel="0" collapsed="false">
      <c r="B28" s="14" t="str">
        <f aca="false">IFERROR(IF('Enter data'!$C$6="","",'Enter data'!$C$6),"")</f>
        <v>species C</v>
      </c>
      <c r="C28" s="22" t="n">
        <f aca="false">IFERROR(CORREL('Enter data'!$A$52:$A$66,'Enter data'!$C$52:$C$66),"")</f>
        <v>0.451891523391998</v>
      </c>
      <c r="D28" s="15" t="n">
        <f aca="false">IFERROR(COUNT('Enter data'!$C$52:$C$66),"")</f>
        <v>12</v>
      </c>
      <c r="E28" s="22" t="n">
        <f aca="false">IFERROR(C28*SQRT((D28-2)/(1-C28^2)),"")</f>
        <v>1.60189428046777</v>
      </c>
      <c r="F28" s="23" t="n">
        <f aca="false">IFERROR(TDIST(ABS(E28),D28-2,2),"")</f>
        <v>0.14026149010654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2026-10-01T00:30:15Z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2026-10-01T00:30:15Z</dcterms:modified>
  <cp:revision>0</cp:revision>
  <dc:subject/>
  <dc:title>ZOO-02 Gut length, diet, and body size in market fish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