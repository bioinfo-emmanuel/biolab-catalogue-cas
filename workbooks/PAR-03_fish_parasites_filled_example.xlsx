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<sst xmlns="http://schemas.openxmlformats.org/spreadsheetml/2006/main" count="133" uniqueCount="85">
  <si>
    <t xml:space="preserve">PAR-03  Fish parasite survey: prevalence, intensity, abundance</t>
  </si>
  <si>
    <t xml:space="preserve">Excel version of the card. It does the same calculations as the R script par03_fish_parasites.R.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</si>
  <si>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</si>
  <si>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</si>
  <si>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</si>
  <si>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</si>
  <si>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</si>
  <si>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</si>
  <si>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</si>
  <si>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</si>
  <si>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Bush AO, Lafferty KD, Lotz JM, Shostak AW (1997) J Parasitol 83:575-583: prevalence = infected hosts / hosts examined; mean intensity = parasites / infected hosts; mean abundance = parasites / all hosts examined.</t>
  </si>
  <si>
    <t xml:space="preserve">The fish is the unit of replication. Enter 0 for a fish with no parasites. Never eat raw or undercooked fish.</t>
  </si>
  <si>
    <t xml:space="preserve">Differences from the R script on the card</t>
  </si>
  <si>
    <t xml:space="preserve">The R script fits a negative binomial and gives the share of parasites carried by the most infected 20 percent of fish. Here aggregation is shown as the variance-to-mean ratio. Prevalence of the two groups is compared with a chi-square test (approximate when counts are small) instead of Fisher's exact test.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</si>
  <si>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</si>
  <si>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</si>
  <si>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</si>
  <si>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</si>
  <si>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Group names</t>
  </si>
  <si>
    <t xml:space="preserve">Group 1</t>
  </si>
  <si>
    <t xml:space="preserve">Group 2</t>
  </si>
  <si>
    <t xml:space="preserve">market</t>
  </si>
  <si>
    <t xml:space="preserve">pond</t>
  </si>
  <si>
    <t xml:space="preserve">2. Fish in group 1</t>
  </si>
  <si>
    <t xml:space="preserve">Fish</t>
  </si>
  <si>
    <t xml:space="preserve">Length (cm)</t>
  </si>
  <si>
    <t xml:space="preserve">Parasites counted (0 if none)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</si>
  <si>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</si>
  <si>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</si>
  <si>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</si>
  <si>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</si>
  <si>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</si>
  <si>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</si>
  <si>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</si>
  <si>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</si>
  <si>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</si>
  <si>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</si>
  <si>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</si>
  <si>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</si>
  <si>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</si>
  <si>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</si>
  <si>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</si>
  <si>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</si>
  <si>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</si>
  <si>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</si>
  <si>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</si>
  <si>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</si>
  <si>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</si>
  <si>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</si>
  <si>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</si>
  <si>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</si>
  <si>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</si>
  <si>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</si>
  <si>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</si>
  <si>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</si>
  <si>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</si>
  <si>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</si>
  <si>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F31</t>
  </si>
  <si>
    <t xml:space="preserve">F32</t>
  </si>
  <si>
    <t xml:space="preserve">F33</t>
  </si>
  <si>
    <t xml:space="preserve">F34</t>
  </si>
  <si>
    <t xml:space="preserve">F35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</si>
  <si>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</si>
  <si>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</si>
  <si>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</si>
  <si>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</si>
  <si>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</si>
  <si>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3. Fish in group 2</t>
  </si>
  <si>
    <t xml:space="preserve">Results</t>
  </si>
  <si>
    <t xml:space="preserve">Everything on this sheet is calculated. Change only the yellow settings.</t>
  </si>
  <si>
    <t xml:space="preserve">Infection measures by group</t>
  </si>
  <si>
    <t xml:space="preserve">Group</t>
  </si>
  <si>
    <t xml:space="preserve">Fish examined</t>
  </si>
  <si>
    <t xml:space="preserve">Infected</t>
  </si>
  <si>
    <t xml:space="preserve">Prevalence (%)</t>
  </si>
  <si>
    <t xml:space="preserve">95% lower</t>
  </si>
  <si>
    <t xml:space="preserve">95% upper</t>
  </si>
  <si>
    <t xml:space="preserve">Mean intensity</t>
  </si>
  <si>
    <t xml:space="preserve">Mean abundance</t>
  </si>
  <si>
    <t xml:space="preserve">Variance / mean</t>
  </si>
  <si>
    <t xml:space="preserve">Correlation of parasites with length</t>
  </si>
  <si>
    <t xml:space="preserve">Prevalence, group 1 against group 2 (chi-square)</t>
  </si>
  <si>
    <t xml:space="preserve">Chi-square (1 df)</t>
  </si>
  <si>
    <t xml:space="preserve">p value (approximate)</t>
  </si>
  <si>
    <t xml:space="preserve">Definitions check: 20 infected of 40 fish, 120 parasites in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</si>
</sst>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.0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35.0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 t="s">
        <v>21</v>
      </c>
      <c r="B6" s="11" t="s">
        <v>22</v>
      </c>
    </row>
    <row r="9" customFormat="false" ht="15" hidden="false" customHeight="false" outlineLevel="0" collapsed="false">
      <c r="A9" s="9" t="s">
        <v>23</v>
      </c>
    </row>
    <row r="10" customFormat="false" ht="31.5" hidden="false" customHeight="true" outlineLevel="0" collapsed="false">
      <c r="A10" s="10" t="s">
        <v>24</v>
      </c>
      <c r="B10" s="10" t="s">
        <v>25</v>
      </c>
      <c r="C10" s="10" t="s">
        <v>26</v>
      </c>
    </row>
    <row r="11" customFormat="false" ht="15" hidden="false" customHeight="false" outlineLevel="0" collapsed="false">
      <c r="A11" s="12" t="s">
        <v>27</v>
      </c>
      <c r="B11" s="12" t="n">
        <v>15.2</v>
      </c>
      <c r="C11" s="12" t="n">
        <v>4</v>
      </c>
    </row>
    <row r="12" customFormat="false" ht="15" hidden="false" customHeight="false" outlineLevel="0" collapsed="false">
      <c r="A12" s="11" t="s">
        <v>27</v>
      </c>
      <c r="B12" s="11" t="n">
        <v>24.1</v>
      </c>
      <c r="C12" s="11" t="n">
        <v>8</v>
      </c>
    </row>
    <row r="13" customFormat="false" ht="15" hidden="false" customHeight="false" outlineLevel="0" collapsed="false">
      <c r="A13" s="11" t="s">
        <v>28</v>
      </c>
      <c r="B13" s="11" t="n">
        <v>11.9</v>
      </c>
      <c r="C13" s="11" t="n">
        <v>11</v>
      </c>
    </row>
    <row r="14" customFormat="false" ht="15" hidden="false" customHeight="false" outlineLevel="0" collapsed="false">
      <c r="A14" s="11" t="s">
        <v>29</v>
      </c>
      <c r="B14" s="11" t="n">
        <v>22.6</v>
      </c>
      <c r="C14" s="11" t="n">
        <v>3</v>
      </c>
    </row>
    <row r="15" customFormat="false" ht="15" hidden="false" customHeight="false" outlineLevel="0" collapsed="false">
      <c r="A15" s="11" t="s">
        <v>30</v>
      </c>
      <c r="B15" s="11" t="n">
        <v>17.3</v>
      </c>
      <c r="C15" s="11" t="n">
        <v>0</v>
      </c>
    </row>
    <row r="16" customFormat="false" ht="15" hidden="false" customHeight="false" outlineLevel="0" collapsed="false">
      <c r="A16" s="11" t="s">
        <v>31</v>
      </c>
      <c r="B16" s="11" t="n">
        <v>15.3</v>
      </c>
      <c r="C16" s="11" t="n">
        <v>0</v>
      </c>
    </row>
    <row r="17" customFormat="false" ht="15" hidden="false" customHeight="false" outlineLevel="0" collapsed="false">
      <c r="A17" s="11" t="s">
        <v>32</v>
      </c>
      <c r="B17" s="11" t="n">
        <v>20.6</v>
      </c>
      <c r="C17" s="11" t="n">
        <v>11</v>
      </c>
    </row>
    <row r="18" customFormat="false" ht="15" hidden="false" customHeight="false" outlineLevel="0" collapsed="false">
      <c r="A18" s="11" t="s">
        <v>33</v>
      </c>
      <c r="B18" s="11" t="n">
        <v>20.2</v>
      </c>
      <c r="C18" s="11" t="n">
        <v>11</v>
      </c>
    </row>
    <row r="19" customFormat="false" ht="15" hidden="false" customHeight="false" outlineLevel="0" collapsed="false">
      <c r="A19" s="11" t="s">
        <v>34</v>
      </c>
      <c r="B19" s="11" t="n">
        <v>11.9</v>
      </c>
      <c r="C19" s="11" t="n">
        <v>0</v>
      </c>
    </row>
    <row r="20" customFormat="false" ht="15" hidden="false" customHeight="false" outlineLevel="0" collapsed="false">
      <c r="A20" s="11" t="s">
        <v>35</v>
      </c>
      <c r="B20" s="11" t="n">
        <v>20.1</v>
      </c>
      <c r="C20" s="11" t="n">
        <v>0</v>
      </c>
    </row>
    <row r="21" customFormat="false" ht="15" hidden="false" customHeight="false" outlineLevel="0" collapsed="false">
      <c r="A21" s="11" t="s">
        <v>36</v>
      </c>
      <c r="B21" s="11" t="n">
        <v>11.5</v>
      </c>
      <c r="C21" s="11" t="n">
        <v>0</v>
      </c>
    </row>
    <row r="22" customFormat="false" ht="15" hidden="false" customHeight="false" outlineLevel="0" collapsed="false">
      <c r="A22" s="11" t="s">
        <v>37</v>
      </c>
      <c r="B22" s="11" t="n">
        <v>19</v>
      </c>
      <c r="C22" s="11" t="n">
        <v>2</v>
      </c>
    </row>
    <row r="23" customFormat="false" ht="15" hidden="false" customHeight="false" outlineLevel="0" collapsed="false">
      <c r="A23" s="11" t="s">
        <v>38</v>
      </c>
      <c r="B23" s="11" t="n">
        <v>16.9</v>
      </c>
      <c r="C23" s="11" t="n">
        <v>21</v>
      </c>
    </row>
    <row r="24" customFormat="false" ht="15" hidden="false" customHeight="false" outlineLevel="0" collapsed="false">
      <c r="A24" s="11" t="s">
        <v>39</v>
      </c>
      <c r="B24" s="11" t="n">
        <v>19</v>
      </c>
      <c r="C24" s="11" t="n">
        <v>0</v>
      </c>
    </row>
    <row r="25" customFormat="false" ht="15" hidden="false" customHeight="false" outlineLevel="0" collapsed="false">
      <c r="A25" s="11" t="s">
        <v>40</v>
      </c>
      <c r="B25" s="11" t="n">
        <v>15.6</v>
      </c>
      <c r="C25" s="11" t="n">
        <v>0</v>
      </c>
    </row>
    <row r="26" customFormat="false" ht="15" hidden="false" customHeight="false" outlineLevel="0" collapsed="false">
      <c r="A26" s="11" t="s">
        <v>41</v>
      </c>
      <c r="B26" s="11" t="n">
        <v>22.1</v>
      </c>
      <c r="C26" s="11" t="n">
        <v>8</v>
      </c>
    </row>
    <row r="27" customFormat="false" ht="15" hidden="false" customHeight="false" outlineLevel="0" collapsed="false">
      <c r="A27" s="11" t="s">
        <v>42</v>
      </c>
      <c r="B27" s="11" t="n">
        <v>17</v>
      </c>
      <c r="C27" s="11" t="n">
        <v>6</v>
      </c>
    </row>
    <row r="28" customFormat="false" ht="15" hidden="false" customHeight="false" outlineLevel="0" collapsed="false">
      <c r="A28" s="11" t="s">
        <v>43</v>
      </c>
      <c r="B28" s="11" t="n">
        <v>22.5</v>
      </c>
      <c r="C28" s="11" t="n">
        <v>2</v>
      </c>
    </row>
    <row r="29" customFormat="false" ht="15" hidden="false" customHeight="false" outlineLevel="0" collapsed="false">
      <c r="A29" s="11" t="s">
        <v>44</v>
      </c>
      <c r="B29" s="11" t="n">
        <v>11.2</v>
      </c>
      <c r="C29" s="11" t="n">
        <v>0</v>
      </c>
    </row>
    <row r="30" customFormat="false" ht="15" hidden="false" customHeight="false" outlineLevel="0" collapsed="false">
      <c r="A30" s="11" t="s">
        <v>45</v>
      </c>
      <c r="B30" s="11" t="n">
        <v>21.2</v>
      </c>
      <c r="C30" s="11" t="n">
        <v>0</v>
      </c>
    </row>
    <row r="31" customFormat="false" ht="15" hidden="false" customHeight="false" outlineLevel="0" collapsed="false">
      <c r="A31" s="11" t="s">
        <v>46</v>
      </c>
      <c r="B31" s="11" t="n">
        <v>15.1</v>
      </c>
      <c r="C31" s="11" t="n">
        <v>0</v>
      </c>
    </row>
    <row r="32" customFormat="false" ht="15" hidden="false" customHeight="false" outlineLevel="0" collapsed="false">
      <c r="A32" s="11" t="s">
        <v>47</v>
      </c>
      <c r="B32" s="11" t="n">
        <v>18.1</v>
      </c>
      <c r="C32" s="11" t="n">
        <v>2</v>
      </c>
    </row>
    <row r="33" customFormat="false" ht="15" hidden="false" customHeight="false" outlineLevel="0" collapsed="false">
      <c r="A33" s="11" t="s">
        <v>48</v>
      </c>
      <c r="B33" s="11" t="n">
        <v>23.3</v>
      </c>
      <c r="C33" s="11" t="n">
        <v>1</v>
      </c>
    </row>
    <row r="34" customFormat="false" ht="15" hidden="false" customHeight="false" outlineLevel="0" collapsed="false">
      <c r="A34" s="11" t="s">
        <v>49</v>
      </c>
      <c r="B34" s="11" t="n">
        <v>15.6</v>
      </c>
      <c r="C34" s="11" t="n">
        <v>1</v>
      </c>
    </row>
    <row r="35" customFormat="false" ht="15" hidden="false" customHeight="false" outlineLevel="0" collapsed="false">
      <c r="A35" s="11" t="s">
        <v>50</v>
      </c>
      <c r="B35" s="11" t="n">
        <v>19.5</v>
      </c>
      <c r="C35" s="11" t="n">
        <v>1</v>
      </c>
    </row>
    <row r="36" customFormat="false" ht="15" hidden="false" customHeight="false" outlineLevel="0" collapsed="false">
      <c r="A36" s="11" t="s">
        <v>51</v>
      </c>
      <c r="B36" s="11" t="n">
        <v>17.3</v>
      </c>
      <c r="C36" s="11" t="n">
        <v>3</v>
      </c>
    </row>
    <row r="37" customFormat="false" ht="15" hidden="false" customHeight="false" outlineLevel="0" collapsed="false">
      <c r="A37" s="11" t="s">
        <v>52</v>
      </c>
      <c r="B37" s="11" t="n">
        <v>19</v>
      </c>
      <c r="C37" s="11" t="n">
        <v>0</v>
      </c>
    </row>
    <row r="38" customFormat="false" ht="15" hidden="false" customHeight="false" outlineLevel="0" collapsed="false">
      <c r="A38" s="11" t="s">
        <v>53</v>
      </c>
      <c r="B38" s="11" t="n">
        <v>18.4</v>
      </c>
      <c r="C38" s="11" t="n">
        <v>0</v>
      </c>
    </row>
    <row r="39" customFormat="false" ht="15" hidden="false" customHeight="false" outlineLevel="0" collapsed="false">
      <c r="A39" s="11" t="s">
        <v>54</v>
      </c>
      <c r="B39" s="11" t="n">
        <v>17.2</v>
      </c>
      <c r="C39" s="11" t="n">
        <v>23</v>
      </c>
    </row>
    <row r="40" customFormat="false" ht="15" hidden="false" customHeight="false" outlineLevel="0" collapsed="false">
      <c r="A40" s="11" t="s">
        <v>55</v>
      </c>
      <c r="B40" s="11" t="n">
        <v>17</v>
      </c>
      <c r="C40" s="11" t="n">
        <v>0</v>
      </c>
    </row>
    <row r="41" customFormat="false" ht="15" hidden="false" customHeight="false" outlineLevel="0" collapsed="false">
      <c r="A41" s="11" t="s">
        <v>56</v>
      </c>
      <c r="B41" s="11" t="n">
        <v>16.8</v>
      </c>
      <c r="C41" s="11" t="n">
        <v>1</v>
      </c>
    </row>
    <row r="42" customFormat="false" ht="15" hidden="false" customHeight="false" outlineLevel="0" collapsed="false">
      <c r="A42" s="11" t="s">
        <v>57</v>
      </c>
      <c r="B42" s="11" t="n">
        <v>11.7</v>
      </c>
      <c r="C42" s="11" t="n">
        <v>0</v>
      </c>
    </row>
    <row r="43" customFormat="false" ht="15" hidden="false" customHeight="false" outlineLevel="0" collapsed="false">
      <c r="A43" s="11" t="s">
        <v>58</v>
      </c>
      <c r="B43" s="11" t="n">
        <v>16.6</v>
      </c>
      <c r="C43" s="11" t="n">
        <v>11</v>
      </c>
    </row>
    <row r="44" customFormat="false" ht="15" hidden="false" customHeight="false" outlineLevel="0" collapsed="false">
      <c r="A44" s="11" t="s">
        <v>59</v>
      </c>
      <c r="B44" s="11" t="n">
        <v>16.9</v>
      </c>
      <c r="C44" s="11" t="n">
        <v>0</v>
      </c>
    </row>
    <row r="45" customFormat="false" ht="15" hidden="false" customHeight="false" outlineLevel="0" collapsed="false">
      <c r="A45" s="11" t="s">
        <v>60</v>
      </c>
      <c r="B45" s="11" t="n">
        <v>20.2</v>
      </c>
      <c r="C45" s="11" t="n">
        <v>10</v>
      </c>
    </row>
    <row r="46" customFormat="false" ht="15" hidden="false" customHeight="false" outlineLevel="0" collapsed="false">
      <c r="A46" s="11" t="s">
        <v>61</v>
      </c>
      <c r="B46" s="11" t="n">
        <v>19.9</v>
      </c>
      <c r="C46" s="11" t="n">
        <v>0</v>
      </c>
    </row>
    <row r="47" customFormat="false" ht="15" hidden="false" customHeight="false" outlineLevel="0" collapsed="false">
      <c r="A47" s="11" t="s">
        <v>62</v>
      </c>
      <c r="B47" s="11" t="n">
        <v>18.8</v>
      </c>
      <c r="C47" s="11" t="n">
        <v>0</v>
      </c>
    </row>
    <row r="48" customFormat="false" ht="15" hidden="false" customHeight="false" outlineLevel="0" collapsed="false">
      <c r="A48" s="11" t="s">
        <v>63</v>
      </c>
      <c r="B48" s="11" t="n">
        <v>17.2</v>
      </c>
      <c r="C48" s="11" t="n">
        <v>11</v>
      </c>
    </row>
    <row r="49" customFormat="false" ht="15" hidden="false" customHeight="false" outlineLevel="0" collapsed="false">
      <c r="A49" s="11" t="s">
        <v>64</v>
      </c>
      <c r="B49" s="11" t="n">
        <v>15.5</v>
      </c>
      <c r="C49" s="11" t="n">
        <v>0</v>
      </c>
    </row>
    <row r="50" customFormat="false" ht="15" hidden="false" customHeight="false" outlineLevel="0" collapsed="false">
      <c r="A50" s="11" t="s">
        <v>65</v>
      </c>
      <c r="B50" s="11" t="n">
        <v>11.6</v>
      </c>
      <c r="C50" s="11" t="n">
        <v>14</v>
      </c>
    </row>
    <row r="51" customFormat="false" ht="15" hidden="false" customHeight="false" outlineLevel="0" collapsed="false">
      <c r="A51" s="11" t="s">
        <v>66</v>
      </c>
      <c r="B51" s="11" t="n">
        <v>18.4</v>
      </c>
      <c r="C51" s="11" t="n">
        <v>0</v>
      </c>
    </row>
    <row r="52" customFormat="false" ht="15" hidden="false" customHeight="false" outlineLevel="0" collapsed="false">
      <c r="A52" s="11"/>
      <c r="B52" s="11"/>
      <c r="C52" s="11"/>
    </row>
    <row r="53" customFormat="false" ht="15" hidden="false" customHeight="false" outlineLevel="0" collapsed="false">
      <c r="A53" s="11"/>
      <c r="B53" s="11"/>
      <c r="C53" s="11"/>
    </row>
    <row r="54" customFormat="false" ht="15" hidden="false" customHeight="false" outlineLevel="0" collapsed="false">
      <c r="A54" s="11"/>
      <c r="B54" s="11"/>
      <c r="C54" s="11"/>
    </row>
    <row r="55" customFormat="false" ht="15" hidden="false" customHeight="false" outlineLevel="0" collapsed="false">
      <c r="A55" s="11"/>
      <c r="B55" s="11"/>
      <c r="C55" s="11"/>
    </row>
    <row r="56" customFormat="false" ht="15" hidden="false" customHeight="false" outlineLevel="0" collapsed="false">
      <c r="A56" s="11"/>
      <c r="B56" s="11"/>
      <c r="C56" s="11"/>
    </row>
    <row r="57" customFormat="false" ht="15" hidden="false" customHeight="false" outlineLevel="0" collapsed="false">
      <c r="A57" s="11"/>
      <c r="B57" s="11"/>
      <c r="C57" s="11"/>
    </row>
    <row r="58" customFormat="false" ht="15" hidden="false" customHeight="false" outlineLevel="0" collapsed="false">
      <c r="A58" s="11"/>
      <c r="B58" s="11"/>
      <c r="C58" s="11"/>
    </row>
    <row r="59" customFormat="false" ht="15" hidden="false" customHeight="false" outlineLevel="0" collapsed="false">
      <c r="A59" s="11"/>
      <c r="B59" s="11"/>
      <c r="C59" s="11"/>
    </row>
    <row r="60" customFormat="false" ht="15" hidden="false" customHeight="false" outlineLevel="0" collapsed="false">
      <c r="A60" s="11"/>
      <c r="B60" s="11"/>
      <c r="C60" s="11"/>
    </row>
    <row r="61" customFormat="false" ht="15" hidden="false" customHeight="false" outlineLevel="0" collapsed="false">
      <c r="A61" s="11"/>
      <c r="B61" s="11"/>
      <c r="C61" s="11"/>
    </row>
    <row r="62" customFormat="false" ht="15" hidden="false" customHeight="false" outlineLevel="0" collapsed="false">
      <c r="A62" s="11"/>
      <c r="B62" s="11"/>
      <c r="C62" s="11"/>
    </row>
    <row r="63" customFormat="false" ht="15" hidden="false" customHeight="false" outlineLevel="0" collapsed="false">
      <c r="A63" s="11"/>
      <c r="B63" s="11"/>
      <c r="C63" s="11"/>
    </row>
    <row r="64" customFormat="false" ht="15" hidden="false" customHeight="false" outlineLevel="0" collapsed="false">
      <c r="A64" s="11"/>
      <c r="B64" s="11"/>
      <c r="C64" s="11"/>
    </row>
    <row r="65" customFormat="false" ht="15" hidden="false" customHeight="false" outlineLevel="0" collapsed="false">
      <c r="A65" s="11"/>
      <c r="B65" s="11"/>
      <c r="C65" s="11"/>
    </row>
    <row r="66" customFormat="false" ht="15" hidden="false" customHeight="false" outlineLevel="0" collapsed="false">
      <c r="A66" s="11"/>
      <c r="B66" s="11"/>
      <c r="C66" s="11"/>
    </row>
    <row r="67" customFormat="false" ht="15" hidden="false" customHeight="false" outlineLevel="0" collapsed="false">
      <c r="A67" s="11"/>
      <c r="B67" s="11"/>
      <c r="C67" s="11"/>
    </row>
    <row r="68" customFormat="false" ht="15" hidden="false" customHeight="false" outlineLevel="0" collapsed="false">
      <c r="A68" s="11"/>
      <c r="B68" s="11"/>
      <c r="C68" s="11"/>
    </row>
    <row r="69" customFormat="false" ht="15" hidden="false" customHeight="false" outlineLevel="0" collapsed="false">
      <c r="A69" s="11"/>
      <c r="B69" s="11"/>
      <c r="C69" s="11"/>
    </row>
    <row r="70" customFormat="false" ht="15" hidden="false" customHeight="false" outlineLevel="0" collapsed="false">
      <c r="A70" s="11"/>
      <c r="B70" s="11"/>
      <c r="C70" s="11"/>
    </row>
    <row r="71" customFormat="false" ht="15" hidden="false" customHeight="false" outlineLevel="0" collapsed="false">
      <c r="A71" s="11"/>
      <c r="B71" s="11"/>
      <c r="C71" s="11"/>
    </row>
    <row r="74" customFormat="false" ht="15" hidden="false" customHeight="false" outlineLevel="0" collapsed="false">
      <c r="A74" s="9" t="s">
        <v>67</v>
      </c>
    </row>
    <row r="75" customFormat="false" ht="31.5" hidden="false" customHeight="true" outlineLevel="0" collapsed="false">
      <c r="A75" s="10" t="s">
        <v>24</v>
      </c>
      <c r="B75" s="10" t="s">
        <v>25</v>
      </c>
      <c r="C75" s="10" t="s">
        <v>26</v>
      </c>
    </row>
    <row r="76" customFormat="false" ht="15" hidden="false" customHeight="false" outlineLevel="0" collapsed="false">
      <c r="A76" s="12" t="s">
        <v>27</v>
      </c>
      <c r="B76" s="12" t="n">
        <v>15.2</v>
      </c>
      <c r="C76" s="12" t="n">
        <v>4</v>
      </c>
    </row>
    <row r="77" customFormat="false" ht="15" hidden="false" customHeight="false" outlineLevel="0" collapsed="false">
      <c r="A77" s="11" t="s">
        <v>27</v>
      </c>
      <c r="B77" s="11" t="n">
        <v>11.9</v>
      </c>
      <c r="C77" s="11" t="n">
        <v>0</v>
      </c>
    </row>
    <row r="78" customFormat="false" ht="15" hidden="false" customHeight="false" outlineLevel="0" collapsed="false">
      <c r="A78" s="11" t="s">
        <v>28</v>
      </c>
      <c r="B78" s="11" t="n">
        <v>13.6</v>
      </c>
      <c r="C78" s="11" t="n">
        <v>0</v>
      </c>
    </row>
    <row r="79" customFormat="false" ht="15" hidden="false" customHeight="false" outlineLevel="0" collapsed="false">
      <c r="A79" s="11" t="s">
        <v>29</v>
      </c>
      <c r="B79" s="11" t="n">
        <v>14.2</v>
      </c>
      <c r="C79" s="11" t="n">
        <v>0</v>
      </c>
    </row>
    <row r="80" customFormat="false" ht="15" hidden="false" customHeight="false" outlineLevel="0" collapsed="false">
      <c r="A80" s="11" t="s">
        <v>30</v>
      </c>
      <c r="B80" s="11" t="n">
        <v>15.3</v>
      </c>
      <c r="C80" s="11" t="n">
        <v>0</v>
      </c>
    </row>
    <row r="81" customFormat="false" ht="15" hidden="false" customHeight="false" outlineLevel="0" collapsed="false">
      <c r="A81" s="11" t="s">
        <v>31</v>
      </c>
      <c r="B81" s="11" t="n">
        <v>14.5</v>
      </c>
      <c r="C81" s="11" t="n">
        <v>3</v>
      </c>
    </row>
    <row r="82" customFormat="false" ht="15" hidden="false" customHeight="false" outlineLevel="0" collapsed="false">
      <c r="A82" s="11" t="s">
        <v>32</v>
      </c>
      <c r="B82" s="11" t="n">
        <v>13.3</v>
      </c>
      <c r="C82" s="11" t="n">
        <v>0</v>
      </c>
    </row>
    <row r="83" customFormat="false" ht="15" hidden="false" customHeight="false" outlineLevel="0" collapsed="false">
      <c r="A83" s="11" t="s">
        <v>33</v>
      </c>
      <c r="B83" s="11" t="n">
        <v>15.6</v>
      </c>
      <c r="C83" s="11" t="n">
        <v>0</v>
      </c>
    </row>
    <row r="84" customFormat="false" ht="15" hidden="false" customHeight="false" outlineLevel="0" collapsed="false">
      <c r="A84" s="11" t="s">
        <v>34</v>
      </c>
      <c r="B84" s="11" t="n">
        <v>12.6</v>
      </c>
      <c r="C84" s="11" t="n">
        <v>0</v>
      </c>
    </row>
    <row r="85" customFormat="false" ht="15" hidden="false" customHeight="false" outlineLevel="0" collapsed="false">
      <c r="A85" s="11" t="s">
        <v>35</v>
      </c>
      <c r="B85" s="11" t="n">
        <v>21.9</v>
      </c>
      <c r="C85" s="11" t="n">
        <v>0</v>
      </c>
    </row>
    <row r="86" customFormat="false" ht="15" hidden="false" customHeight="false" outlineLevel="0" collapsed="false">
      <c r="A86" s="11" t="s">
        <v>36</v>
      </c>
      <c r="B86" s="11" t="n">
        <v>15.4</v>
      </c>
      <c r="C86" s="11" t="n">
        <v>14</v>
      </c>
    </row>
    <row r="87" customFormat="false" ht="15" hidden="false" customHeight="false" outlineLevel="0" collapsed="false">
      <c r="A87" s="11" t="s">
        <v>37</v>
      </c>
      <c r="B87" s="11" t="n">
        <v>18.6</v>
      </c>
      <c r="C87" s="11" t="n">
        <v>2</v>
      </c>
    </row>
    <row r="88" customFormat="false" ht="15" hidden="false" customHeight="false" outlineLevel="0" collapsed="false">
      <c r="A88" s="11" t="s">
        <v>38</v>
      </c>
      <c r="B88" s="11" t="n">
        <v>17.2</v>
      </c>
      <c r="C88" s="11" t="n">
        <v>2</v>
      </c>
    </row>
    <row r="89" customFormat="false" ht="15" hidden="false" customHeight="false" outlineLevel="0" collapsed="false">
      <c r="A89" s="11" t="s">
        <v>39</v>
      </c>
      <c r="B89" s="11" t="n">
        <v>14.4</v>
      </c>
      <c r="C89" s="11" t="n">
        <v>0</v>
      </c>
    </row>
    <row r="90" customFormat="false" ht="15" hidden="false" customHeight="false" outlineLevel="0" collapsed="false">
      <c r="A90" s="11" t="s">
        <v>40</v>
      </c>
      <c r="B90" s="11" t="n">
        <v>14.6</v>
      </c>
      <c r="C90" s="11" t="n">
        <v>0</v>
      </c>
    </row>
    <row r="91" customFormat="false" ht="15" hidden="false" customHeight="false" outlineLevel="0" collapsed="false">
      <c r="A91" s="11" t="s">
        <v>41</v>
      </c>
      <c r="B91" s="11" t="n">
        <v>9.5</v>
      </c>
      <c r="C91" s="11" t="n">
        <v>1</v>
      </c>
    </row>
    <row r="92" customFormat="false" ht="15" hidden="false" customHeight="false" outlineLevel="0" collapsed="false">
      <c r="A92" s="11" t="s">
        <v>42</v>
      </c>
      <c r="B92" s="11" t="n">
        <v>16.6</v>
      </c>
      <c r="C92" s="11" t="n">
        <v>0</v>
      </c>
    </row>
    <row r="93" customFormat="false" ht="15" hidden="false" customHeight="false" outlineLevel="0" collapsed="false">
      <c r="A93" s="11" t="s">
        <v>43</v>
      </c>
      <c r="B93" s="11" t="n">
        <v>15.6</v>
      </c>
      <c r="C93" s="11" t="n">
        <v>0</v>
      </c>
    </row>
    <row r="94" customFormat="false" ht="15" hidden="false" customHeight="false" outlineLevel="0" collapsed="false">
      <c r="A94" s="11" t="s">
        <v>44</v>
      </c>
      <c r="B94" s="11" t="n">
        <v>13.3</v>
      </c>
      <c r="C94" s="11" t="n">
        <v>2</v>
      </c>
    </row>
    <row r="95" customFormat="false" ht="15" hidden="false" customHeight="false" outlineLevel="0" collapsed="false">
      <c r="A95" s="11" t="s">
        <v>45</v>
      </c>
      <c r="B95" s="11" t="n">
        <v>8.3</v>
      </c>
      <c r="C95" s="11" t="n">
        <v>2</v>
      </c>
    </row>
    <row r="96" customFormat="false" ht="15" hidden="false" customHeight="false" outlineLevel="0" collapsed="false">
      <c r="A96" s="11" t="s">
        <v>46</v>
      </c>
      <c r="B96" s="11" t="n">
        <v>13.1</v>
      </c>
      <c r="C96" s="11" t="n">
        <v>3</v>
      </c>
    </row>
    <row r="97" customFormat="false" ht="15" hidden="false" customHeight="false" outlineLevel="0" collapsed="false">
      <c r="A97" s="11" t="s">
        <v>47</v>
      </c>
      <c r="B97" s="11" t="n">
        <v>16.6</v>
      </c>
      <c r="C97" s="11" t="n">
        <v>0</v>
      </c>
    </row>
    <row r="98" customFormat="false" ht="15" hidden="false" customHeight="false" outlineLevel="0" collapsed="false">
      <c r="A98" s="11" t="s">
        <v>48</v>
      </c>
      <c r="B98" s="11" t="n">
        <v>15.9</v>
      </c>
      <c r="C98" s="11" t="n">
        <v>0</v>
      </c>
    </row>
    <row r="99" customFormat="false" ht="15" hidden="false" customHeight="false" outlineLevel="0" collapsed="false">
      <c r="A99" s="11" t="s">
        <v>49</v>
      </c>
      <c r="B99" s="11" t="n">
        <v>14</v>
      </c>
      <c r="C99" s="11" t="n">
        <v>1</v>
      </c>
    </row>
    <row r="100" customFormat="false" ht="15" hidden="false" customHeight="false" outlineLevel="0" collapsed="false">
      <c r="A100" s="11" t="s">
        <v>50</v>
      </c>
      <c r="B100" s="11" t="n">
        <v>12.1</v>
      </c>
      <c r="C100" s="11" t="n">
        <v>3</v>
      </c>
    </row>
    <row r="101" customFormat="false" ht="15" hidden="false" customHeight="false" outlineLevel="0" collapsed="false">
      <c r="A101" s="11" t="s">
        <v>51</v>
      </c>
      <c r="B101" s="11" t="n">
        <v>16.1</v>
      </c>
      <c r="C101" s="11" t="n">
        <v>1</v>
      </c>
    </row>
    <row r="102" customFormat="false" ht="15" hidden="false" customHeight="false" outlineLevel="0" collapsed="false">
      <c r="A102" s="11" t="s">
        <v>52</v>
      </c>
      <c r="B102" s="11" t="n">
        <v>17.4</v>
      </c>
      <c r="C102" s="11" t="n">
        <v>2</v>
      </c>
    </row>
    <row r="103" customFormat="false" ht="15" hidden="false" customHeight="false" outlineLevel="0" collapsed="false">
      <c r="A103" s="11" t="s">
        <v>53</v>
      </c>
      <c r="B103" s="11" t="n">
        <v>11.8</v>
      </c>
      <c r="C103" s="11" t="n">
        <v>0</v>
      </c>
    </row>
    <row r="104" customFormat="false" ht="15" hidden="false" customHeight="false" outlineLevel="0" collapsed="false">
      <c r="A104" s="11" t="s">
        <v>54</v>
      </c>
      <c r="B104" s="11" t="n">
        <v>19.3</v>
      </c>
      <c r="C104" s="11" t="n">
        <v>0</v>
      </c>
    </row>
    <row r="105" customFormat="false" ht="15" hidden="false" customHeight="false" outlineLevel="0" collapsed="false">
      <c r="A105" s="11" t="s">
        <v>55</v>
      </c>
      <c r="B105" s="11" t="n">
        <v>14.8</v>
      </c>
      <c r="C105" s="11" t="n">
        <v>0</v>
      </c>
    </row>
    <row r="106" customFormat="false" ht="15" hidden="false" customHeight="false" outlineLevel="0" collapsed="false">
      <c r="A106" s="11" t="s">
        <v>56</v>
      </c>
      <c r="B106" s="11" t="n">
        <v>17.5</v>
      </c>
      <c r="C106" s="11" t="n">
        <v>0</v>
      </c>
    </row>
    <row r="107" customFormat="false" ht="15" hidden="false" customHeight="false" outlineLevel="0" collapsed="false">
      <c r="A107" s="11" t="s">
        <v>57</v>
      </c>
      <c r="B107" s="11" t="n">
        <v>16.8</v>
      </c>
      <c r="C107" s="11" t="n">
        <v>0</v>
      </c>
    </row>
    <row r="108" customFormat="false" ht="15" hidden="false" customHeight="false" outlineLevel="0" collapsed="false">
      <c r="A108" s="11" t="s">
        <v>58</v>
      </c>
      <c r="B108" s="11" t="n">
        <v>22</v>
      </c>
      <c r="C108" s="11" t="n">
        <v>5</v>
      </c>
    </row>
    <row r="109" customFormat="false" ht="15" hidden="false" customHeight="false" outlineLevel="0" collapsed="false">
      <c r="A109" s="11" t="s">
        <v>59</v>
      </c>
      <c r="B109" s="11" t="n">
        <v>14.7</v>
      </c>
      <c r="C109" s="11" t="n">
        <v>1</v>
      </c>
    </row>
    <row r="110" customFormat="false" ht="15" hidden="false" customHeight="false" outlineLevel="0" collapsed="false">
      <c r="A110" s="11" t="s">
        <v>60</v>
      </c>
      <c r="B110" s="11" t="n">
        <v>12.9</v>
      </c>
      <c r="C110" s="11" t="n">
        <v>9</v>
      </c>
    </row>
    <row r="111" customFormat="false" ht="15" hidden="false" customHeight="false" outlineLevel="0" collapsed="false">
      <c r="A111" s="11" t="s">
        <v>61</v>
      </c>
      <c r="B111" s="11" t="n">
        <v>14.3</v>
      </c>
      <c r="C111" s="11" t="n">
        <v>0</v>
      </c>
    </row>
    <row r="112" customFormat="false" ht="15" hidden="false" customHeight="false" outlineLevel="0" collapsed="false">
      <c r="A112" s="11" t="s">
        <v>62</v>
      </c>
      <c r="B112" s="11" t="n">
        <v>14.2</v>
      </c>
      <c r="C112" s="11" t="n">
        <v>1</v>
      </c>
    </row>
    <row r="113" customFormat="false" ht="15" hidden="false" customHeight="false" outlineLevel="0" collapsed="false">
      <c r="A113" s="11" t="s">
        <v>63</v>
      </c>
      <c r="B113" s="11" t="n">
        <v>14.8</v>
      </c>
      <c r="C113" s="11" t="n">
        <v>0</v>
      </c>
    </row>
    <row r="114" customFormat="false" ht="15" hidden="false" customHeight="false" outlineLevel="0" collapsed="false">
      <c r="A114" s="11" t="s">
        <v>64</v>
      </c>
      <c r="B114" s="11" t="n">
        <v>15.9</v>
      </c>
      <c r="C114" s="11" t="n">
        <v>0</v>
      </c>
    </row>
    <row r="115" customFormat="false" ht="15" hidden="false" customHeight="false" outlineLevel="0" collapsed="false">
      <c r="A115" s="11" t="s">
        <v>65</v>
      </c>
      <c r="B115" s="11" t="n">
        <v>15.5</v>
      </c>
      <c r="C115" s="11" t="n">
        <v>0</v>
      </c>
    </row>
    <row r="116" customFormat="false" ht="15" hidden="false" customHeight="false" outlineLevel="0" collapsed="false">
      <c r="A116" s="11" t="s">
        <v>66</v>
      </c>
      <c r="B116" s="11" t="n">
        <v>14.2</v>
      </c>
      <c r="C116" s="11" t="n">
        <v>0</v>
      </c>
    </row>
    <row r="117" customFormat="false" ht="15" hidden="false" customHeight="false" outlineLevel="0" collapsed="false">
      <c r="A117" s="11"/>
      <c r="B117" s="11"/>
      <c r="C117" s="11"/>
    </row>
    <row r="118" customFormat="false" ht="15" hidden="false" customHeight="false" outlineLevel="0" collapsed="false">
      <c r="A118" s="11"/>
      <c r="B118" s="11"/>
      <c r="C118" s="11"/>
    </row>
    <row r="119" customFormat="false" ht="15" hidden="false" customHeight="false" outlineLevel="0" collapsed="false">
      <c r="A119" s="11"/>
      <c r="B119" s="11"/>
      <c r="C119" s="11"/>
    </row>
    <row r="120" customFormat="false" ht="15" hidden="false" customHeight="false" outlineLevel="0" collapsed="false">
      <c r="A120" s="11"/>
      <c r="B120" s="11"/>
      <c r="C120" s="11"/>
    </row>
    <row r="121" customFormat="false" ht="15" hidden="false" customHeight="false" outlineLevel="0" collapsed="false">
      <c r="A121" s="11"/>
      <c r="B121" s="11"/>
      <c r="C121" s="11"/>
    </row>
    <row r="122" customFormat="false" ht="15" hidden="false" customHeight="false" outlineLevel="0" collapsed="false">
      <c r="A122" s="11"/>
      <c r="B122" s="11"/>
      <c r="C122" s="11"/>
    </row>
    <row r="123" customFormat="false" ht="15" hidden="false" customHeight="false" outlineLevel="0" collapsed="false">
      <c r="A123" s="11"/>
      <c r="B123" s="11"/>
      <c r="C123" s="11"/>
    </row>
    <row r="124" customFormat="false" ht="15" hidden="false" customHeight="false" outlineLevel="0" collapsed="false">
      <c r="A124" s="11"/>
      <c r="B124" s="11"/>
      <c r="C124" s="11"/>
    </row>
    <row r="125" customFormat="false" ht="15" hidden="false" customHeight="false" outlineLevel="0" collapsed="false">
      <c r="A125" s="11"/>
      <c r="B125" s="11"/>
      <c r="C125" s="11"/>
    </row>
    <row r="126" customFormat="false" ht="15" hidden="false" customHeight="false" outlineLevel="0" collapsed="false">
      <c r="A126" s="11"/>
      <c r="B126" s="11"/>
      <c r="C126" s="11"/>
    </row>
    <row r="127" customFormat="false" ht="15" hidden="false" customHeight="false" outlineLevel="0" collapsed="false">
      <c r="A127" s="11"/>
      <c r="B127" s="11"/>
      <c r="C127" s="11"/>
    </row>
    <row r="128" customFormat="false" ht="15" hidden="false" customHeight="false" outlineLevel="0" collapsed="false">
      <c r="A128" s="11"/>
      <c r="B128" s="11"/>
      <c r="C128" s="11"/>
    </row>
    <row r="129" customFormat="false" ht="15" hidden="false" customHeight="false" outlineLevel="0" collapsed="false">
      <c r="A129" s="11"/>
      <c r="B129" s="11"/>
      <c r="C129" s="11"/>
    </row>
    <row r="130" customFormat="false" ht="15" hidden="false" customHeight="false" outlineLevel="0" collapsed="false">
      <c r="A130" s="11"/>
      <c r="B130" s="11"/>
      <c r="C130" s="11"/>
    </row>
    <row r="131" customFormat="false" ht="15" hidden="false" customHeight="false" outlineLevel="0" collapsed="false">
      <c r="A131" s="11"/>
      <c r="B131" s="11"/>
      <c r="C131" s="11"/>
    </row>
    <row r="132" customFormat="false" ht="15" hidden="false" customHeight="false" outlineLevel="0" collapsed="false">
      <c r="A132" s="11"/>
      <c r="B132" s="11"/>
      <c r="C132" s="11"/>
    </row>
    <row r="133" customFormat="false" ht="15" hidden="false" customHeight="false" outlineLevel="0" collapsed="false">
      <c r="A133" s="11"/>
      <c r="B133" s="11"/>
      <c r="C133" s="11"/>
    </row>
    <row r="134" customFormat="false" ht="15" hidden="false" customHeight="false" outlineLevel="0" collapsed="false">
      <c r="A134" s="11"/>
      <c r="B134" s="11"/>
      <c r="C134" s="11"/>
    </row>
    <row r="135" customFormat="false" ht="15" hidden="false" customHeight="false" outlineLevel="0" collapsed="false">
      <c r="A135" s="11"/>
      <c r="B135" s="11"/>
      <c r="C135" s="11"/>
    </row>
    <row r="136" customFormat="false" ht="15" hidden="false" customHeight="false" outlineLevel="0" collapsed="false">
      <c r="A136" s="11"/>
      <c r="B136" s="11"/>
      <c r="C136" s="11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C71 B77:C1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68</v>
      </c>
    </row>
    <row r="2" customFormat="false" ht="15" hidden="false" customHeight="false" outlineLevel="0" collapsed="false">
      <c r="B2" s="8" t="s">
        <v>69</v>
      </c>
    </row>
    <row r="4" customFormat="false" ht="15" hidden="false" customHeight="false" outlineLevel="0" collapsed="false">
      <c r="B4" s="9" t="s">
        <v>70</v>
      </c>
    </row>
    <row r="5" customFormat="false" ht="30" hidden="false" customHeight="true" outlineLevel="0" collapsed="false">
      <c r="B5" s="10" t="s">
        <v>71</v>
      </c>
      <c r="C5" s="10" t="s">
        <v>72</v>
      </c>
      <c r="D5" s="10" t="s">
        <v>73</v>
      </c>
      <c r="E5" s="10" t="s">
        <v>74</v>
      </c>
      <c r="F5" s="10" t="s">
        <v>75</v>
      </c>
      <c r="G5" s="10" t="s">
        <v>76</v>
      </c>
      <c r="H5" s="10" t="s">
        <v>77</v>
      </c>
      <c r="I5" s="10" t="s">
        <v>78</v>
      </c>
      <c r="J5" s="10" t="s">
        <v>79</v>
      </c>
      <c r="K5" s="10" t="s">
        <v>80</v>
      </c>
    </row>
    <row r="6" customFormat="false" ht="15" hidden="false" customHeight="false" outlineLevel="0" collapsed="false">
      <c r="B6" s="13" t="str">
        <f aca="false">IFERROR('Enter data'!$A$6,"")</f>
        <v>market</v>
      </c>
      <c r="C6" s="14" t="n">
        <f aca="false">IFERROR(COUNT('Enter data'!$C$12:$C$71),"")</f>
        <v>40</v>
      </c>
      <c r="D6" s="14" t="n">
        <f aca="false">IFERROR(COUNTIF('Enter data'!$C$12:$C$71,"&gt;0"),"")</f>
        <v>21</v>
      </c>
      <c r="E6" s="15" t="n">
        <f aca="false">IFERROR(100*D6/C6,"")</f>
        <v>52.5</v>
      </c>
      <c r="F6" s="15" t="n">
        <f aca="false">IFERROR(100*IF(D6=0,0,BETAINV(0.025,D6,C6-D6+1)),"")</f>
        <v>36.1280135264062</v>
      </c>
      <c r="G6" s="15" t="n">
        <f aca="false">IFERROR(100*IF(D6=C6,1,BETAINV(0.975,D6+1,C6-D6)),"")</f>
        <v>68.4880293365014</v>
      </c>
      <c r="H6" s="16" t="n">
        <f aca="false">IFERROR(SUM('Enter data'!$C$12:$C$71)/D6,"")</f>
        <v>7.66666666666667</v>
      </c>
      <c r="I6" s="16" t="n">
        <f aca="false">IFERROR(AVERAGE('Enter data'!$C$12:$C$71),"")</f>
        <v>4.025</v>
      </c>
      <c r="J6" s="15" t="n">
        <f aca="false">IFERROR(VAR('Enter data'!$C$12:$C$71)/AVERAGE('Enter data'!$C$12:$C$71),"")</f>
        <v>9.052237617455</v>
      </c>
      <c r="K6" s="16" t="n">
        <f aca="false">IFERROR(CORREL('Enter data'!$B$12:$B$71,'Enter data'!$C$12:$C$71),"")</f>
        <v>0.0227527177154999</v>
      </c>
    </row>
    <row r="7" customFormat="false" ht="15" hidden="false" customHeight="false" outlineLevel="0" collapsed="false">
      <c r="B7" s="13" t="str">
        <f aca="false">IFERROR('Enter data'!$B$6,"")</f>
        <v>pond</v>
      </c>
      <c r="C7" s="14" t="n">
        <f aca="false">IFERROR(COUNT('Enter data'!$C$77:$C$136),"")</f>
        <v>40</v>
      </c>
      <c r="D7" s="14" t="n">
        <f aca="false">IFERROR(COUNTIF('Enter data'!$C$77:$C$136,"&gt;0"),"")</f>
        <v>16</v>
      </c>
      <c r="E7" s="15" t="n">
        <f aca="false">IFERROR(100*D7/C7,"")</f>
        <v>40</v>
      </c>
      <c r="F7" s="15" t="n">
        <f aca="false">IFERROR(100*IF(D7=0,0,BETAINV(0.025,D7,C7-D7+1)),"")</f>
        <v>24.8649986587744</v>
      </c>
      <c r="G7" s="15" t="n">
        <f aca="false">IFERROR(100*IF(D7=C7,1,BETAINV(0.975,D7+1,C7-D7)),"")</f>
        <v>56.6732947806703</v>
      </c>
      <c r="H7" s="16" t="n">
        <f aca="false">IFERROR(SUM('Enter data'!$C$77:$C$136)/D7,"")</f>
        <v>3.25</v>
      </c>
      <c r="I7" s="16" t="n">
        <f aca="false">IFERROR(AVERAGE('Enter data'!$C$77:$C$136),"")</f>
        <v>1.3</v>
      </c>
      <c r="J7" s="15" t="n">
        <f aca="false">IFERROR(VAR('Enter data'!$C$77:$C$136)/AVERAGE('Enter data'!$C$77:$C$136),"")</f>
        <v>5.64891518737673</v>
      </c>
      <c r="K7" s="16" t="n">
        <f aca="false">IFERROR(CORREL('Enter data'!$B$77:$B$136,'Enter data'!$C$77:$C$136),"")</f>
        <v>-0.00520080954606141</v>
      </c>
    </row>
    <row r="10" customFormat="false" ht="15" hidden="false" customHeight="false" outlineLevel="0" collapsed="false">
      <c r="B10" s="9" t="s">
        <v>81</v>
      </c>
    </row>
    <row r="11" customFormat="false" ht="15" hidden="false" customHeight="false" outlineLevel="0" collapsed="false">
      <c r="B11" s="17" t="s">
        <v>82</v>
      </c>
      <c r="C11" s="18" t="n">
        <f aca="false">IFERROR((($C$6+$C$7)*($D$6*($C$7-$D$7)-$D$7*($C$6-$D$6))^2)/(($D$6+$D$7)*($C$6+$C$7-$D$6-$D$7)*$C$6*$C$7),"")</f>
        <v>1.25707102451288</v>
      </c>
    </row>
    <row r="12" customFormat="false" ht="15" hidden="false" customHeight="false" outlineLevel="0" collapsed="false">
      <c r="B12" s="17" t="s">
        <v>83</v>
      </c>
      <c r="C12" s="19" t="n">
        <f aca="false">IFERROR(CHIDIST($C$11,1),"")</f>
        <v>0.262206234684251</v>
      </c>
    </row>
    <row r="14" customFormat="false" ht="15" hidden="false" customHeight="false" outlineLevel="0" collapsed="false">
      <c r="B14" s="9" t="s">
        <v>84</v>
      </c>
    </row>
    <row r="15" customFormat="false" ht="15" hidden="false" customHeight="false" outlineLevel="0" collapsed="false">
      <c r="B15" s="17" t="s">
        <v>74</v>
      </c>
      <c r="C15" s="20" t="n">
        <f aca="false">IFERROR(100*20/40,"")</f>
        <v>50</v>
      </c>
    </row>
    <row r="16" customFormat="false" ht="15" hidden="false" customHeight="false" outlineLevel="0" collapsed="false">
      <c r="B16" s="17" t="s">
        <v>77</v>
      </c>
      <c r="C16" s="21" t="n">
        <f aca="false">IFERROR(120/20,"")</f>
        <v>6</v>
      </c>
    </row>
    <row r="17" customFormat="false" ht="15" hidden="false" customHeight="false" outlineLevel="0" collapsed="false">
      <c r="B17" s="17" t="s">
        <v>78</v>
      </c>
      <c r="C17" s="21" t="n">
        <f aca="false">IFERROR(120/40,"")</f>
        <v>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2026-10-01T00:31:40Z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2026-10-01T00:31:40Z</dcterms:modified>
  <cp:revision>0</cp:revision>
  <dc:subject/>
  <dc:title>PAR-03 Fish parasite survey: prevalence, intensity, abundance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