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<sst xmlns="http://schemas.openxmlformats.org/spreadsheetml/2006/main" count="85" uniqueCount="68">
  <si>
    <t xml:space="preserve">AP-03  Mammalian kidney: dissection measurements</t>
  </si>
  <si>
    <t xml:space="preserve">Excel version of the card. It does the same calculations as the R script ap03_kidney_measurements.R.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</si>
  <si>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</si>
  <si>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</si>
  <si>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</si>
  <si>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</si>
  <si>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</si>
  <si>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</si>
  <si>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</si>
  <si>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</si>
  <si>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Cortex-to-medulla ratio = cortex thickness / medulla thickness, measured on the same cut face at mid-height of a pyramid. Report where you measured.</t>
  </si>
  <si>
    <t xml:space="preserve">The observer B column is a second person's independent reading of cortex thickness on the same kidney.</t>
  </si>
  <si>
    <t xml:space="preserve">Differences from the R script on the card</t>
  </si>
  <si>
    <t xml:space="preserve">The R script uses a Wilcoxon test between species. This workbook uses a Welch t test (with few kidneys per species, treat p values as rough).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</si>
  <si>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</si>
  <si>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</si>
  <si>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</si>
  <si>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</si>
  <si>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Kidneys of species 1</t>
  </si>
  <si>
    <t xml:space="preserve">Kidney</t>
  </si>
  <si>
    <t xml:space="preserve">Mass (g)</t>
  </si>
  <si>
    <t xml:space="preserve">Length (mm)</t>
  </si>
  <si>
    <t xml:space="preserve">Cortex (mm), observer A</t>
  </si>
  <si>
    <t xml:space="preserve">Medulla (mm), observer A</t>
  </si>
  <si>
    <t xml:space="preserve">Pyramids</t>
  </si>
  <si>
    <t xml:space="preserve">Cortex (mm), observer B</t>
  </si>
  <si>
    <t xml:space="preserve">Cortex / medulla</t>
  </si>
  <si>
    <t xml:space="preserve">Observer difference (B minus A, mm)</t>
  </si>
  <si>
    <t xml:space="preserve">K1</t>
  </si>
  <si>
    <t xml:space="preserve">K2</t>
  </si>
  <si>
    <t xml:space="preserve">K3</t>
  </si>
  <si>
    <t xml:space="preserve">K4</t>
  </si>
  <si>
    <t xml:space="preserve">K5</t>
  </si>
  <si>
    <t xml:space="preserve">K6</t>
  </si>
  <si>
    <t xml:space="preserve">2. Kidneys of species 2</t>
  </si>
  <si>
    <t xml:space="preserve">3. Species names</t>
  </si>
  <si>
    <t xml:space="preserve">Species 1</t>
  </si>
  <si>
    <t xml:space="preserve">Species 2</t>
  </si>
  <si>
    <t xml:space="preserve">goat</t>
  </si>
  <si>
    <t xml:space="preserve">pig</t>
  </si>
  <si>
    <t xml:space="preserve">Results</t>
  </si>
  <si>
    <t xml:space="preserve">Everything on this sheet is calculated. Change only the yellow settings.</t>
  </si>
  <si>
    <t xml:space="preserve">Cortex-to-medulla ratio</t>
  </si>
  <si>
    <t xml:space="preserve">Group</t>
  </si>
  <si>
    <t xml:space="preserve">n</t>
  </si>
  <si>
    <t xml:space="preserve">Mean</t>
  </si>
  <si>
    <t xml:space="preserve">SD</t>
  </si>
  <si>
    <t xml:space="preserve">SE</t>
  </si>
  <si>
    <t xml:space="preserve">Min</t>
  </si>
  <si>
    <t xml:space="preserve">Max</t>
  </si>
  <si>
    <t xml:space="preserve">Comparison of the two groups (Welch t test)</t>
  </si>
  <si>
    <t xml:space="preserve">Difference in means (group 1 minus group 2)</t>
  </si>
  <si>
    <t xml:space="preserve">Standard error of the difference</t>
  </si>
  <si>
    <t xml:space="preserve">Degrees of freedom (Welch)</t>
  </si>
  <si>
    <t xml:space="preserve">p value (two-sided)</t>
  </si>
  <si>
    <t xml:space="preserve">95% interval for the difference, lower</t>
  </si>
  <si>
    <t xml:space="preserve">95% interval for the difference, upper</t>
  </si>
  <si>
    <t xml:space="preserve">Size and pyramids</t>
  </si>
  <si>
    <t xml:space="preserve">Species</t>
  </si>
  <si>
    <t xml:space="preserve">Mean mass (g)</t>
  </si>
  <si>
    <t xml:space="preserve">Mean length (mm)</t>
  </si>
  <si>
    <t xml:space="preserve">Median pyramids</t>
  </si>
  <si>
    <t xml:space="preserve">Observer agreement on cortex thickness (both species)</t>
  </si>
  <si>
    <t xml:space="preserve">Kidneys read twice</t>
  </si>
  <si>
    <t xml:space="preserve">Mean difference (B minus A, mm)</t>
  </si>
  <si>
    <t xml:space="preserve">Standard deviation of the differences</t>
  </si>
  <si>
    <t xml:space="preserve">Limit of agreement, lower (mean - 1.96 sd)</t>
  </si>
  <si>
    <t xml:space="preserve">Limit of agreement, upper (mean + 1.96 sd)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</si>
</sst>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"/>
    <numFmt numFmtId="167" formatCode="0.000"/>
    <numFmt numFmtId="168" formatCode="0.0"/>
    <numFmt numFmtId="169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23</v>
      </c>
      <c r="F5" s="10" t="s">
        <v>24</v>
      </c>
      <c r="G5" s="10" t="s">
        <v>25</v>
      </c>
      <c r="H5" s="10" t="s">
        <v>26</v>
      </c>
      <c r="I5" s="10" t="s">
        <v>27</v>
      </c>
    </row>
    <row r="6" customFormat="false" ht="15" hidden="false" customHeight="false" outlineLevel="0" collapsed="false">
      <c r="A6" s="11" t="s">
        <v>28</v>
      </c>
      <c r="B6" s="11" t="n">
        <v>75</v>
      </c>
      <c r="C6" s="11" t="n">
        <v>68</v>
      </c>
      <c r="D6" s="11" t="n">
        <v>8</v>
      </c>
      <c r="E6" s="11" t="n">
        <v>16</v>
      </c>
      <c r="F6" s="11" t="n">
        <v>1</v>
      </c>
      <c r="G6" s="11" t="n">
        <v>8.1</v>
      </c>
    </row>
    <row r="7" customFormat="false" ht="15" hidden="false" customHeight="false" outlineLevel="0" collapsed="false">
      <c r="A7" s="12" t="s">
        <v>28</v>
      </c>
      <c r="B7" s="12" t="n">
        <v>79</v>
      </c>
      <c r="C7" s="12" t="n">
        <v>66</v>
      </c>
      <c r="D7" s="12" t="n">
        <v>9.6</v>
      </c>
      <c r="E7" s="12" t="n">
        <v>12.2</v>
      </c>
      <c r="F7" s="12" t="n">
        <v>1</v>
      </c>
      <c r="G7" s="12" t="n">
        <v>9.4</v>
      </c>
      <c r="H7" s="13" t="n">
        <f aca="false">IF(AND(ISNUMBER(D7),ISNUMBER(E7)),D7/E7,"")</f>
        <v>0.786885245901639</v>
      </c>
      <c r="I7" s="13" t="n">
        <f aca="false">IF(AND(ISNUMBER(D7),ISNUMBER(G7)),G7-D7,"")</f>
        <v>-0.199999999999999</v>
      </c>
    </row>
    <row r="8" customFormat="false" ht="15" hidden="false" customHeight="false" outlineLevel="0" collapsed="false">
      <c r="A8" s="12" t="s">
        <v>29</v>
      </c>
      <c r="B8" s="12" t="n">
        <v>73</v>
      </c>
      <c r="C8" s="12" t="n">
        <v>65</v>
      </c>
      <c r="D8" s="12" t="n">
        <v>7.8</v>
      </c>
      <c r="E8" s="12" t="n">
        <v>13</v>
      </c>
      <c r="F8" s="12" t="n">
        <v>1</v>
      </c>
      <c r="G8" s="12" t="n">
        <v>9.5</v>
      </c>
      <c r="H8" s="13" t="n">
        <f aca="false">IF(AND(ISNUMBER(D8),ISNUMBER(E8)),D8/E8,"")</f>
        <v>0.6</v>
      </c>
      <c r="I8" s="13" t="n">
        <f aca="false">IF(AND(ISNUMBER(D8),ISNUMBER(G8)),G8-D8,"")</f>
        <v>1.7</v>
      </c>
    </row>
    <row r="9" customFormat="false" ht="15" hidden="false" customHeight="false" outlineLevel="0" collapsed="false">
      <c r="A9" s="12" t="s">
        <v>30</v>
      </c>
      <c r="B9" s="12" t="n">
        <v>72</v>
      </c>
      <c r="C9" s="12" t="n">
        <v>65</v>
      </c>
      <c r="D9" s="12" t="n">
        <v>8.2</v>
      </c>
      <c r="E9" s="12" t="n">
        <v>15.5</v>
      </c>
      <c r="F9" s="12" t="n">
        <v>1</v>
      </c>
      <c r="G9" s="12" t="n">
        <v>7.7</v>
      </c>
      <c r="H9" s="13" t="n">
        <f aca="false">IF(AND(ISNUMBER(D9),ISNUMBER(E9)),D9/E9,"")</f>
        <v>0.529032258064516</v>
      </c>
      <c r="I9" s="13" t="n">
        <f aca="false">IF(AND(ISNUMBER(D9),ISNUMBER(G9)),G9-D9,"")</f>
        <v>-0.499999999999999</v>
      </c>
    </row>
    <row r="10" customFormat="false" ht="15" hidden="false" customHeight="false" outlineLevel="0" collapsed="false">
      <c r="A10" s="12" t="s">
        <v>31</v>
      </c>
      <c r="B10" s="12" t="n">
        <v>73</v>
      </c>
      <c r="C10" s="12" t="n">
        <v>72</v>
      </c>
      <c r="D10" s="12" t="n">
        <v>7.7</v>
      </c>
      <c r="E10" s="12" t="n">
        <v>16.7</v>
      </c>
      <c r="F10" s="12" t="n">
        <v>1</v>
      </c>
      <c r="G10" s="12" t="n">
        <v>7.6</v>
      </c>
      <c r="H10" s="13" t="n">
        <f aca="false">IF(AND(ISNUMBER(D10),ISNUMBER(E10)),D10/E10,"")</f>
        <v>0.461077844311377</v>
      </c>
      <c r="I10" s="13" t="n">
        <f aca="false">IF(AND(ISNUMBER(D10),ISNUMBER(G10)),G10-D10,"")</f>
        <v>-0.100000000000001</v>
      </c>
    </row>
    <row r="11" customFormat="false" ht="15" hidden="false" customHeight="false" outlineLevel="0" collapsed="false">
      <c r="A11" s="12" t="s">
        <v>32</v>
      </c>
      <c r="B11" s="12" t="n">
        <v>80</v>
      </c>
      <c r="C11" s="12" t="n">
        <v>66</v>
      </c>
      <c r="D11" s="12" t="n">
        <v>8</v>
      </c>
      <c r="E11" s="12" t="n">
        <v>18.3</v>
      </c>
      <c r="F11" s="12" t="n">
        <v>1</v>
      </c>
      <c r="G11" s="12" t="n">
        <v>7.9</v>
      </c>
      <c r="H11" s="13" t="n">
        <f aca="false">IF(AND(ISNUMBER(D11),ISNUMBER(E11)),D11/E11,"")</f>
        <v>0.437158469945355</v>
      </c>
      <c r="I11" s="13" t="n">
        <f aca="false">IF(AND(ISNUMBER(D11),ISNUMBER(G11)),G11-D11,"")</f>
        <v>-0.0999999999999996</v>
      </c>
    </row>
    <row r="12" customFormat="false" ht="15" hidden="false" customHeight="false" outlineLevel="0" collapsed="false">
      <c r="A12" s="12" t="s">
        <v>33</v>
      </c>
      <c r="B12" s="12" t="n">
        <v>72</v>
      </c>
      <c r="C12" s="12" t="n">
        <v>67</v>
      </c>
      <c r="D12" s="12" t="n">
        <v>8.4</v>
      </c>
      <c r="E12" s="12" t="n">
        <v>18.9</v>
      </c>
      <c r="F12" s="12" t="n">
        <v>1</v>
      </c>
      <c r="G12" s="12" t="n">
        <v>8.9</v>
      </c>
      <c r="H12" s="13" t="n">
        <f aca="false">IF(AND(ISNUMBER(D12),ISNUMBER(E12)),D12/E12,"")</f>
        <v>0.444444444444445</v>
      </c>
      <c r="I12" s="13" t="n">
        <f aca="false">IF(AND(ISNUMBER(D12),ISNUMBER(G12)),G12-D12,"")</f>
        <v>0.5</v>
      </c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3" t="str">
        <f aca="false">IF(AND(ISNUMBER(D13),ISNUMBER(E13)),D13/E13,"")</f>
        <v/>
      </c>
      <c r="I13" s="13" t="str">
        <f aca="false">IF(AND(ISNUMBER(D13),ISNUMBER(G13)),G13-D13,"")</f>
        <v/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3" t="str">
        <f aca="false">IF(AND(ISNUMBER(D14),ISNUMBER(E14)),D14/E14,"")</f>
        <v/>
      </c>
      <c r="I14" s="13" t="str">
        <f aca="false">IF(AND(ISNUMBER(D14),ISNUMBER(G14)),G14-D14,"")</f>
        <v/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3" t="str">
        <f aca="false">IF(AND(ISNUMBER(D15),ISNUMBER(E15)),D15/E15,"")</f>
        <v/>
      </c>
      <c r="I15" s="13" t="str">
        <f aca="false">IF(AND(ISNUMBER(D15),ISNUMBER(G15)),G15-D15,"")</f>
        <v/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3" t="str">
        <f aca="false">IF(AND(ISNUMBER(D16),ISNUMBER(E16)),D16/E16,"")</f>
        <v/>
      </c>
      <c r="I16" s="13" t="str">
        <f aca="false">IF(AND(ISNUMBER(D16),ISNUMBER(G16)),G16-D16,"")</f>
        <v/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3" t="str">
        <f aca="false">IF(AND(ISNUMBER(D17),ISNUMBER(E17)),D17/E17,"")</f>
        <v/>
      </c>
      <c r="I17" s="13" t="str">
        <f aca="false">IF(AND(ISNUMBER(D17),ISNUMBER(G17)),G17-D17,"")</f>
        <v/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3" t="str">
        <f aca="false">IF(AND(ISNUMBER(D18),ISNUMBER(E18)),D18/E18,"")</f>
        <v/>
      </c>
      <c r="I18" s="13" t="str">
        <f aca="false">IF(AND(ISNUMBER(D18),ISNUMBER(G18)),G18-D18,"")</f>
        <v/>
      </c>
    </row>
    <row r="21" customFormat="false" ht="15" hidden="false" customHeight="false" outlineLevel="0" collapsed="false">
      <c r="A21" s="9" t="s">
        <v>34</v>
      </c>
    </row>
    <row r="22" customFormat="false" ht="31.5" hidden="false" customHeight="true" outlineLevel="0" collapsed="false">
      <c r="A22" s="10" t="s">
        <v>19</v>
      </c>
      <c r="B22" s="10" t="s">
        <v>20</v>
      </c>
      <c r="C22" s="10" t="s">
        <v>21</v>
      </c>
      <c r="D22" s="10" t="s">
        <v>22</v>
      </c>
      <c r="E22" s="10" t="s">
        <v>23</v>
      </c>
      <c r="F22" s="10" t="s">
        <v>24</v>
      </c>
      <c r="G22" s="10" t="s">
        <v>25</v>
      </c>
      <c r="H22" s="10" t="s">
        <v>26</v>
      </c>
      <c r="I22" s="10" t="s">
        <v>27</v>
      </c>
    </row>
    <row r="23" customFormat="false" ht="15" hidden="false" customHeight="false" outlineLevel="0" collapsed="false">
      <c r="A23" s="11" t="s">
        <v>28</v>
      </c>
      <c r="B23" s="11" t="n">
        <v>75</v>
      </c>
      <c r="C23" s="11" t="n">
        <v>68</v>
      </c>
      <c r="D23" s="11" t="n">
        <v>8</v>
      </c>
      <c r="E23" s="11" t="n">
        <v>16</v>
      </c>
      <c r="F23" s="11" t="n">
        <v>1</v>
      </c>
      <c r="G23" s="11" t="n">
        <v>8.1</v>
      </c>
    </row>
    <row r="24" customFormat="false" ht="15" hidden="false" customHeight="false" outlineLevel="0" collapsed="false">
      <c r="A24" s="12" t="s">
        <v>28</v>
      </c>
      <c r="B24" s="12" t="n">
        <v>149</v>
      </c>
      <c r="C24" s="12" t="n">
        <v>107</v>
      </c>
      <c r="D24" s="12" t="n">
        <v>10.3</v>
      </c>
      <c r="E24" s="12" t="n">
        <v>21.6</v>
      </c>
      <c r="F24" s="12" t="n">
        <v>9</v>
      </c>
      <c r="G24" s="12" t="n">
        <v>10.6</v>
      </c>
      <c r="H24" s="13" t="n">
        <f aca="false">IF(AND(ISNUMBER(D24),ISNUMBER(E24)),D24/E24,"")</f>
        <v>0.476851851851852</v>
      </c>
      <c r="I24" s="13" t="n">
        <f aca="false">IF(AND(ISNUMBER(D24),ISNUMBER(G24)),G24-D24,"")</f>
        <v>0.299999999999999</v>
      </c>
    </row>
    <row r="25" customFormat="false" ht="15" hidden="false" customHeight="false" outlineLevel="0" collapsed="false">
      <c r="A25" s="12" t="s">
        <v>29</v>
      </c>
      <c r="B25" s="12" t="n">
        <v>130</v>
      </c>
      <c r="C25" s="12" t="n">
        <v>98</v>
      </c>
      <c r="D25" s="12" t="n">
        <v>8.7</v>
      </c>
      <c r="E25" s="12" t="n">
        <v>23.5</v>
      </c>
      <c r="F25" s="12" t="n">
        <v>9</v>
      </c>
      <c r="G25" s="12" t="n">
        <v>8.8</v>
      </c>
      <c r="H25" s="13" t="n">
        <f aca="false">IF(AND(ISNUMBER(D25),ISNUMBER(E25)),D25/E25,"")</f>
        <v>0.370212765957447</v>
      </c>
      <c r="I25" s="13" t="n">
        <f aca="false">IF(AND(ISNUMBER(D25),ISNUMBER(G25)),G25-D25,"")</f>
        <v>0.100000000000001</v>
      </c>
    </row>
    <row r="26" customFormat="false" ht="15" hidden="false" customHeight="false" outlineLevel="0" collapsed="false">
      <c r="A26" s="12" t="s">
        <v>30</v>
      </c>
      <c r="B26" s="12" t="n">
        <v>129</v>
      </c>
      <c r="C26" s="12" t="n">
        <v>105</v>
      </c>
      <c r="D26" s="12" t="n">
        <v>11.6</v>
      </c>
      <c r="E26" s="12" t="n">
        <v>21.3</v>
      </c>
      <c r="F26" s="12" t="n">
        <v>8</v>
      </c>
      <c r="G26" s="12" t="n">
        <v>12.3</v>
      </c>
      <c r="H26" s="13" t="n">
        <f aca="false">IF(AND(ISNUMBER(D26),ISNUMBER(E26)),D26/E26,"")</f>
        <v>0.544600938967136</v>
      </c>
      <c r="I26" s="13" t="n">
        <f aca="false">IF(AND(ISNUMBER(D26),ISNUMBER(G26)),G26-D26,"")</f>
        <v>0.700000000000001</v>
      </c>
    </row>
    <row r="27" customFormat="false" ht="15" hidden="false" customHeight="false" outlineLevel="0" collapsed="false">
      <c r="A27" s="12" t="s">
        <v>31</v>
      </c>
      <c r="B27" s="12" t="n">
        <v>151</v>
      </c>
      <c r="C27" s="12" t="n">
        <v>104</v>
      </c>
      <c r="D27" s="12" t="n">
        <v>11.6</v>
      </c>
      <c r="E27" s="12" t="n">
        <v>22.3</v>
      </c>
      <c r="F27" s="12" t="n">
        <v>10</v>
      </c>
      <c r="G27" s="12" t="n">
        <v>11.1</v>
      </c>
      <c r="H27" s="13" t="n">
        <f aca="false">IF(AND(ISNUMBER(D27),ISNUMBER(E27)),D27/E27,"")</f>
        <v>0.520179372197309</v>
      </c>
      <c r="I27" s="13" t="n">
        <f aca="false">IF(AND(ISNUMBER(D27),ISNUMBER(G27)),G27-D27,"")</f>
        <v>-0.5</v>
      </c>
    </row>
    <row r="28" customFormat="false" ht="15" hidden="false" customHeight="false" outlineLevel="0" collapsed="false">
      <c r="A28" s="12" t="s">
        <v>32</v>
      </c>
      <c r="B28" s="12" t="n">
        <v>138</v>
      </c>
      <c r="C28" s="12" t="n">
        <v>102</v>
      </c>
      <c r="D28" s="12" t="n">
        <v>11.5</v>
      </c>
      <c r="E28" s="12" t="n">
        <v>22.9</v>
      </c>
      <c r="F28" s="12" t="n">
        <v>8</v>
      </c>
      <c r="G28" s="12" t="n">
        <v>10.3</v>
      </c>
      <c r="H28" s="13" t="n">
        <f aca="false">IF(AND(ISNUMBER(D28),ISNUMBER(E28)),D28/E28,"")</f>
        <v>0.502183406113537</v>
      </c>
      <c r="I28" s="13" t="n">
        <f aca="false">IF(AND(ISNUMBER(D28),ISNUMBER(G28)),G28-D28,"")</f>
        <v>-1.2</v>
      </c>
    </row>
    <row r="29" customFormat="false" ht="15" hidden="false" customHeight="false" outlineLevel="0" collapsed="false">
      <c r="A29" s="12" t="s">
        <v>33</v>
      </c>
      <c r="B29" s="12" t="n">
        <v>124</v>
      </c>
      <c r="C29" s="12" t="n">
        <v>105</v>
      </c>
      <c r="D29" s="12" t="n">
        <v>11.6</v>
      </c>
      <c r="E29" s="12" t="n">
        <v>22.7</v>
      </c>
      <c r="F29" s="12" t="n">
        <v>8</v>
      </c>
      <c r="G29" s="12" t="n">
        <v>11.1</v>
      </c>
      <c r="H29" s="13" t="n">
        <f aca="false">IF(AND(ISNUMBER(D29),ISNUMBER(E29)),D29/E29,"")</f>
        <v>0.511013215859031</v>
      </c>
      <c r="I29" s="13" t="n">
        <f aca="false">IF(AND(ISNUMBER(D29),ISNUMBER(G29)),G29-D29,"")</f>
        <v>-0.5</v>
      </c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3" t="str">
        <f aca="false">IF(AND(ISNUMBER(D30),ISNUMBER(E30)),D30/E30,"")</f>
        <v/>
      </c>
      <c r="I30" s="13" t="str">
        <f aca="false">IF(AND(ISNUMBER(D30),ISNUMBER(G30)),G30-D30,"")</f>
        <v/>
      </c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3" t="str">
        <f aca="false">IF(AND(ISNUMBER(D31),ISNUMBER(E31)),D31/E31,"")</f>
        <v/>
      </c>
      <c r="I31" s="13" t="str">
        <f aca="false">IF(AND(ISNUMBER(D31),ISNUMBER(G31)),G31-D31,"")</f>
        <v/>
      </c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3" t="str">
        <f aca="false">IF(AND(ISNUMBER(D32),ISNUMBER(E32)),D32/E32,"")</f>
        <v/>
      </c>
      <c r="I32" s="13" t="str">
        <f aca="false">IF(AND(ISNUMBER(D32),ISNUMBER(G32)),G32-D32,"")</f>
        <v/>
      </c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3" t="str">
        <f aca="false">IF(AND(ISNUMBER(D33),ISNUMBER(E33)),D33/E33,"")</f>
        <v/>
      </c>
      <c r="I33" s="13" t="str">
        <f aca="false">IF(AND(ISNUMBER(D33),ISNUMBER(G33)),G33-D33,"")</f>
        <v/>
      </c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3" t="str">
        <f aca="false">IF(AND(ISNUMBER(D34),ISNUMBER(E34)),D34/E34,"")</f>
        <v/>
      </c>
      <c r="I34" s="13" t="str">
        <f aca="false">IF(AND(ISNUMBER(D34),ISNUMBER(G34)),G34-D34,"")</f>
        <v/>
      </c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3" t="str">
        <f aca="false">IF(AND(ISNUMBER(D35),ISNUMBER(E35)),D35/E35,"")</f>
        <v/>
      </c>
      <c r="I35" s="13" t="str">
        <f aca="false">IF(AND(ISNUMBER(D35),ISNUMBER(G35)),G35-D35,"")</f>
        <v/>
      </c>
    </row>
    <row r="38" customFormat="false" ht="15" hidden="false" customHeight="false" outlineLevel="0" collapsed="false">
      <c r="A38" s="9" t="s">
        <v>35</v>
      </c>
    </row>
    <row r="39" customFormat="false" ht="31.5" hidden="false" customHeight="true" outlineLevel="0" collapsed="false">
      <c r="A39" s="10" t="s">
        <v>36</v>
      </c>
      <c r="B39" s="10" t="s">
        <v>37</v>
      </c>
    </row>
    <row r="40" customFormat="false" ht="15" hidden="false" customHeight="false" outlineLevel="0" collapsed="false">
      <c r="A40" s="12" t="s">
        <v>38</v>
      </c>
      <c r="B40" s="12" t="s">
        <v>39</v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G18 B24:G35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40</v>
      </c>
    </row>
    <row r="2" customFormat="false" ht="15" hidden="false" customHeight="false" outlineLevel="0" collapsed="false">
      <c r="B2" s="8" t="s">
        <v>41</v>
      </c>
    </row>
    <row r="4" customFormat="false" ht="15" hidden="false" customHeight="false" outlineLevel="0" collapsed="false">
      <c r="B4" s="9" t="s">
        <v>42</v>
      </c>
    </row>
    <row r="5" customFormat="false" ht="30" hidden="false" customHeight="true" outlineLevel="0" collapsed="false">
      <c r="B5" s="10" t="s">
        <v>43</v>
      </c>
      <c r="C5" s="10" t="s">
        <v>44</v>
      </c>
      <c r="D5" s="10" t="s">
        <v>45</v>
      </c>
      <c r="E5" s="10" t="s">
        <v>46</v>
      </c>
      <c r="F5" s="10" t="s">
        <v>47</v>
      </c>
      <c r="G5" s="10" t="s">
        <v>48</v>
      </c>
      <c r="H5" s="10" t="s">
        <v>49</v>
      </c>
    </row>
    <row r="6" customFormat="false" ht="15" hidden="false" customHeight="false" outlineLevel="0" collapsed="false">
      <c r="B6" s="14" t="str">
        <f aca="false">IFERROR('Enter data'!$A$40,"")</f>
        <v>goat</v>
      </c>
      <c r="C6" s="15" t="n">
        <f aca="false">IFERROR(COUNT('Enter data'!$H$7:$H$18),"")</f>
        <v>6</v>
      </c>
      <c r="D6" s="16" t="n">
        <f aca="false">IFERROR(AVERAGE('Enter data'!$H$7:$H$18),"")</f>
        <v>0.543099710444555</v>
      </c>
      <c r="E6" s="16" t="n">
        <f aca="false">IFERROR(STDEV('Enter data'!$H$7:$H$18),"")</f>
        <v>0.134574082154096</v>
      </c>
      <c r="F6" s="16" t="n">
        <f aca="false">IFERROR(STDEV('Enter data'!$H$7:$H$18)/SQRT(COUNT('Enter data'!$H$7:$H$18)),"")</f>
        <v>0.054939638980153</v>
      </c>
      <c r="G6" s="16" t="n">
        <f aca="false">IFERROR(MIN('Enter data'!$H$7:$H$18),"")</f>
        <v>0.437158469945355</v>
      </c>
      <c r="H6" s="16" t="n">
        <f aca="false">IFERROR(MAX('Enter data'!$H$7:$H$18),"")</f>
        <v>0.786885245901639</v>
      </c>
    </row>
    <row r="7" customFormat="false" ht="15" hidden="false" customHeight="false" outlineLevel="0" collapsed="false">
      <c r="B7" s="14" t="str">
        <f aca="false">IFERROR('Enter data'!$B$40,"")</f>
        <v>pig</v>
      </c>
      <c r="C7" s="15" t="n">
        <f aca="false">IFERROR(COUNT('Enter data'!$H$24:$H$35),"")</f>
        <v>6</v>
      </c>
      <c r="D7" s="16" t="n">
        <f aca="false">IFERROR(AVERAGE('Enter data'!$H$24:$H$35),"")</f>
        <v>0.487506925157719</v>
      </c>
      <c r="E7" s="16" t="n">
        <f aca="false">IFERROR(STDEV('Enter data'!$H$24:$H$35),"")</f>
        <v>0.0615899510859654</v>
      </c>
      <c r="F7" s="16" t="n">
        <f aca="false">IFERROR(STDEV('Enter data'!$H$24:$H$35)/SQRT(COUNT('Enter data'!$H$24:$H$35)),"")</f>
        <v>0.0251439922405983</v>
      </c>
      <c r="G7" s="16" t="n">
        <f aca="false">IFERROR(MIN('Enter data'!$H$24:$H$35),"")</f>
        <v>0.370212765957447</v>
      </c>
      <c r="H7" s="16" t="n">
        <f aca="false">IFERROR(MAX('Enter data'!$H$24:$H$35),"")</f>
        <v>0.544600938967136</v>
      </c>
    </row>
    <row r="10" customFormat="false" ht="15" hidden="false" customHeight="false" outlineLevel="0" collapsed="false">
      <c r="B10" s="9" t="s">
        <v>50</v>
      </c>
    </row>
    <row r="11" customFormat="false" ht="15" hidden="false" customHeight="false" outlineLevel="0" collapsed="false">
      <c r="B11" s="17" t="s">
        <v>51</v>
      </c>
      <c r="C11" s="18" t="n">
        <f aca="false">IFERROR($D$6-$D$7,"")</f>
        <v>0.0555927852868368</v>
      </c>
    </row>
    <row r="12" customFormat="false" ht="15" hidden="false" customHeight="false" outlineLevel="0" collapsed="false">
      <c r="B12" s="17" t="s">
        <v>52</v>
      </c>
      <c r="C12" s="18" t="n">
        <f aca="false">IFERROR(SQRT($F$6^2+$F$7^2),"")</f>
        <v>0.0604200651858703</v>
      </c>
    </row>
    <row r="13" customFormat="false" ht="15" hidden="false" customHeight="false" outlineLevel="0" collapsed="false">
      <c r="B13" s="17" t="s">
        <v>53</v>
      </c>
      <c r="C13" s="19" t="n">
        <f aca="false">IFERROR((($E$6^2/$C$6+$E$7^2/$C$7)^2/(($E$6^2/$C$6)^2/($C$6-1)+($E$7^2/$C$7)^2/($C$7-1))),"")</f>
        <v>7.00654707115111</v>
      </c>
    </row>
    <row r="14" customFormat="false" ht="15" hidden="false" customHeight="false" outlineLevel="0" collapsed="false">
      <c r="B14" s="17" t="s">
        <v>54</v>
      </c>
      <c r="C14" s="20" t="n">
        <f aca="false">IFERROR(TTEST('Enter data'!$H$7:$H$18,'Enter data'!$H$24:$H$35,2,3),"")</f>
        <v>0.388098495108776</v>
      </c>
    </row>
    <row r="15" customFormat="false" ht="15" hidden="false" customHeight="false" outlineLevel="0" collapsed="false">
      <c r="B15" s="17" t="s">
        <v>55</v>
      </c>
      <c r="C15" s="18" t="n">
        <f aca="false">IFERROR($C$11-TINV(0.05,$C$13)*$C$12,"")</f>
        <v>-0.087277966134489</v>
      </c>
    </row>
    <row r="16" customFormat="false" ht="15" hidden="false" customHeight="false" outlineLevel="0" collapsed="false">
      <c r="B16" s="17" t="s">
        <v>56</v>
      </c>
      <c r="C16" s="18" t="n">
        <f aca="false">IFERROR($C$11+TINV(0.05,$C$13)*$C$12,"")</f>
        <v>0.198463536708163</v>
      </c>
    </row>
    <row r="18" customFormat="false" ht="15" hidden="false" customHeight="false" outlineLevel="0" collapsed="false">
      <c r="B18" s="9" t="s">
        <v>57</v>
      </c>
    </row>
    <row r="19" customFormat="false" ht="30" hidden="false" customHeight="true" outlineLevel="0" collapsed="false">
      <c r="B19" s="10" t="s">
        <v>58</v>
      </c>
      <c r="C19" s="10" t="s">
        <v>59</v>
      </c>
      <c r="D19" s="10" t="s">
        <v>60</v>
      </c>
      <c r="E19" s="10" t="s">
        <v>61</v>
      </c>
    </row>
    <row r="20" customFormat="false" ht="15" hidden="false" customHeight="false" outlineLevel="0" collapsed="false">
      <c r="B20" s="14" t="str">
        <f aca="false">IFERROR('Enter data'!$A$40,"")</f>
        <v>goat</v>
      </c>
      <c r="C20" s="21" t="n">
        <f aca="false">IFERROR(AVERAGE('Enter data'!$B$7:$B$18),"")</f>
        <v>74.8333333333333</v>
      </c>
      <c r="D20" s="21" t="n">
        <f aca="false">IFERROR(AVERAGE('Enter data'!$C$7:$C$18),"")</f>
        <v>66.8333333333333</v>
      </c>
      <c r="E20" s="15" t="n">
        <f aca="false">IFERROR(MEDIAN('Enter data'!$F$7:$F$18),"")</f>
        <v>1</v>
      </c>
    </row>
    <row r="21" customFormat="false" ht="15" hidden="false" customHeight="false" outlineLevel="0" collapsed="false">
      <c r="B21" s="14" t="str">
        <f aca="false">IFERROR('Enter data'!$B$40,"")</f>
        <v>pig</v>
      </c>
      <c r="C21" s="21" t="n">
        <f aca="false">IFERROR(AVERAGE('Enter data'!$B$24:$B$35),"")</f>
        <v>136.833333333333</v>
      </c>
      <c r="D21" s="21" t="n">
        <f aca="false">IFERROR(AVERAGE('Enter data'!$C$24:$C$35),"")</f>
        <v>103.5</v>
      </c>
      <c r="E21" s="15" t="n">
        <f aca="false">IFERROR(MEDIAN('Enter data'!$F$24:$F$35),"")</f>
        <v>8.5</v>
      </c>
    </row>
    <row r="24" customFormat="false" ht="15" hidden="false" customHeight="false" outlineLevel="0" collapsed="false">
      <c r="B24" s="9" t="s">
        <v>62</v>
      </c>
    </row>
    <row r="25" customFormat="false" ht="15" hidden="false" customHeight="false" outlineLevel="0" collapsed="false">
      <c r="B25" s="17" t="s">
        <v>63</v>
      </c>
      <c r="C25" s="22" t="n">
        <f aca="false">IFERROR(COUNT('Enter data'!$I$7:$I$18)+COUNT('Enter data'!$I$24:$I$35),"")</f>
        <v>12</v>
      </c>
    </row>
    <row r="26" customFormat="false" ht="15" hidden="false" customHeight="false" outlineLevel="0" collapsed="false">
      <c r="B26" s="17" t="s">
        <v>64</v>
      </c>
      <c r="C26" s="23" t="n">
        <f aca="false">IFERROR((SUM('Enter data'!$I$7:$I$18)+SUM('Enter data'!$I$24:$I$35))/$C$25,"")</f>
        <v>0.016666666666667</v>
      </c>
    </row>
    <row r="27" customFormat="false" ht="15" hidden="false" customHeight="false" outlineLevel="0" collapsed="false">
      <c r="B27" s="17" t="s">
        <v>65</v>
      </c>
      <c r="C27" s="23" t="n">
        <f aca="false">IFERROR(STDEV('Enter data'!$I$7:$I$18,'Enter data'!$I$24:$I$35),"")</f>
        <v>0.737111479583199</v>
      </c>
    </row>
    <row r="28" customFormat="false" ht="15" hidden="false" customHeight="false" outlineLevel="0" collapsed="false">
      <c r="B28" s="17" t="s">
        <v>66</v>
      </c>
      <c r="C28" s="18" t="n">
        <f aca="false">IFERROR($C$26-1.96*$C$27,"")</f>
        <v>-1.4280718333164</v>
      </c>
    </row>
    <row r="29" customFormat="false" ht="15" hidden="false" customHeight="false" outlineLevel="0" collapsed="false">
      <c r="B29" s="17" t="s">
        <v>67</v>
      </c>
      <c r="C29" s="18" t="n">
        <f aca="false">IFERROR($C$26+1.96*$C$27,"")</f>
        <v>1.46140516664974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2026-10-01T00:30:41Z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2026-10-01T00:30:41Z</dcterms:modified>
  <cp:revision>0</cp:revision>
  <dc:subject/>
  <dc:title>AP-03 Mammalian kidney: dissection measurements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