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<sst xmlns="http://schemas.openxmlformats.org/spreadsheetml/2006/main" count="49" uniqueCount="48">
  <si>
    <t xml:space="preserve">ACH-03  Total water hardness by EDTA titration</t>
  </si>
  <si>
    <t xml:space="preserve">Excel version of the card. It does the same calculations as the R script ach03_edta_hardness.R.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</si>
  <si>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</si>
  <si>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</si>
  <si>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</si>
  <si>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</si>
  <si>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</si>
  <si>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</si>
  <si>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</si>
  <si>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</si>
  <si>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Hardness (mg/L as CaCO3) = M(EDTA) x V(EDTA, mL) x 100.09 x 1000 / V(sample, mL). Classes: soft under 60, moderately hard 60 to 120, hard 120 to 180, very hard 180 and above.</t>
  </si>
  <si>
    <t xml:space="preserve">Spike recovery = (hardness of the spiked sample - hardness of the unspiked sample) / amount added x 100. The small dilution from adding the spike is ignored.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</si>
  <si>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</si>
  <si>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</si>
  <si>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</si>
  <si>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</si>
  <si>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EDTA volumes (mL) for each water source, one row per titration. Type the source names in the yellow header cells.</t>
  </si>
  <si>
    <t xml:space="preserve">Titration</t>
  </si>
  <si>
    <t xml:space="preserve">Tap water</t>
  </si>
  <si>
    <t xml:space="preserve">Well water</t>
  </si>
  <si>
    <t xml:space="preserve">Bottled water</t>
  </si>
  <si>
    <t xml:space="preserve">Stream water</t>
  </si>
  <si>
    <t xml:space="preserve">Spiked tap water</t>
  </si>
  <si>
    <t xml:space="preserve">Titration 1</t>
  </si>
  <si>
    <t xml:space="preserve">Titration 2</t>
  </si>
  <si>
    <t xml:space="preserve">Titration 3</t>
  </si>
  <si>
    <t xml:space="preserve">Titration 4</t>
  </si>
  <si>
    <t xml:space="preserve">Titration 5</t>
  </si>
  <si>
    <t xml:space="preserve">Titration 6</t>
  </si>
  <si>
    <t xml:space="preserve">Results</t>
  </si>
  <si>
    <t xml:space="preserve">Everything on this sheet is calculated. Change only the yellow settings.</t>
  </si>
  <si>
    <t xml:space="preserve">Settings</t>
  </si>
  <si>
    <t xml:space="preserve">EDTA molarity (mol/L)</t>
  </si>
  <si>
    <t xml:space="preserve">Sample volume titrated (mL)</t>
  </si>
  <si>
    <t xml:space="preserve">Amount added in the spike (mg/L as CaCO3)</t>
  </si>
  <si>
    <t xml:space="preserve">Concentration increase in the spiked sample.</t>
  </si>
  <si>
    <t xml:space="preserve">Hardness by source (mg/L as CaCO3)</t>
  </si>
  <si>
    <t xml:space="preserve">Source</t>
  </si>
  <si>
    <t xml:space="preserve">n</t>
  </si>
  <si>
    <t xml:space="preserve">Mean hardness</t>
  </si>
  <si>
    <t xml:space="preserve">SD</t>
  </si>
  <si>
    <t xml:space="preserve">95% CI, lower</t>
  </si>
  <si>
    <t xml:space="preserve">95% CI, upper</t>
  </si>
  <si>
    <t xml:space="preserve">Class</t>
  </si>
  <si>
    <t xml:space="preserve">Spike recovery (tap water)</t>
  </si>
  <si>
    <t xml:space="preserve">Recovery (%)</t>
  </si>
  <si>
    <t xml:space="preserve">Roughly 80 to 120 percent is commonly accepted; use your laboratory's own rule.</t>
  </si>
  <si>
    <t xml:space="preserve">Standardization check: 10.0 mg CaCO3 titrated with 10.0 mL EDTA gives (mol/L)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</si>
</sst>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.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6" t="s">
        <v>12</v>
      </c>
    </row>
    <row r="18" customFormat="false" ht="15" hidden="false" customHeight="false" outlineLevel="0" collapsed="false">
      <c r="B18" s="2"/>
    </row>
    <row r="19" customFormat="false" ht="22.35" hidden="false" customHeight="false" outlineLevel="0" collapsed="false">
      <c r="B19" s="6" t="s">
        <v>13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14</v>
      </c>
    </row>
    <row r="2" customFormat="false" ht="15" hidden="false" customHeight="false" outlineLevel="0" collapsed="false">
      <c r="A2" s="8" t="s">
        <v>15</v>
      </c>
    </row>
    <row r="4" customFormat="false" ht="15" hidden="false" customHeight="false" outlineLevel="0" collapsed="false">
      <c r="A4" s="9" t="s">
        <v>16</v>
      </c>
    </row>
    <row r="5" customFormat="false" ht="31.5" hidden="false" customHeight="true" outlineLevel="0" collapsed="false">
      <c r="A5" s="10" t="s">
        <v>17</v>
      </c>
      <c r="B5" s="11" t="s">
        <v>18</v>
      </c>
      <c r="C5" s="11" t="s">
        <v>19</v>
      </c>
      <c r="D5" s="11" t="s">
        <v>20</v>
      </c>
      <c r="E5" s="11" t="s">
        <v>21</v>
      </c>
      <c r="F5" s="11" t="s">
        <v>22</v>
      </c>
    </row>
    <row r="6" customFormat="false" ht="15" hidden="false" customHeight="false" outlineLevel="0" collapsed="false">
      <c r="A6" s="12" t="s">
        <v>23</v>
      </c>
      <c r="B6" s="12" t="n">
        <v>8.5</v>
      </c>
      <c r="C6" s="12" t="n">
        <v>21</v>
      </c>
      <c r="D6" s="12" t="n">
        <v>2.7</v>
      </c>
      <c r="E6" s="12" t="n">
        <v>12.1</v>
      </c>
      <c r="F6" s="12" t="n">
        <v>12.3</v>
      </c>
    </row>
    <row r="7" customFormat="false" ht="15" hidden="false" customHeight="false" outlineLevel="0" collapsed="false">
      <c r="A7" s="13" t="s">
        <v>23</v>
      </c>
      <c r="B7" s="14" t="n">
        <v>4.2</v>
      </c>
      <c r="C7" s="14" t="n">
        <v>10.46</v>
      </c>
      <c r="D7" s="14" t="n">
        <v>1.35</v>
      </c>
      <c r="E7" s="14" t="n">
        <v>6.01</v>
      </c>
      <c r="F7" s="14" t="n">
        <v>6.12</v>
      </c>
    </row>
    <row r="8" customFormat="false" ht="15" hidden="false" customHeight="false" outlineLevel="0" collapsed="false">
      <c r="A8" s="13" t="s">
        <v>24</v>
      </c>
      <c r="B8" s="14" t="n">
        <v>4.34</v>
      </c>
      <c r="C8" s="14" t="n">
        <v>10.43</v>
      </c>
      <c r="D8" s="14" t="n">
        <v>1.34</v>
      </c>
      <c r="E8" s="14" t="n">
        <v>5.92</v>
      </c>
      <c r="F8" s="14" t="n">
        <v>6.19</v>
      </c>
    </row>
    <row r="9" customFormat="false" ht="15" hidden="false" customHeight="false" outlineLevel="0" collapsed="false">
      <c r="A9" s="13" t="s">
        <v>25</v>
      </c>
      <c r="B9" s="14" t="n">
        <v>4.18</v>
      </c>
      <c r="C9" s="14" t="n">
        <v>10.55</v>
      </c>
      <c r="D9" s="14" t="n">
        <v>1.35</v>
      </c>
      <c r="E9" s="14" t="n">
        <v>6.04</v>
      </c>
      <c r="F9" s="14" t="n">
        <v>6.28</v>
      </c>
    </row>
    <row r="10" customFormat="false" ht="15" hidden="false" customHeight="false" outlineLevel="0" collapsed="false">
      <c r="A10" s="13" t="s">
        <v>26</v>
      </c>
      <c r="B10" s="14" t="n">
        <v>4.2</v>
      </c>
      <c r="C10" s="14" t="n">
        <v>10.3</v>
      </c>
      <c r="D10" s="14" t="n">
        <v>1.44</v>
      </c>
      <c r="E10" s="14" t="n">
        <v>6.03</v>
      </c>
      <c r="F10" s="14" t="n">
        <v>6.16</v>
      </c>
    </row>
    <row r="11" customFormat="false" ht="15" hidden="false" customHeight="false" outlineLevel="0" collapsed="false">
      <c r="A11" s="13" t="s">
        <v>27</v>
      </c>
      <c r="B11" s="14"/>
      <c r="C11" s="14"/>
      <c r="D11" s="14"/>
      <c r="E11" s="14"/>
      <c r="F11" s="14"/>
    </row>
    <row r="12" customFormat="false" ht="15" hidden="false" customHeight="false" outlineLevel="0" collapsed="false">
      <c r="A12" s="13" t="s">
        <v>28</v>
      </c>
      <c r="B12" s="14"/>
      <c r="C12" s="14"/>
      <c r="D12" s="14"/>
      <c r="E12" s="14"/>
      <c r="F12" s="14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F12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29</v>
      </c>
    </row>
    <row r="2" customFormat="false" ht="15" hidden="false" customHeight="false" outlineLevel="0" collapsed="false">
      <c r="B2" s="8" t="s">
        <v>30</v>
      </c>
    </row>
    <row r="4" customFormat="false" ht="15" hidden="false" customHeight="false" outlineLevel="0" collapsed="false">
      <c r="B4" s="9" t="s">
        <v>31</v>
      </c>
    </row>
    <row r="5" customFormat="false" ht="15" hidden="false" customHeight="false" outlineLevel="0" collapsed="false">
      <c r="B5" s="15" t="s">
        <v>32</v>
      </c>
      <c r="C5" s="14" t="n">
        <v>0.01</v>
      </c>
      <c r="D5" s="8"/>
    </row>
    <row r="6" customFormat="false" ht="15" hidden="false" customHeight="false" outlineLevel="0" collapsed="false">
      <c r="B6" s="15" t="s">
        <v>33</v>
      </c>
      <c r="C6" s="14" t="n">
        <v>50</v>
      </c>
      <c r="D6" s="8"/>
    </row>
    <row r="7" customFormat="false" ht="15" hidden="false" customHeight="false" outlineLevel="0" collapsed="false">
      <c r="B7" s="15" t="s">
        <v>34</v>
      </c>
      <c r="C7" s="14" t="n">
        <v>40</v>
      </c>
      <c r="D7" s="8" t="s">
        <v>35</v>
      </c>
    </row>
    <row r="9" customFormat="false" ht="15" hidden="false" customHeight="false" outlineLevel="0" collapsed="false">
      <c r="B9" s="9" t="s">
        <v>36</v>
      </c>
    </row>
    <row r="10" customFormat="false" ht="30" hidden="false" customHeight="true" outlineLevel="0" collapsed="false">
      <c r="B10" s="10" t="s">
        <v>37</v>
      </c>
      <c r="C10" s="10" t="s">
        <v>38</v>
      </c>
      <c r="D10" s="10" t="s">
        <v>39</v>
      </c>
      <c r="E10" s="10" t="s">
        <v>40</v>
      </c>
      <c r="F10" s="10" t="s">
        <v>41</v>
      </c>
      <c r="G10" s="10" t="s">
        <v>42</v>
      </c>
      <c r="H10" s="10" t="s">
        <v>43</v>
      </c>
    </row>
    <row r="11" customFormat="false" ht="15" hidden="false" customHeight="false" outlineLevel="0" collapsed="false">
      <c r="B11" s="13" t="str">
        <f aca="false">IFERROR('Enter data'!$B$5,"")</f>
        <v>Tap water</v>
      </c>
      <c r="C11" s="16" t="n">
        <f aca="false">IFERROR(COUNT('Enter data'!$B$7:$B$12),"")</f>
        <v>4</v>
      </c>
      <c r="D11" s="17" t="n">
        <f aca="false">IFERROR(AVERAGE('Enter data'!$B$7:$B$12)*Results!$C$5*100.09*1000/Results!$C$6,"")</f>
        <v>84.67614</v>
      </c>
      <c r="E11" s="17" t="n">
        <f aca="false">IFERROR(STDEV('Enter data'!$B$7:$B$12)*Results!$C$5*100.09*1000/Results!$C$6,"")</f>
        <v>1.48006906523536</v>
      </c>
      <c r="F11" s="17" t="n">
        <f aca="false">IFERROR(D11-TINV(0.05,C11-1)*E11/SQRT(C11),"")</f>
        <v>82.3210198358885</v>
      </c>
      <c r="G11" s="17" t="n">
        <f aca="false">IFERROR(D11+TINV(0.05,C11-1)*E11/SQRT(C11),"")</f>
        <v>87.0312601641115</v>
      </c>
      <c r="H11" s="18" t="str">
        <f aca="false">IFERROR(IF(D11&lt;60,"soft",IF(D11&lt;120,"moderately hard",IF(D11&lt;180,"hard","very hard"))),"")</f>
        <v>moderately hard</v>
      </c>
    </row>
    <row r="12" customFormat="false" ht="15" hidden="false" customHeight="false" outlineLevel="0" collapsed="false">
      <c r="B12" s="13" t="str">
        <f aca="false">IFERROR('Enter data'!$C$5,"")</f>
        <v>Well water</v>
      </c>
      <c r="C12" s="16" t="n">
        <f aca="false">IFERROR(COUNT('Enter data'!$C$7:$C$12),"")</f>
        <v>4</v>
      </c>
      <c r="D12" s="17" t="n">
        <f aca="false">IFERROR(AVERAGE('Enter data'!$C$7:$C$12)*Results!$C$5*100.09*1000/Results!$C$6,"")</f>
        <v>208.88783</v>
      </c>
      <c r="E12" s="17" t="n">
        <f aca="false">IFERROR(STDEV('Enter data'!$C$7:$C$12)*Results!$C$5*100.09*1000/Results!$C$6,"")</f>
        <v>2.07067802103562</v>
      </c>
      <c r="F12" s="17" t="n">
        <f aca="false">IFERROR(D12-TINV(0.05,C12-1)*E12/SQRT(C12),"")</f>
        <v>205.592919191262</v>
      </c>
      <c r="G12" s="17" t="n">
        <f aca="false">IFERROR(D12+TINV(0.05,C12-1)*E12/SQRT(C12),"")</f>
        <v>212.182740808739</v>
      </c>
      <c r="H12" s="18" t="str">
        <f aca="false">IFERROR(IF(D12&lt;60,"soft",IF(D12&lt;120,"moderately hard",IF(D12&lt;180,"hard","very hard"))),"")</f>
        <v>very hard</v>
      </c>
    </row>
    <row r="13" customFormat="false" ht="15" hidden="false" customHeight="false" outlineLevel="0" collapsed="false">
      <c r="B13" s="13" t="str">
        <f aca="false">IFERROR('Enter data'!$D$5,"")</f>
        <v>Bottled water</v>
      </c>
      <c r="C13" s="16" t="n">
        <f aca="false">IFERROR(COUNT('Enter data'!$D$7:$D$12),"")</f>
        <v>4</v>
      </c>
      <c r="D13" s="17" t="n">
        <f aca="false">IFERROR(AVERAGE('Enter data'!$D$7:$D$12)*Results!$C$5*100.09*1000/Results!$C$6,"")</f>
        <v>27.42466</v>
      </c>
      <c r="E13" s="17" t="n">
        <f aca="false">IFERROR(STDEV('Enter data'!$D$7:$D$12)*Results!$C$5*100.09*1000/Results!$C$6,"")</f>
        <v>0.938927426801453</v>
      </c>
      <c r="F13" s="17" t="n">
        <f aca="false">IFERROR(D13-TINV(0.05,C13-1)*E13/SQRT(C13),"")</f>
        <v>25.9306169398231</v>
      </c>
      <c r="G13" s="17" t="n">
        <f aca="false">IFERROR(D13+TINV(0.05,C13-1)*E13/SQRT(C13),"")</f>
        <v>28.9187030601769</v>
      </c>
      <c r="H13" s="18" t="str">
        <f aca="false">IFERROR(IF(D13&lt;60,"soft",IF(D13&lt;120,"moderately hard",IF(D13&lt;180,"hard","very hard"))),"")</f>
        <v>soft</v>
      </c>
    </row>
    <row r="14" customFormat="false" ht="15" hidden="false" customHeight="false" outlineLevel="0" collapsed="false">
      <c r="B14" s="13" t="str">
        <f aca="false">IFERROR('Enter data'!$E$5,"")</f>
        <v>Stream water</v>
      </c>
      <c r="C14" s="16" t="n">
        <f aca="false">IFERROR(COUNT('Enter data'!$E$7:$E$12),"")</f>
        <v>4</v>
      </c>
      <c r="D14" s="17" t="n">
        <f aca="false">IFERROR(AVERAGE('Enter data'!$E$7:$E$12)*Results!$C$5*100.09*1000/Results!$C$6,"")</f>
        <v>120.108</v>
      </c>
      <c r="E14" s="17" t="n">
        <f aca="false">IFERROR(STDEV('Enter data'!$E$7:$E$12)*Results!$C$5*100.09*1000/Results!$C$6,"")</f>
        <v>1.09643101561384</v>
      </c>
      <c r="F14" s="17" t="n">
        <f aca="false">IFERROR(D14-TINV(0.05,C14-1)*E14/SQRT(C14),"")</f>
        <v>118.363333582681</v>
      </c>
      <c r="G14" s="17" t="n">
        <f aca="false">IFERROR(D14+TINV(0.05,C14-1)*E14/SQRT(C14),"")</f>
        <v>121.852666417319</v>
      </c>
      <c r="H14" s="18" t="str">
        <f aca="false">IFERROR(IF(D14&lt;60,"soft",IF(D14&lt;120,"moderately hard",IF(D14&lt;180,"hard","very hard"))),"")</f>
        <v>hard</v>
      </c>
    </row>
    <row r="15" customFormat="false" ht="15" hidden="false" customHeight="false" outlineLevel="0" collapsed="false">
      <c r="B15" s="13" t="str">
        <f aca="false">IFERROR('Enter data'!$F$5,"")</f>
        <v>Spiked tap water</v>
      </c>
      <c r="C15" s="16" t="n">
        <f aca="false">IFERROR(COUNT('Enter data'!$F$7:$F$12),"")</f>
        <v>4</v>
      </c>
      <c r="D15" s="17" t="n">
        <f aca="false">IFERROR(AVERAGE('Enter data'!$F$7:$F$12)*Results!$C$5*100.09*1000/Results!$C$6,"")</f>
        <v>123.861375</v>
      </c>
      <c r="E15" s="17" t="n">
        <f aca="false">IFERROR(STDEV('Enter data'!$F$7:$F$12)*Results!$C$5*100.09*1000/Results!$C$6,"")</f>
        <v>1.36137118321933</v>
      </c>
      <c r="F15" s="17" t="n">
        <f aca="false">IFERROR(D15-TINV(0.05,C15-1)*E15/SQRT(C15),"")</f>
        <v>121.695129653922</v>
      </c>
      <c r="G15" s="17" t="n">
        <f aca="false">IFERROR(D15+TINV(0.05,C15-1)*E15/SQRT(C15),"")</f>
        <v>126.027620346078</v>
      </c>
      <c r="H15" s="18" t="str">
        <f aca="false">IFERROR(IF(D15&lt;60,"soft",IF(D15&lt;120,"moderately hard",IF(D15&lt;180,"hard","very hard"))),"")</f>
        <v>hard</v>
      </c>
    </row>
    <row r="18" customFormat="false" ht="15" hidden="false" customHeight="false" outlineLevel="0" collapsed="false">
      <c r="B18" s="9" t="s">
        <v>44</v>
      </c>
    </row>
    <row r="19" customFormat="false" ht="15" hidden="false" customHeight="false" outlineLevel="0" collapsed="false">
      <c r="B19" s="15" t="s">
        <v>45</v>
      </c>
      <c r="C19" s="19" t="n">
        <f aca="false">IFERROR(100*($D$15-$D$11)/Results!$C$7,"")</f>
        <v>97.9630875</v>
      </c>
      <c r="D19" s="8" t="s">
        <v>46</v>
      </c>
    </row>
    <row r="20" customFormat="false" ht="15" hidden="false" customHeight="false" outlineLevel="0" collapsed="false">
      <c r="B20" s="15" t="s">
        <v>47</v>
      </c>
      <c r="C20" s="20" t="n">
        <f aca="false">IFERROR((10/100.09)/10,"")</f>
        <v>0.00999100809271656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2026-10-01T00:29:23Z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2026-10-01T00:29:23Z</dcterms:modified>
  <cp:revision>0</cp:revision>
  <dc:subject/>
  <dc:title>ACH-03 Total water hardness by EDTA titration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