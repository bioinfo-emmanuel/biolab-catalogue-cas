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<sst xmlns="http://schemas.openxmlformats.org/spreadsheetml/2006/main" count="105" uniqueCount="73">
  <si>
    <t xml:space="preserve">ENV-01  Mineral identification: hardness, streak, density, acid test</t>
  </si>
  <si>
    <t xml:space="preserve">Excel version of the card. It does the same calculations as the R script env01_mineral_id.R.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</si>
  <si>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</si>
  <si>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</si>
  <si>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</si>
  <si>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</si>
  <si>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</si>
  <si>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</si>
  <si>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</si>
  <si>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</si>
  <si>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Specific gravity = mass in air / mass of displaced water (the balance reading with the specimen hung fully in a beaker on the balance). Use specimens of about 50 g or more.</t>
  </si>
  <si>
    <t xml:space="preserve">Scoring: 1 point for hardness within 0.6 of the reference range, 2 for specific gravity within 7 percent of the reference range, 1 for the streak colour and 1 for the acid result. The reference table holds typical values for 13 minerals; check them against a mineralogy reference before formal use.</t>
  </si>
  <si>
    <t xml:space="preserve">Type streak colours as white, gray, green-black, red-brown or black, and the acid result as yes or no (a reaction with scratched powder).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</si>
  <si>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</si>
  <si>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</si>
  <si>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</si>
  <si>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</si>
  <si>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Specimens</t>
  </si>
  <si>
    <t xml:space="preserve">Specimen code</t>
  </si>
  <si>
    <t xml:space="preserve">Hardness (Mohs, your estimate)</t>
  </si>
  <si>
    <t xml:space="preserve">Streak colour</t>
  </si>
  <si>
    <t xml:space="preserve">Mass in air (g)</t>
  </si>
  <si>
    <t xml:space="preserve">Displaced water, balance reading (g)</t>
  </si>
  <si>
    <t xml:space="preserve">Fizzes in acid (yes or no)</t>
  </si>
  <si>
    <t xml:space="preserve">A</t>
  </si>
  <si>
    <t xml:space="preserve">white</t>
  </si>
  <si>
    <t xml:space="preserve">no</t>
  </si>
  <si>
    <t xml:space="preserve">B</t>
  </si>
  <si>
    <t xml:space="preserve">yes</t>
  </si>
  <si>
    <t xml:space="preserve">C</t>
  </si>
  <si>
    <t xml:space="preserve">gray</t>
  </si>
  <si>
    <t xml:space="preserve">D</t>
  </si>
  <si>
    <t xml:space="preserve">green-black</t>
  </si>
  <si>
    <t xml:space="preserve">Results</t>
  </si>
  <si>
    <t xml:space="preserve">Everything on this sheet is calculated. Change only the yellow settings.</t>
  </si>
  <si>
    <t xml:space="preserve">Specific gravity</t>
  </si>
  <si>
    <t xml:space="preserve">Specimen</t>
  </si>
  <si>
    <t xml:space="preserve">Reference table and scores (rows = minerals, right-hand columns = specimens)</t>
  </si>
  <si>
    <t xml:space="preserve">Mineral</t>
  </si>
  <si>
    <t xml:space="preserve">Hardness low</t>
  </si>
  <si>
    <t xml:space="preserve">Hardness high</t>
  </si>
  <si>
    <t xml:space="preserve">SG low</t>
  </si>
  <si>
    <t xml:space="preserve">SG high</t>
  </si>
  <si>
    <t xml:space="preserve">Streak</t>
  </si>
  <si>
    <t xml:space="preserve">Acid</t>
  </si>
  <si>
    <t xml:space="preserve">Score: specimen 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</si>
  <si>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</si>
  <si>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</si>
  <si>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</si>
  <si>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</si>
  <si>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</si>
  <si>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quartz</t>
  </si>
  <si>
    <t xml:space="preserve">calcite</t>
  </si>
  <si>
    <t xml:space="preserve">orthoclase feldspar</t>
  </si>
  <si>
    <t xml:space="preserve">gypsum</t>
  </si>
  <si>
    <t xml:space="preserve">halite</t>
  </si>
  <si>
    <t xml:space="preserve">muscovite</t>
  </si>
  <si>
    <t xml:space="preserve">biotite</t>
  </si>
  <si>
    <t xml:space="preserve">galena</t>
  </si>
  <si>
    <t xml:space="preserve">pyrite</t>
  </si>
  <si>
    <t xml:space="preserve">hematite</t>
  </si>
  <si>
    <t xml:space="preserve">red-brown</t>
  </si>
  <si>
    <t xml:space="preserve">magnetite</t>
  </si>
  <si>
    <t xml:space="preserve">black</t>
  </si>
  <si>
    <t xml:space="preserve">fluorite</t>
  </si>
  <si>
    <t xml:space="preserve">talc</t>
  </si>
  <si>
    <t xml:space="preserve">Best match for each specimen</t>
  </si>
  <si>
    <t xml:space="preserve">Best match (first in table if tied)</t>
  </si>
  <si>
    <t xml:space="preserve">Score (out of 5)</t>
  </si>
  <si>
    <t xml:space="preserve">Minerals tied at the top</t>
  </si>
  <si>
    <t xml:space="preserve">Effect of the balance on specific gravity</t>
  </si>
  <si>
    <t xml:space="preserve">Error in SG from 0.1 g reading errors on a 50 g quartz specimen (%)</t>
  </si>
  <si>
    <t xml:space="preserve">Use specimens of about 50 g or more.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</si>
</sst>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35.0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</row>
    <row r="6" customFormat="false" ht="15" hidden="false" customHeight="false" outlineLevel="0" collapsed="false">
      <c r="A6" s="11" t="s">
        <v>24</v>
      </c>
      <c r="B6" s="11" t="n">
        <v>7</v>
      </c>
      <c r="C6" s="11" t="s">
        <v>25</v>
      </c>
      <c r="D6" s="11" t="n">
        <v>38.2</v>
      </c>
      <c r="E6" s="11" t="n">
        <v>14.8</v>
      </c>
      <c r="F6" s="11" t="s">
        <v>26</v>
      </c>
    </row>
    <row r="7" customFormat="false" ht="15" hidden="false" customHeight="false" outlineLevel="0" collapsed="false">
      <c r="A7" s="12" t="s">
        <v>24</v>
      </c>
      <c r="B7" s="12" t="n">
        <v>7</v>
      </c>
      <c r="C7" s="12" t="s">
        <v>25</v>
      </c>
      <c r="D7" s="12" t="n">
        <v>38.2</v>
      </c>
      <c r="E7" s="12" t="n">
        <v>14.8</v>
      </c>
      <c r="F7" s="12" t="s">
        <v>26</v>
      </c>
    </row>
    <row r="8" customFormat="false" ht="15" hidden="false" customHeight="false" outlineLevel="0" collapsed="false">
      <c r="A8" s="12" t="s">
        <v>27</v>
      </c>
      <c r="B8" s="12" t="n">
        <v>3</v>
      </c>
      <c r="C8" s="12" t="s">
        <v>25</v>
      </c>
      <c r="D8" s="12" t="n">
        <v>27.9</v>
      </c>
      <c r="E8" s="12" t="n">
        <v>10.3</v>
      </c>
      <c r="F8" s="12" t="s">
        <v>28</v>
      </c>
    </row>
    <row r="9" customFormat="false" ht="15" hidden="false" customHeight="false" outlineLevel="0" collapsed="false">
      <c r="A9" s="12" t="s">
        <v>29</v>
      </c>
      <c r="B9" s="12" t="n">
        <v>2.5</v>
      </c>
      <c r="C9" s="12" t="s">
        <v>30</v>
      </c>
      <c r="D9" s="12" t="n">
        <v>61.4</v>
      </c>
      <c r="E9" s="12" t="n">
        <v>8.2</v>
      </c>
      <c r="F9" s="12" t="s">
        <v>26</v>
      </c>
    </row>
    <row r="10" customFormat="false" ht="15" hidden="false" customHeight="false" outlineLevel="0" collapsed="false">
      <c r="A10" s="12" t="s">
        <v>31</v>
      </c>
      <c r="B10" s="12" t="n">
        <v>6</v>
      </c>
      <c r="C10" s="12" t="s">
        <v>32</v>
      </c>
      <c r="D10" s="12" t="n">
        <v>44</v>
      </c>
      <c r="E10" s="12" t="n">
        <v>8.7</v>
      </c>
      <c r="F10" s="12" t="s">
        <v>26</v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B12 D7:E12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33</v>
      </c>
    </row>
    <row r="2" customFormat="false" ht="15" hidden="false" customHeight="false" outlineLevel="0" collapsed="false">
      <c r="B2" s="8" t="s">
        <v>34</v>
      </c>
    </row>
    <row r="4" customFormat="false" ht="15" hidden="false" customHeight="false" outlineLevel="0" collapsed="false">
      <c r="B4" s="9" t="s">
        <v>35</v>
      </c>
    </row>
    <row r="5" customFormat="false" ht="30" hidden="false" customHeight="true" outlineLevel="0" collapsed="false">
      <c r="B5" s="10" t="s">
        <v>36</v>
      </c>
      <c r="C5" s="10" t="s">
        <v>35</v>
      </c>
    </row>
    <row r="6" customFormat="false" ht="15" hidden="false" customHeight="false" outlineLevel="0" collapsed="false">
      <c r="B6" s="13" t="str">
        <f aca="false">IFERROR(IF('Enter data'!$A$7="","",'Enter data'!$A$7),"")</f>
        <v>A</v>
      </c>
      <c r="C6" s="14" t="n">
        <f aca="false">IFERROR(IF(AND(ISNUMBER('Enter data'!$D$7),ISNUMBER('Enter data'!$E$7)),'Enter data'!$D$7/'Enter data'!$E$7,""),"")</f>
        <v>2.58108108108108</v>
      </c>
    </row>
    <row r="7" customFormat="false" ht="15" hidden="false" customHeight="false" outlineLevel="0" collapsed="false">
      <c r="B7" s="13" t="str">
        <f aca="false">IFERROR(IF('Enter data'!$A$8="","",'Enter data'!$A$8),"")</f>
        <v>B</v>
      </c>
      <c r="C7" s="14" t="n">
        <f aca="false">IFERROR(IF(AND(ISNUMBER('Enter data'!$D$8),ISNUMBER('Enter data'!$E$8)),'Enter data'!$D$8/'Enter data'!$E$8,""),"")</f>
        <v>2.70873786407767</v>
      </c>
    </row>
    <row r="8" customFormat="false" ht="15" hidden="false" customHeight="false" outlineLevel="0" collapsed="false">
      <c r="B8" s="13" t="str">
        <f aca="false">IFERROR(IF('Enter data'!$A$9="","",'Enter data'!$A$9),"")</f>
        <v>C</v>
      </c>
      <c r="C8" s="14" t="n">
        <f aca="false">IFERROR(IF(AND(ISNUMBER('Enter data'!$D$9),ISNUMBER('Enter data'!$E$9)),'Enter data'!$D$9/'Enter data'!$E$9,""),"")</f>
        <v>7.48780487804878</v>
      </c>
    </row>
    <row r="9" customFormat="false" ht="15" hidden="false" customHeight="false" outlineLevel="0" collapsed="false">
      <c r="B9" s="13" t="str">
        <f aca="false">IFERROR(IF('Enter data'!$A$10="","",'Enter data'!$A$10),"")</f>
        <v>D</v>
      </c>
      <c r="C9" s="14" t="n">
        <f aca="false">IFERROR(IF(AND(ISNUMBER('Enter data'!$D$10),ISNUMBER('Enter data'!$E$10)),'Enter data'!$D$10/'Enter data'!$E$10,""),"")</f>
        <v>5.05747126436782</v>
      </c>
    </row>
    <row r="10" customFormat="false" ht="15" hidden="false" customHeight="false" outlineLevel="0" collapsed="false">
      <c r="B10" s="13" t="str">
        <f aca="false">IFERROR(IF('Enter data'!$A$11="","",'Enter data'!$A$11),"")</f>
        <v/>
      </c>
      <c r="C10" s="14" t="str">
        <f aca="false">IFERROR(IF(AND(ISNUMBER('Enter data'!$D$11),ISNUMBER('Enter data'!$E$11)),'Enter data'!$D$11/'Enter data'!$E$11,""),"")</f>
        <v/>
      </c>
    </row>
    <row r="11" customFormat="false" ht="15" hidden="false" customHeight="false" outlineLevel="0" collapsed="false">
      <c r="B11" s="13" t="str">
        <f aca="false">IFERROR(IF('Enter data'!$A$12="","",'Enter data'!$A$12),"")</f>
        <v/>
      </c>
      <c r="C11" s="14" t="str">
        <f aca="false">IFERROR(IF(AND(ISNUMBER('Enter data'!$D$12),ISNUMBER('Enter data'!$E$12)),'Enter data'!$D$12/'Enter data'!$E$12,""),"")</f>
        <v/>
      </c>
    </row>
    <row r="14" customFormat="false" ht="15" hidden="false" customHeight="false" outlineLevel="0" collapsed="false">
      <c r="B14" s="9" t="s">
        <v>37</v>
      </c>
    </row>
    <row r="15" customFormat="false" ht="30" hidden="false" customHeight="true" outlineLevel="0" collapsed="false">
      <c r="B15" s="10" t="s">
        <v>38</v>
      </c>
      <c r="C15" s="10" t="s">
        <v>39</v>
      </c>
      <c r="D15" s="10" t="s">
        <v>40</v>
      </c>
      <c r="E15" s="10" t="s">
        <v>41</v>
      </c>
      <c r="F15" s="10" t="s">
        <v>42</v>
      </c>
      <c r="G15" s="10" t="s">
        <v>43</v>
      </c>
      <c r="H15" s="10" t="s">
        <v>44</v>
      </c>
      <c r="I15" s="10" t="s">
        <v>45</v>
      </c>
      <c r="J15" s="10" t="s">
        <v>46</v>
      </c>
      <c r="K15" s="10" t="s">
        <v>47</v>
      </c>
      <c r="L15" s="10" t="s">
        <v>48</v>
      </c>
      <c r="M15" s="10" t="s">
        <v>49</v>
      </c>
      <c r="N15" s="10" t="s">
        <v>50</v>
      </c>
    </row>
    <row r="16" customFormat="false" ht="15" hidden="false" customHeight="false" outlineLevel="0" collapsed="false">
      <c r="B16" s="13" t="s">
        <v>51</v>
      </c>
      <c r="C16" s="15" t="n">
        <v>7</v>
      </c>
      <c r="D16" s="15" t="n">
        <v>7</v>
      </c>
      <c r="E16" s="14" t="n">
        <v>2.65</v>
      </c>
      <c r="F16" s="14" t="n">
        <v>2.65</v>
      </c>
      <c r="G16" s="16" t="s">
        <v>25</v>
      </c>
      <c r="H16" s="16" t="s">
        <v>26</v>
      </c>
      <c r="I16" s="16" t="n">
        <f aca="false">IFERROR(IF(AND(ISNUMBER('Enter data'!$B$7),ISNUMBER($C$6)),IF(AND('Enter data'!$B$7&gt;=$C16-0.6,'Enter data'!$B$7&lt;=$D16+0.6),1,0)+2*IF(AND($C$6&gt;=$E16*0.93,$C$6&lt;=$F16*1.07),1,0)+IF(LOWER('Enter data'!$C$7)=$G16,1,0)+IF(LOWER('Enter data'!$F$7)=$H16,1,0),""),"")</f>
        <v>5</v>
      </c>
      <c r="J16" s="16" t="n">
        <f aca="false">IFERROR(IF(AND(ISNUMBER('Enter data'!$B$8),ISNUMBER($C$7)),IF(AND('Enter data'!$B$8&gt;=$C16-0.6,'Enter data'!$B$8&lt;=$D16+0.6),1,0)+2*IF(AND($C$7&gt;=$E16*0.93,$C$7&lt;=$F16*1.07),1,0)+IF(LOWER('Enter data'!$C$8)=$G16,1,0)+IF(LOWER('Enter data'!$F$8)=$H16,1,0),""),"")</f>
        <v>3</v>
      </c>
      <c r="K16" s="16" t="n">
        <f aca="false">IFERROR(IF(AND(ISNUMBER('Enter data'!$B$9),ISNUMBER($C$8)),IF(AND('Enter data'!$B$9&gt;=$C16-0.6,'Enter data'!$B$9&lt;=$D16+0.6),1,0)+2*IF(AND($C$8&gt;=$E16*0.93,$C$8&lt;=$F16*1.07),1,0)+IF(LOWER('Enter data'!$C$9)=$G16,1,0)+IF(LOWER('Enter data'!$F$9)=$H16,1,0),""),"")</f>
        <v>1</v>
      </c>
      <c r="L16" s="16" t="n">
        <f aca="false">IFERROR(IF(AND(ISNUMBER('Enter data'!$B$10),ISNUMBER($C$9)),IF(AND('Enter data'!$B$10&gt;=$C16-0.6,'Enter data'!$B$10&lt;=$D16+0.6),1,0)+2*IF(AND($C$9&gt;=$E16*0.93,$C$9&lt;=$F16*1.07),1,0)+IF(LOWER('Enter data'!$C$10)=$G16,1,0)+IF(LOWER('Enter data'!$F$10)=$H16,1,0),""),"")</f>
        <v>1</v>
      </c>
      <c r="M16" s="16" t="str">
        <f aca="false">IFERROR(IF(AND(ISNUMBER('Enter data'!$B$11),ISNUMBER($C$10)),IF(AND('Enter data'!$B$11&gt;=$C16-0.6,'Enter data'!$B$11&lt;=$D16+0.6),1,0)+2*IF(AND($C$10&gt;=$E16*0.93,$C$10&lt;=$F16*1.07),1,0)+IF(LOWER('Enter data'!$C$11)=$G16,1,0)+IF(LOWER('Enter data'!$F$11)=$H16,1,0),""),"")</f>
        <v/>
      </c>
      <c r="N16" s="16" t="str">
        <f aca="false">IFERROR(IF(AND(ISNUMBER('Enter data'!$B$12),ISNUMBER($C$11)),IF(AND('Enter data'!$B$12&gt;=$C16-0.6,'Enter data'!$B$12&lt;=$D16+0.6),1,0)+2*IF(AND($C$11&gt;=$E16*0.93,$C$11&lt;=$F16*1.07),1,0)+IF(LOWER('Enter data'!$C$12)=$G16,1,0)+IF(LOWER('Enter data'!$F$12)=$H16,1,0),""),"")</f>
        <v/>
      </c>
    </row>
    <row r="17" customFormat="false" ht="15" hidden="false" customHeight="false" outlineLevel="0" collapsed="false">
      <c r="B17" s="13" t="s">
        <v>52</v>
      </c>
      <c r="C17" s="15" t="n">
        <v>3</v>
      </c>
      <c r="D17" s="15" t="n">
        <v>3</v>
      </c>
      <c r="E17" s="14" t="n">
        <v>2.71</v>
      </c>
      <c r="F17" s="14" t="n">
        <v>2.71</v>
      </c>
      <c r="G17" s="16" t="s">
        <v>25</v>
      </c>
      <c r="H17" s="16" t="s">
        <v>28</v>
      </c>
      <c r="I17" s="16" t="n">
        <f aca="false">IFERROR(IF(AND(ISNUMBER('Enter data'!$B$7),ISNUMBER($C$6)),IF(AND('Enter data'!$B$7&gt;=$C17-0.6,'Enter data'!$B$7&lt;=$D17+0.6),1,0)+2*IF(AND($C$6&gt;=$E17*0.93,$C$6&lt;=$F17*1.07),1,0)+IF(LOWER('Enter data'!$C$7)=$G17,1,0)+IF(LOWER('Enter data'!$F$7)=$H17,1,0),""),"")</f>
        <v>3</v>
      </c>
      <c r="J17" s="16" t="n">
        <f aca="false">IFERROR(IF(AND(ISNUMBER('Enter data'!$B$8),ISNUMBER($C$7)),IF(AND('Enter data'!$B$8&gt;=$C17-0.6,'Enter data'!$B$8&lt;=$D17+0.6),1,0)+2*IF(AND($C$7&gt;=$E17*0.93,$C$7&lt;=$F17*1.07),1,0)+IF(LOWER('Enter data'!$C$8)=$G17,1,0)+IF(LOWER('Enter data'!$F$8)=$H17,1,0),""),"")</f>
        <v>5</v>
      </c>
      <c r="K17" s="16" t="n">
        <f aca="false">IFERROR(IF(AND(ISNUMBER('Enter data'!$B$9),ISNUMBER($C$8)),IF(AND('Enter data'!$B$9&gt;=$C17-0.6,'Enter data'!$B$9&lt;=$D17+0.6),1,0)+2*IF(AND($C$8&gt;=$E17*0.93,$C$8&lt;=$F17*1.07),1,0)+IF(LOWER('Enter data'!$C$9)=$G17,1,0)+IF(LOWER('Enter data'!$F$9)=$H17,1,0),""),"")</f>
        <v>1</v>
      </c>
      <c r="L17" s="16" t="n">
        <f aca="false">IFERROR(IF(AND(ISNUMBER('Enter data'!$B$10),ISNUMBER($C$9)),IF(AND('Enter data'!$B$10&gt;=$C17-0.6,'Enter data'!$B$10&lt;=$D17+0.6),1,0)+2*IF(AND($C$9&gt;=$E17*0.93,$C$9&lt;=$F17*1.07),1,0)+IF(LOWER('Enter data'!$C$10)=$G17,1,0)+IF(LOWER('Enter data'!$F$10)=$H17,1,0),""),"")</f>
        <v>0</v>
      </c>
      <c r="M17" s="16" t="str">
        <f aca="false">IFERROR(IF(AND(ISNUMBER('Enter data'!$B$11),ISNUMBER($C$10)),IF(AND('Enter data'!$B$11&gt;=$C17-0.6,'Enter data'!$B$11&lt;=$D17+0.6),1,0)+2*IF(AND($C$10&gt;=$E17*0.93,$C$10&lt;=$F17*1.07),1,0)+IF(LOWER('Enter data'!$C$11)=$G17,1,0)+IF(LOWER('Enter data'!$F$11)=$H17,1,0),""),"")</f>
        <v/>
      </c>
      <c r="N17" s="16" t="str">
        <f aca="false">IFERROR(IF(AND(ISNUMBER('Enter data'!$B$12),ISNUMBER($C$11)),IF(AND('Enter data'!$B$12&gt;=$C17-0.6,'Enter data'!$B$12&lt;=$D17+0.6),1,0)+2*IF(AND($C$11&gt;=$E17*0.93,$C$11&lt;=$F17*1.07),1,0)+IF(LOWER('Enter data'!$C$12)=$G17,1,0)+IF(LOWER('Enter data'!$F$12)=$H17,1,0),""),"")</f>
        <v/>
      </c>
    </row>
    <row r="18" customFormat="false" ht="15" hidden="false" customHeight="false" outlineLevel="0" collapsed="false">
      <c r="B18" s="13" t="s">
        <v>53</v>
      </c>
      <c r="C18" s="15" t="n">
        <v>6</v>
      </c>
      <c r="D18" s="15" t="n">
        <v>6</v>
      </c>
      <c r="E18" s="14" t="n">
        <v>2.55</v>
      </c>
      <c r="F18" s="14" t="n">
        <v>2.63</v>
      </c>
      <c r="G18" s="16" t="s">
        <v>25</v>
      </c>
      <c r="H18" s="16" t="s">
        <v>26</v>
      </c>
      <c r="I18" s="16" t="n">
        <f aca="false">IFERROR(IF(AND(ISNUMBER('Enter data'!$B$7),ISNUMBER($C$6)),IF(AND('Enter data'!$B$7&gt;=$C18-0.6,'Enter data'!$B$7&lt;=$D18+0.6),1,0)+2*IF(AND($C$6&gt;=$E18*0.93,$C$6&lt;=$F18*1.07),1,0)+IF(LOWER('Enter data'!$C$7)=$G18,1,0)+IF(LOWER('Enter data'!$F$7)=$H18,1,0),""),"")</f>
        <v>4</v>
      </c>
      <c r="J18" s="16" t="n">
        <f aca="false">IFERROR(IF(AND(ISNUMBER('Enter data'!$B$8),ISNUMBER($C$7)),IF(AND('Enter data'!$B$8&gt;=$C18-0.6,'Enter data'!$B$8&lt;=$D18+0.6),1,0)+2*IF(AND($C$7&gt;=$E18*0.93,$C$7&lt;=$F18*1.07),1,0)+IF(LOWER('Enter data'!$C$8)=$G18,1,0)+IF(LOWER('Enter data'!$F$8)=$H18,1,0),""),"")</f>
        <v>3</v>
      </c>
      <c r="K18" s="16" t="n">
        <f aca="false">IFERROR(IF(AND(ISNUMBER('Enter data'!$B$9),ISNUMBER($C$8)),IF(AND('Enter data'!$B$9&gt;=$C18-0.6,'Enter data'!$B$9&lt;=$D18+0.6),1,0)+2*IF(AND($C$8&gt;=$E18*0.93,$C$8&lt;=$F18*1.07),1,0)+IF(LOWER('Enter data'!$C$9)=$G18,1,0)+IF(LOWER('Enter data'!$F$9)=$H18,1,0),""),"")</f>
        <v>1</v>
      </c>
      <c r="L18" s="16" t="n">
        <f aca="false">IFERROR(IF(AND(ISNUMBER('Enter data'!$B$10),ISNUMBER($C$9)),IF(AND('Enter data'!$B$10&gt;=$C18-0.6,'Enter data'!$B$10&lt;=$D18+0.6),1,0)+2*IF(AND($C$9&gt;=$E18*0.93,$C$9&lt;=$F18*1.07),1,0)+IF(LOWER('Enter data'!$C$10)=$G18,1,0)+IF(LOWER('Enter data'!$F$10)=$H18,1,0),""),"")</f>
        <v>2</v>
      </c>
      <c r="M18" s="16" t="str">
        <f aca="false">IFERROR(IF(AND(ISNUMBER('Enter data'!$B$11),ISNUMBER($C$10)),IF(AND('Enter data'!$B$11&gt;=$C18-0.6,'Enter data'!$B$11&lt;=$D18+0.6),1,0)+2*IF(AND($C$10&gt;=$E18*0.93,$C$10&lt;=$F18*1.07),1,0)+IF(LOWER('Enter data'!$C$11)=$G18,1,0)+IF(LOWER('Enter data'!$F$11)=$H18,1,0),""),"")</f>
        <v/>
      </c>
      <c r="N18" s="16" t="str">
        <f aca="false">IFERROR(IF(AND(ISNUMBER('Enter data'!$B$12),ISNUMBER($C$11)),IF(AND('Enter data'!$B$12&gt;=$C18-0.6,'Enter data'!$B$12&lt;=$D18+0.6),1,0)+2*IF(AND($C$11&gt;=$E18*0.93,$C$11&lt;=$F18*1.07),1,0)+IF(LOWER('Enter data'!$C$12)=$G18,1,0)+IF(LOWER('Enter data'!$F$12)=$H18,1,0),""),"")</f>
        <v/>
      </c>
    </row>
    <row r="19" customFormat="false" ht="15" hidden="false" customHeight="false" outlineLevel="0" collapsed="false">
      <c r="B19" s="13" t="s">
        <v>54</v>
      </c>
      <c r="C19" s="15" t="n">
        <v>2</v>
      </c>
      <c r="D19" s="15" t="n">
        <v>2</v>
      </c>
      <c r="E19" s="14" t="n">
        <v>2.3</v>
      </c>
      <c r="F19" s="14" t="n">
        <v>2.33</v>
      </c>
      <c r="G19" s="16" t="s">
        <v>25</v>
      </c>
      <c r="H19" s="16" t="s">
        <v>26</v>
      </c>
      <c r="I19" s="16" t="n">
        <f aca="false">IFERROR(IF(AND(ISNUMBER('Enter data'!$B$7),ISNUMBER($C$6)),IF(AND('Enter data'!$B$7&gt;=$C19-0.6,'Enter data'!$B$7&lt;=$D19+0.6),1,0)+2*IF(AND($C$6&gt;=$E19*0.93,$C$6&lt;=$F19*1.07),1,0)+IF(LOWER('Enter data'!$C$7)=$G19,1,0)+IF(LOWER('Enter data'!$F$7)=$H19,1,0),""),"")</f>
        <v>2</v>
      </c>
      <c r="J19" s="16" t="n">
        <f aca="false">IFERROR(IF(AND(ISNUMBER('Enter data'!$B$8),ISNUMBER($C$7)),IF(AND('Enter data'!$B$8&gt;=$C19-0.6,'Enter data'!$B$8&lt;=$D19+0.6),1,0)+2*IF(AND($C$7&gt;=$E19*0.93,$C$7&lt;=$F19*1.07),1,0)+IF(LOWER('Enter data'!$C$8)=$G19,1,0)+IF(LOWER('Enter data'!$F$8)=$H19,1,0),""),"")</f>
        <v>1</v>
      </c>
      <c r="K19" s="16" t="n">
        <f aca="false">IFERROR(IF(AND(ISNUMBER('Enter data'!$B$9),ISNUMBER($C$8)),IF(AND('Enter data'!$B$9&gt;=$C19-0.6,'Enter data'!$B$9&lt;=$D19+0.6),1,0)+2*IF(AND($C$8&gt;=$E19*0.93,$C$8&lt;=$F19*1.07),1,0)+IF(LOWER('Enter data'!$C$9)=$G19,1,0)+IF(LOWER('Enter data'!$F$9)=$H19,1,0),""),"")</f>
        <v>2</v>
      </c>
      <c r="L19" s="16" t="n">
        <f aca="false">IFERROR(IF(AND(ISNUMBER('Enter data'!$B$10),ISNUMBER($C$9)),IF(AND('Enter data'!$B$10&gt;=$C19-0.6,'Enter data'!$B$10&lt;=$D19+0.6),1,0)+2*IF(AND($C$9&gt;=$E19*0.93,$C$9&lt;=$F19*1.07),1,0)+IF(LOWER('Enter data'!$C$10)=$G19,1,0)+IF(LOWER('Enter data'!$F$10)=$H19,1,0),""),"")</f>
        <v>1</v>
      </c>
      <c r="M19" s="16" t="str">
        <f aca="false">IFERROR(IF(AND(ISNUMBER('Enter data'!$B$11),ISNUMBER($C$10)),IF(AND('Enter data'!$B$11&gt;=$C19-0.6,'Enter data'!$B$11&lt;=$D19+0.6),1,0)+2*IF(AND($C$10&gt;=$E19*0.93,$C$10&lt;=$F19*1.07),1,0)+IF(LOWER('Enter data'!$C$11)=$G19,1,0)+IF(LOWER('Enter data'!$F$11)=$H19,1,0),""),"")</f>
        <v/>
      </c>
      <c r="N19" s="16" t="str">
        <f aca="false">IFERROR(IF(AND(ISNUMBER('Enter data'!$B$12),ISNUMBER($C$11)),IF(AND('Enter data'!$B$12&gt;=$C19-0.6,'Enter data'!$B$12&lt;=$D19+0.6),1,0)+2*IF(AND($C$11&gt;=$E19*0.93,$C$11&lt;=$F19*1.07),1,0)+IF(LOWER('Enter data'!$C$12)=$G19,1,0)+IF(LOWER('Enter data'!$F$12)=$H19,1,0),""),"")</f>
        <v/>
      </c>
    </row>
    <row r="20" customFormat="false" ht="15" hidden="false" customHeight="false" outlineLevel="0" collapsed="false">
      <c r="B20" s="13" t="s">
        <v>55</v>
      </c>
      <c r="C20" s="15" t="n">
        <v>2.5</v>
      </c>
      <c r="D20" s="15" t="n">
        <v>2.5</v>
      </c>
      <c r="E20" s="14" t="n">
        <v>2.17</v>
      </c>
      <c r="F20" s="14" t="n">
        <v>2.17</v>
      </c>
      <c r="G20" s="16" t="s">
        <v>25</v>
      </c>
      <c r="H20" s="16" t="s">
        <v>26</v>
      </c>
      <c r="I20" s="16" t="n">
        <f aca="false">IFERROR(IF(AND(ISNUMBER('Enter data'!$B$7),ISNUMBER($C$6)),IF(AND('Enter data'!$B$7&gt;=$C20-0.6,'Enter data'!$B$7&lt;=$D20+0.6),1,0)+2*IF(AND($C$6&gt;=$E20*0.93,$C$6&lt;=$F20*1.07),1,0)+IF(LOWER('Enter data'!$C$7)=$G20,1,0)+IF(LOWER('Enter data'!$F$7)=$H20,1,0),""),"")</f>
        <v>2</v>
      </c>
      <c r="J20" s="16" t="n">
        <f aca="false">IFERROR(IF(AND(ISNUMBER('Enter data'!$B$8),ISNUMBER($C$7)),IF(AND('Enter data'!$B$8&gt;=$C20-0.6,'Enter data'!$B$8&lt;=$D20+0.6),1,0)+2*IF(AND($C$7&gt;=$E20*0.93,$C$7&lt;=$F20*1.07),1,0)+IF(LOWER('Enter data'!$C$8)=$G20,1,0)+IF(LOWER('Enter data'!$F$8)=$H20,1,0),""),"")</f>
        <v>2</v>
      </c>
      <c r="K20" s="16" t="n">
        <f aca="false">IFERROR(IF(AND(ISNUMBER('Enter data'!$B$9),ISNUMBER($C$8)),IF(AND('Enter data'!$B$9&gt;=$C20-0.6,'Enter data'!$B$9&lt;=$D20+0.6),1,0)+2*IF(AND($C$8&gt;=$E20*0.93,$C$8&lt;=$F20*1.07),1,0)+IF(LOWER('Enter data'!$C$9)=$G20,1,0)+IF(LOWER('Enter data'!$F$9)=$H20,1,0),""),"")</f>
        <v>2</v>
      </c>
      <c r="L20" s="16" t="n">
        <f aca="false">IFERROR(IF(AND(ISNUMBER('Enter data'!$B$10),ISNUMBER($C$9)),IF(AND('Enter data'!$B$10&gt;=$C20-0.6,'Enter data'!$B$10&lt;=$D20+0.6),1,0)+2*IF(AND($C$9&gt;=$E20*0.93,$C$9&lt;=$F20*1.07),1,0)+IF(LOWER('Enter data'!$C$10)=$G20,1,0)+IF(LOWER('Enter data'!$F$10)=$H20,1,0),""),"")</f>
        <v>1</v>
      </c>
      <c r="M20" s="16" t="str">
        <f aca="false">IFERROR(IF(AND(ISNUMBER('Enter data'!$B$11),ISNUMBER($C$10)),IF(AND('Enter data'!$B$11&gt;=$C20-0.6,'Enter data'!$B$11&lt;=$D20+0.6),1,0)+2*IF(AND($C$10&gt;=$E20*0.93,$C$10&lt;=$F20*1.07),1,0)+IF(LOWER('Enter data'!$C$11)=$G20,1,0)+IF(LOWER('Enter data'!$F$11)=$H20,1,0),""),"")</f>
        <v/>
      </c>
      <c r="N20" s="16" t="str">
        <f aca="false">IFERROR(IF(AND(ISNUMBER('Enter data'!$B$12),ISNUMBER($C$11)),IF(AND('Enter data'!$B$12&gt;=$C20-0.6,'Enter data'!$B$12&lt;=$D20+0.6),1,0)+2*IF(AND($C$11&gt;=$E20*0.93,$C$11&lt;=$F20*1.07),1,0)+IF(LOWER('Enter data'!$C$12)=$G20,1,0)+IF(LOWER('Enter data'!$F$12)=$H20,1,0),""),"")</f>
        <v/>
      </c>
    </row>
    <row r="21" customFormat="false" ht="15" hidden="false" customHeight="false" outlineLevel="0" collapsed="false">
      <c r="B21" s="13" t="s">
        <v>56</v>
      </c>
      <c r="C21" s="15" t="n">
        <v>2</v>
      </c>
      <c r="D21" s="15" t="n">
        <v>2.5</v>
      </c>
      <c r="E21" s="14" t="n">
        <v>2.76</v>
      </c>
      <c r="F21" s="14" t="n">
        <v>3</v>
      </c>
      <c r="G21" s="16" t="s">
        <v>25</v>
      </c>
      <c r="H21" s="16" t="s">
        <v>26</v>
      </c>
      <c r="I21" s="16" t="n">
        <f aca="false">IFERROR(IF(AND(ISNUMBER('Enter data'!$B$7),ISNUMBER($C$6)),IF(AND('Enter data'!$B$7&gt;=$C21-0.6,'Enter data'!$B$7&lt;=$D21+0.6),1,0)+2*IF(AND($C$6&gt;=$E21*0.93,$C$6&lt;=$F21*1.07),1,0)+IF(LOWER('Enter data'!$C$7)=$G21,1,0)+IF(LOWER('Enter data'!$F$7)=$H21,1,0),""),"")</f>
        <v>4</v>
      </c>
      <c r="J21" s="16" t="n">
        <f aca="false">IFERROR(IF(AND(ISNUMBER('Enter data'!$B$8),ISNUMBER($C$7)),IF(AND('Enter data'!$B$8&gt;=$C21-0.6,'Enter data'!$B$8&lt;=$D21+0.6),1,0)+2*IF(AND($C$7&gt;=$E21*0.93,$C$7&lt;=$F21*1.07),1,0)+IF(LOWER('Enter data'!$C$8)=$G21,1,0)+IF(LOWER('Enter data'!$F$8)=$H21,1,0),""),"")</f>
        <v>4</v>
      </c>
      <c r="K21" s="16" t="n">
        <f aca="false">IFERROR(IF(AND(ISNUMBER('Enter data'!$B$9),ISNUMBER($C$8)),IF(AND('Enter data'!$B$9&gt;=$C21-0.6,'Enter data'!$B$9&lt;=$D21+0.6),1,0)+2*IF(AND($C$8&gt;=$E21*0.93,$C$8&lt;=$F21*1.07),1,0)+IF(LOWER('Enter data'!$C$9)=$G21,1,0)+IF(LOWER('Enter data'!$F$9)=$H21,1,0),""),"")</f>
        <v>2</v>
      </c>
      <c r="L21" s="16" t="n">
        <f aca="false">IFERROR(IF(AND(ISNUMBER('Enter data'!$B$10),ISNUMBER($C$9)),IF(AND('Enter data'!$B$10&gt;=$C21-0.6,'Enter data'!$B$10&lt;=$D21+0.6),1,0)+2*IF(AND($C$9&gt;=$E21*0.93,$C$9&lt;=$F21*1.07),1,0)+IF(LOWER('Enter data'!$C$10)=$G21,1,0)+IF(LOWER('Enter data'!$F$10)=$H21,1,0),""),"")</f>
        <v>1</v>
      </c>
      <c r="M21" s="16" t="str">
        <f aca="false">IFERROR(IF(AND(ISNUMBER('Enter data'!$B$11),ISNUMBER($C$10)),IF(AND('Enter data'!$B$11&gt;=$C21-0.6,'Enter data'!$B$11&lt;=$D21+0.6),1,0)+2*IF(AND($C$10&gt;=$E21*0.93,$C$10&lt;=$F21*1.07),1,0)+IF(LOWER('Enter data'!$C$11)=$G21,1,0)+IF(LOWER('Enter data'!$F$11)=$H21,1,0),""),"")</f>
        <v/>
      </c>
      <c r="N21" s="16" t="str">
        <f aca="false">IFERROR(IF(AND(ISNUMBER('Enter data'!$B$12),ISNUMBER($C$11)),IF(AND('Enter data'!$B$12&gt;=$C21-0.6,'Enter data'!$B$12&lt;=$D21+0.6),1,0)+2*IF(AND($C$11&gt;=$E21*0.93,$C$11&lt;=$F21*1.07),1,0)+IF(LOWER('Enter data'!$C$12)=$G21,1,0)+IF(LOWER('Enter data'!$F$12)=$H21,1,0),""),"")</f>
        <v/>
      </c>
    </row>
    <row r="22" customFormat="false" ht="15" hidden="false" customHeight="false" outlineLevel="0" collapsed="false">
      <c r="B22" s="13" t="s">
        <v>57</v>
      </c>
      <c r="C22" s="15" t="n">
        <v>2.5</v>
      </c>
      <c r="D22" s="15" t="n">
        <v>3</v>
      </c>
      <c r="E22" s="14" t="n">
        <v>2.7</v>
      </c>
      <c r="F22" s="14" t="n">
        <v>3.4</v>
      </c>
      <c r="G22" s="16" t="s">
        <v>25</v>
      </c>
      <c r="H22" s="16" t="s">
        <v>26</v>
      </c>
      <c r="I22" s="16" t="n">
        <f aca="false">IFERROR(IF(AND(ISNUMBER('Enter data'!$B$7),ISNUMBER($C$6)),IF(AND('Enter data'!$B$7&gt;=$C22-0.6,'Enter data'!$B$7&lt;=$D22+0.6),1,0)+2*IF(AND($C$6&gt;=$E22*0.93,$C$6&lt;=$F22*1.07),1,0)+IF(LOWER('Enter data'!$C$7)=$G22,1,0)+IF(LOWER('Enter data'!$F$7)=$H22,1,0),""),"")</f>
        <v>4</v>
      </c>
      <c r="J22" s="16" t="n">
        <f aca="false">IFERROR(IF(AND(ISNUMBER('Enter data'!$B$8),ISNUMBER($C$7)),IF(AND('Enter data'!$B$8&gt;=$C22-0.6,'Enter data'!$B$8&lt;=$D22+0.6),1,0)+2*IF(AND($C$7&gt;=$E22*0.93,$C$7&lt;=$F22*1.07),1,0)+IF(LOWER('Enter data'!$C$8)=$G22,1,0)+IF(LOWER('Enter data'!$F$8)=$H22,1,0),""),"")</f>
        <v>4</v>
      </c>
      <c r="K22" s="16" t="n">
        <f aca="false">IFERROR(IF(AND(ISNUMBER('Enter data'!$B$9),ISNUMBER($C$8)),IF(AND('Enter data'!$B$9&gt;=$C22-0.6,'Enter data'!$B$9&lt;=$D22+0.6),1,0)+2*IF(AND($C$8&gt;=$E22*0.93,$C$8&lt;=$F22*1.07),1,0)+IF(LOWER('Enter data'!$C$9)=$G22,1,0)+IF(LOWER('Enter data'!$F$9)=$H22,1,0),""),"")</f>
        <v>2</v>
      </c>
      <c r="L22" s="16" t="n">
        <f aca="false">IFERROR(IF(AND(ISNUMBER('Enter data'!$B$10),ISNUMBER($C$9)),IF(AND('Enter data'!$B$10&gt;=$C22-0.6,'Enter data'!$B$10&lt;=$D22+0.6),1,0)+2*IF(AND($C$9&gt;=$E22*0.93,$C$9&lt;=$F22*1.07),1,0)+IF(LOWER('Enter data'!$C$10)=$G22,1,0)+IF(LOWER('Enter data'!$F$10)=$H22,1,0),""),"")</f>
        <v>1</v>
      </c>
      <c r="M22" s="16" t="str">
        <f aca="false">IFERROR(IF(AND(ISNUMBER('Enter data'!$B$11),ISNUMBER($C$10)),IF(AND('Enter data'!$B$11&gt;=$C22-0.6,'Enter data'!$B$11&lt;=$D22+0.6),1,0)+2*IF(AND($C$10&gt;=$E22*0.93,$C$10&lt;=$F22*1.07),1,0)+IF(LOWER('Enter data'!$C$11)=$G22,1,0)+IF(LOWER('Enter data'!$F$11)=$H22,1,0),""),"")</f>
        <v/>
      </c>
      <c r="N22" s="16" t="str">
        <f aca="false">IFERROR(IF(AND(ISNUMBER('Enter data'!$B$12),ISNUMBER($C$11)),IF(AND('Enter data'!$B$12&gt;=$C22-0.6,'Enter data'!$B$12&lt;=$D22+0.6),1,0)+2*IF(AND($C$11&gt;=$E22*0.93,$C$11&lt;=$F22*1.07),1,0)+IF(LOWER('Enter data'!$C$12)=$G22,1,0)+IF(LOWER('Enter data'!$F$12)=$H22,1,0),""),"")</f>
        <v/>
      </c>
    </row>
    <row r="23" customFormat="false" ht="15" hidden="false" customHeight="false" outlineLevel="0" collapsed="false">
      <c r="B23" s="13" t="s">
        <v>58</v>
      </c>
      <c r="C23" s="15" t="n">
        <v>2.5</v>
      </c>
      <c r="D23" s="15" t="n">
        <v>2.5</v>
      </c>
      <c r="E23" s="14" t="n">
        <v>7.4</v>
      </c>
      <c r="F23" s="14" t="n">
        <v>7.6</v>
      </c>
      <c r="G23" s="16" t="s">
        <v>30</v>
      </c>
      <c r="H23" s="16" t="s">
        <v>26</v>
      </c>
      <c r="I23" s="16" t="n">
        <f aca="false">IFERROR(IF(AND(ISNUMBER('Enter data'!$B$7),ISNUMBER($C$6)),IF(AND('Enter data'!$B$7&gt;=$C23-0.6,'Enter data'!$B$7&lt;=$D23+0.6),1,0)+2*IF(AND($C$6&gt;=$E23*0.93,$C$6&lt;=$F23*1.07),1,0)+IF(LOWER('Enter data'!$C$7)=$G23,1,0)+IF(LOWER('Enter data'!$F$7)=$H23,1,0),""),"")</f>
        <v>1</v>
      </c>
      <c r="J23" s="16" t="n">
        <f aca="false">IFERROR(IF(AND(ISNUMBER('Enter data'!$B$8),ISNUMBER($C$7)),IF(AND('Enter data'!$B$8&gt;=$C23-0.6,'Enter data'!$B$8&lt;=$D23+0.6),1,0)+2*IF(AND($C$7&gt;=$E23*0.93,$C$7&lt;=$F23*1.07),1,0)+IF(LOWER('Enter data'!$C$8)=$G23,1,0)+IF(LOWER('Enter data'!$F$8)=$H23,1,0),""),"")</f>
        <v>1</v>
      </c>
      <c r="K23" s="16" t="n">
        <f aca="false">IFERROR(IF(AND(ISNUMBER('Enter data'!$B$9),ISNUMBER($C$8)),IF(AND('Enter data'!$B$9&gt;=$C23-0.6,'Enter data'!$B$9&lt;=$D23+0.6),1,0)+2*IF(AND($C$8&gt;=$E23*0.93,$C$8&lt;=$F23*1.07),1,0)+IF(LOWER('Enter data'!$C$9)=$G23,1,0)+IF(LOWER('Enter data'!$F$9)=$H23,1,0),""),"")</f>
        <v>5</v>
      </c>
      <c r="L23" s="16" t="n">
        <f aca="false">IFERROR(IF(AND(ISNUMBER('Enter data'!$B$10),ISNUMBER($C$9)),IF(AND('Enter data'!$B$10&gt;=$C23-0.6,'Enter data'!$B$10&lt;=$D23+0.6),1,0)+2*IF(AND($C$9&gt;=$E23*0.93,$C$9&lt;=$F23*1.07),1,0)+IF(LOWER('Enter data'!$C$10)=$G23,1,0)+IF(LOWER('Enter data'!$F$10)=$H23,1,0),""),"")</f>
        <v>1</v>
      </c>
      <c r="M23" s="16" t="str">
        <f aca="false">IFERROR(IF(AND(ISNUMBER('Enter data'!$B$11),ISNUMBER($C$10)),IF(AND('Enter data'!$B$11&gt;=$C23-0.6,'Enter data'!$B$11&lt;=$D23+0.6),1,0)+2*IF(AND($C$10&gt;=$E23*0.93,$C$10&lt;=$F23*1.07),1,0)+IF(LOWER('Enter data'!$C$11)=$G23,1,0)+IF(LOWER('Enter data'!$F$11)=$H23,1,0),""),"")</f>
        <v/>
      </c>
      <c r="N23" s="16" t="str">
        <f aca="false">IFERROR(IF(AND(ISNUMBER('Enter data'!$B$12),ISNUMBER($C$11)),IF(AND('Enter data'!$B$12&gt;=$C23-0.6,'Enter data'!$B$12&lt;=$D23+0.6),1,0)+2*IF(AND($C$11&gt;=$E23*0.93,$C$11&lt;=$F23*1.07),1,0)+IF(LOWER('Enter data'!$C$12)=$G23,1,0)+IF(LOWER('Enter data'!$F$12)=$H23,1,0),""),"")</f>
        <v/>
      </c>
    </row>
    <row r="24" customFormat="false" ht="15" hidden="false" customHeight="false" outlineLevel="0" collapsed="false">
      <c r="B24" s="13" t="s">
        <v>59</v>
      </c>
      <c r="C24" s="15" t="n">
        <v>6</v>
      </c>
      <c r="D24" s="15" t="n">
        <v>6.5</v>
      </c>
      <c r="E24" s="14" t="n">
        <v>4.9</v>
      </c>
      <c r="F24" s="14" t="n">
        <v>5.2</v>
      </c>
      <c r="G24" s="16" t="s">
        <v>32</v>
      </c>
      <c r="H24" s="16" t="s">
        <v>26</v>
      </c>
      <c r="I24" s="16" t="n">
        <f aca="false">IFERROR(IF(AND(ISNUMBER('Enter data'!$B$7),ISNUMBER($C$6)),IF(AND('Enter data'!$B$7&gt;=$C24-0.6,'Enter data'!$B$7&lt;=$D24+0.6),1,0)+2*IF(AND($C$6&gt;=$E24*0.93,$C$6&lt;=$F24*1.07),1,0)+IF(LOWER('Enter data'!$C$7)=$G24,1,0)+IF(LOWER('Enter data'!$F$7)=$H24,1,0),""),"")</f>
        <v>2</v>
      </c>
      <c r="J24" s="16" t="n">
        <f aca="false">IFERROR(IF(AND(ISNUMBER('Enter data'!$B$8),ISNUMBER($C$7)),IF(AND('Enter data'!$B$8&gt;=$C24-0.6,'Enter data'!$B$8&lt;=$D24+0.6),1,0)+2*IF(AND($C$7&gt;=$E24*0.93,$C$7&lt;=$F24*1.07),1,0)+IF(LOWER('Enter data'!$C$8)=$G24,1,0)+IF(LOWER('Enter data'!$F$8)=$H24,1,0),""),"")</f>
        <v>0</v>
      </c>
      <c r="K24" s="16" t="n">
        <f aca="false">IFERROR(IF(AND(ISNUMBER('Enter data'!$B$9),ISNUMBER($C$8)),IF(AND('Enter data'!$B$9&gt;=$C24-0.6,'Enter data'!$B$9&lt;=$D24+0.6),1,0)+2*IF(AND($C$8&gt;=$E24*0.93,$C$8&lt;=$F24*1.07),1,0)+IF(LOWER('Enter data'!$C$9)=$G24,1,0)+IF(LOWER('Enter data'!$F$9)=$H24,1,0),""),"")</f>
        <v>1</v>
      </c>
      <c r="L24" s="16" t="n">
        <f aca="false">IFERROR(IF(AND(ISNUMBER('Enter data'!$B$10),ISNUMBER($C$9)),IF(AND('Enter data'!$B$10&gt;=$C24-0.6,'Enter data'!$B$10&lt;=$D24+0.6),1,0)+2*IF(AND($C$9&gt;=$E24*0.93,$C$9&lt;=$F24*1.07),1,0)+IF(LOWER('Enter data'!$C$10)=$G24,1,0)+IF(LOWER('Enter data'!$F$10)=$H24,1,0),""),"")</f>
        <v>5</v>
      </c>
      <c r="M24" s="16" t="str">
        <f aca="false">IFERROR(IF(AND(ISNUMBER('Enter data'!$B$11),ISNUMBER($C$10)),IF(AND('Enter data'!$B$11&gt;=$C24-0.6,'Enter data'!$B$11&lt;=$D24+0.6),1,0)+2*IF(AND($C$10&gt;=$E24*0.93,$C$10&lt;=$F24*1.07),1,0)+IF(LOWER('Enter data'!$C$11)=$G24,1,0)+IF(LOWER('Enter data'!$F$11)=$H24,1,0),""),"")</f>
        <v/>
      </c>
      <c r="N24" s="16" t="str">
        <f aca="false">IFERROR(IF(AND(ISNUMBER('Enter data'!$B$12),ISNUMBER($C$11)),IF(AND('Enter data'!$B$12&gt;=$C24-0.6,'Enter data'!$B$12&lt;=$D24+0.6),1,0)+2*IF(AND($C$11&gt;=$E24*0.93,$C$11&lt;=$F24*1.07),1,0)+IF(LOWER('Enter data'!$C$12)=$G24,1,0)+IF(LOWER('Enter data'!$F$12)=$H24,1,0),""),"")</f>
        <v/>
      </c>
    </row>
    <row r="25" customFormat="false" ht="15" hidden="false" customHeight="false" outlineLevel="0" collapsed="false">
      <c r="B25" s="13" t="s">
        <v>60</v>
      </c>
      <c r="C25" s="15" t="n">
        <v>5</v>
      </c>
      <c r="D25" s="15" t="n">
        <v>6</v>
      </c>
      <c r="E25" s="14" t="n">
        <v>4.9</v>
      </c>
      <c r="F25" s="14" t="n">
        <v>5.3</v>
      </c>
      <c r="G25" s="16" t="s">
        <v>61</v>
      </c>
      <c r="H25" s="16" t="s">
        <v>26</v>
      </c>
      <c r="I25" s="16" t="n">
        <f aca="false">IFERROR(IF(AND(ISNUMBER('Enter data'!$B$7),ISNUMBER($C$6)),IF(AND('Enter data'!$B$7&gt;=$C25-0.6,'Enter data'!$B$7&lt;=$D25+0.6),1,0)+2*IF(AND($C$6&gt;=$E25*0.93,$C$6&lt;=$F25*1.07),1,0)+IF(LOWER('Enter data'!$C$7)=$G25,1,0)+IF(LOWER('Enter data'!$F$7)=$H25,1,0),""),"")</f>
        <v>1</v>
      </c>
      <c r="J25" s="16" t="n">
        <f aca="false">IFERROR(IF(AND(ISNUMBER('Enter data'!$B$8),ISNUMBER($C$7)),IF(AND('Enter data'!$B$8&gt;=$C25-0.6,'Enter data'!$B$8&lt;=$D25+0.6),1,0)+2*IF(AND($C$7&gt;=$E25*0.93,$C$7&lt;=$F25*1.07),1,0)+IF(LOWER('Enter data'!$C$8)=$G25,1,0)+IF(LOWER('Enter data'!$F$8)=$H25,1,0),""),"")</f>
        <v>0</v>
      </c>
      <c r="K25" s="16" t="n">
        <f aca="false">IFERROR(IF(AND(ISNUMBER('Enter data'!$B$9),ISNUMBER($C$8)),IF(AND('Enter data'!$B$9&gt;=$C25-0.6,'Enter data'!$B$9&lt;=$D25+0.6),1,0)+2*IF(AND($C$8&gt;=$E25*0.93,$C$8&lt;=$F25*1.07),1,0)+IF(LOWER('Enter data'!$C$9)=$G25,1,0)+IF(LOWER('Enter data'!$F$9)=$H25,1,0),""),"")</f>
        <v>1</v>
      </c>
      <c r="L25" s="16" t="n">
        <f aca="false">IFERROR(IF(AND(ISNUMBER('Enter data'!$B$10),ISNUMBER($C$9)),IF(AND('Enter data'!$B$10&gt;=$C25-0.6,'Enter data'!$B$10&lt;=$D25+0.6),1,0)+2*IF(AND($C$9&gt;=$E25*0.93,$C$9&lt;=$F25*1.07),1,0)+IF(LOWER('Enter data'!$C$10)=$G25,1,0)+IF(LOWER('Enter data'!$F$10)=$H25,1,0),""),"")</f>
        <v>4</v>
      </c>
      <c r="M25" s="16" t="str">
        <f aca="false">IFERROR(IF(AND(ISNUMBER('Enter data'!$B$11),ISNUMBER($C$10)),IF(AND('Enter data'!$B$11&gt;=$C25-0.6,'Enter data'!$B$11&lt;=$D25+0.6),1,0)+2*IF(AND($C$10&gt;=$E25*0.93,$C$10&lt;=$F25*1.07),1,0)+IF(LOWER('Enter data'!$C$11)=$G25,1,0)+IF(LOWER('Enter data'!$F$11)=$H25,1,0),""),"")</f>
        <v/>
      </c>
      <c r="N25" s="16" t="str">
        <f aca="false">IFERROR(IF(AND(ISNUMBER('Enter data'!$B$12),ISNUMBER($C$11)),IF(AND('Enter data'!$B$12&gt;=$C25-0.6,'Enter data'!$B$12&lt;=$D25+0.6),1,0)+2*IF(AND($C$11&gt;=$E25*0.93,$C$11&lt;=$F25*1.07),1,0)+IF(LOWER('Enter data'!$C$12)=$G25,1,0)+IF(LOWER('Enter data'!$F$12)=$H25,1,0),""),"")</f>
        <v/>
      </c>
    </row>
    <row r="26" customFormat="false" ht="15" hidden="false" customHeight="false" outlineLevel="0" collapsed="false">
      <c r="B26" s="13" t="s">
        <v>62</v>
      </c>
      <c r="C26" s="15" t="n">
        <v>5.5</v>
      </c>
      <c r="D26" s="15" t="n">
        <v>6.5</v>
      </c>
      <c r="E26" s="14" t="n">
        <v>5.15</v>
      </c>
      <c r="F26" s="14" t="n">
        <v>5.2</v>
      </c>
      <c r="G26" s="16" t="s">
        <v>63</v>
      </c>
      <c r="H26" s="16" t="s">
        <v>26</v>
      </c>
      <c r="I26" s="16" t="n">
        <f aca="false">IFERROR(IF(AND(ISNUMBER('Enter data'!$B$7),ISNUMBER($C$6)),IF(AND('Enter data'!$B$7&gt;=$C26-0.6,'Enter data'!$B$7&lt;=$D26+0.6),1,0)+2*IF(AND($C$6&gt;=$E26*0.93,$C$6&lt;=$F26*1.07),1,0)+IF(LOWER('Enter data'!$C$7)=$G26,1,0)+IF(LOWER('Enter data'!$F$7)=$H26,1,0),""),"")</f>
        <v>2</v>
      </c>
      <c r="J26" s="16" t="n">
        <f aca="false">IFERROR(IF(AND(ISNUMBER('Enter data'!$B$8),ISNUMBER($C$7)),IF(AND('Enter data'!$B$8&gt;=$C26-0.6,'Enter data'!$B$8&lt;=$D26+0.6),1,0)+2*IF(AND($C$7&gt;=$E26*0.93,$C$7&lt;=$F26*1.07),1,0)+IF(LOWER('Enter data'!$C$8)=$G26,1,0)+IF(LOWER('Enter data'!$F$8)=$H26,1,0),""),"")</f>
        <v>0</v>
      </c>
      <c r="K26" s="16" t="n">
        <f aca="false">IFERROR(IF(AND(ISNUMBER('Enter data'!$B$9),ISNUMBER($C$8)),IF(AND('Enter data'!$B$9&gt;=$C26-0.6,'Enter data'!$B$9&lt;=$D26+0.6),1,0)+2*IF(AND($C$8&gt;=$E26*0.93,$C$8&lt;=$F26*1.07),1,0)+IF(LOWER('Enter data'!$C$9)=$G26,1,0)+IF(LOWER('Enter data'!$F$9)=$H26,1,0),""),"")</f>
        <v>1</v>
      </c>
      <c r="L26" s="16" t="n">
        <f aca="false">IFERROR(IF(AND(ISNUMBER('Enter data'!$B$10),ISNUMBER($C$9)),IF(AND('Enter data'!$B$10&gt;=$C26-0.6,'Enter data'!$B$10&lt;=$D26+0.6),1,0)+2*IF(AND($C$9&gt;=$E26*0.93,$C$9&lt;=$F26*1.07),1,0)+IF(LOWER('Enter data'!$C$10)=$G26,1,0)+IF(LOWER('Enter data'!$F$10)=$H26,1,0),""),"")</f>
        <v>4</v>
      </c>
      <c r="M26" s="16" t="str">
        <f aca="false">IFERROR(IF(AND(ISNUMBER('Enter data'!$B$11),ISNUMBER($C$10)),IF(AND('Enter data'!$B$11&gt;=$C26-0.6,'Enter data'!$B$11&lt;=$D26+0.6),1,0)+2*IF(AND($C$10&gt;=$E26*0.93,$C$10&lt;=$F26*1.07),1,0)+IF(LOWER('Enter data'!$C$11)=$G26,1,0)+IF(LOWER('Enter data'!$F$11)=$H26,1,0),""),"")</f>
        <v/>
      </c>
      <c r="N26" s="16" t="str">
        <f aca="false">IFERROR(IF(AND(ISNUMBER('Enter data'!$B$12),ISNUMBER($C$11)),IF(AND('Enter data'!$B$12&gt;=$C26-0.6,'Enter data'!$B$12&lt;=$D26+0.6),1,0)+2*IF(AND($C$11&gt;=$E26*0.93,$C$11&lt;=$F26*1.07),1,0)+IF(LOWER('Enter data'!$C$12)=$G26,1,0)+IF(LOWER('Enter data'!$F$12)=$H26,1,0),""),"")</f>
        <v/>
      </c>
    </row>
    <row r="27" customFormat="false" ht="15" hidden="false" customHeight="false" outlineLevel="0" collapsed="false">
      <c r="B27" s="13" t="s">
        <v>64</v>
      </c>
      <c r="C27" s="15" t="n">
        <v>4</v>
      </c>
      <c r="D27" s="15" t="n">
        <v>4</v>
      </c>
      <c r="E27" s="14" t="n">
        <v>3</v>
      </c>
      <c r="F27" s="14" t="n">
        <v>3.3</v>
      </c>
      <c r="G27" s="16" t="s">
        <v>25</v>
      </c>
      <c r="H27" s="16" t="s">
        <v>26</v>
      </c>
      <c r="I27" s="16" t="n">
        <f aca="false">IFERROR(IF(AND(ISNUMBER('Enter data'!$B$7),ISNUMBER($C$6)),IF(AND('Enter data'!$B$7&gt;=$C27-0.6,'Enter data'!$B$7&lt;=$D27+0.6),1,0)+2*IF(AND($C$6&gt;=$E27*0.93,$C$6&lt;=$F27*1.07),1,0)+IF(LOWER('Enter data'!$C$7)=$G27,1,0)+IF(LOWER('Enter data'!$F$7)=$H27,1,0),""),"")</f>
        <v>2</v>
      </c>
      <c r="J27" s="16" t="n">
        <f aca="false">IFERROR(IF(AND(ISNUMBER('Enter data'!$B$8),ISNUMBER($C$7)),IF(AND('Enter data'!$B$8&gt;=$C27-0.6,'Enter data'!$B$8&lt;=$D27+0.6),1,0)+2*IF(AND($C$7&gt;=$E27*0.93,$C$7&lt;=$F27*1.07),1,0)+IF(LOWER('Enter data'!$C$8)=$G27,1,0)+IF(LOWER('Enter data'!$F$8)=$H27,1,0),""),"")</f>
        <v>1</v>
      </c>
      <c r="K27" s="16" t="n">
        <f aca="false">IFERROR(IF(AND(ISNUMBER('Enter data'!$B$9),ISNUMBER($C$8)),IF(AND('Enter data'!$B$9&gt;=$C27-0.6,'Enter data'!$B$9&lt;=$D27+0.6),1,0)+2*IF(AND($C$8&gt;=$E27*0.93,$C$8&lt;=$F27*1.07),1,0)+IF(LOWER('Enter data'!$C$9)=$G27,1,0)+IF(LOWER('Enter data'!$F$9)=$H27,1,0),""),"")</f>
        <v>1</v>
      </c>
      <c r="L27" s="16" t="n">
        <f aca="false">IFERROR(IF(AND(ISNUMBER('Enter data'!$B$10),ISNUMBER($C$9)),IF(AND('Enter data'!$B$10&gt;=$C27-0.6,'Enter data'!$B$10&lt;=$D27+0.6),1,0)+2*IF(AND($C$9&gt;=$E27*0.93,$C$9&lt;=$F27*1.07),1,0)+IF(LOWER('Enter data'!$C$10)=$G27,1,0)+IF(LOWER('Enter data'!$F$10)=$H27,1,0),""),"")</f>
        <v>1</v>
      </c>
      <c r="M27" s="16" t="str">
        <f aca="false">IFERROR(IF(AND(ISNUMBER('Enter data'!$B$11),ISNUMBER($C$10)),IF(AND('Enter data'!$B$11&gt;=$C27-0.6,'Enter data'!$B$11&lt;=$D27+0.6),1,0)+2*IF(AND($C$10&gt;=$E27*0.93,$C$10&lt;=$F27*1.07),1,0)+IF(LOWER('Enter data'!$C$11)=$G27,1,0)+IF(LOWER('Enter data'!$F$11)=$H27,1,0),""),"")</f>
        <v/>
      </c>
      <c r="N27" s="16" t="str">
        <f aca="false">IFERROR(IF(AND(ISNUMBER('Enter data'!$B$12),ISNUMBER($C$11)),IF(AND('Enter data'!$B$12&gt;=$C27-0.6,'Enter data'!$B$12&lt;=$D27+0.6),1,0)+2*IF(AND($C$11&gt;=$E27*0.93,$C$11&lt;=$F27*1.07),1,0)+IF(LOWER('Enter data'!$C$12)=$G27,1,0)+IF(LOWER('Enter data'!$F$12)=$H27,1,0),""),"")</f>
        <v/>
      </c>
    </row>
    <row r="28" customFormat="false" ht="15" hidden="false" customHeight="false" outlineLevel="0" collapsed="false">
      <c r="B28" s="13" t="s">
        <v>65</v>
      </c>
      <c r="C28" s="15" t="n">
        <v>1</v>
      </c>
      <c r="D28" s="15" t="n">
        <v>1</v>
      </c>
      <c r="E28" s="14" t="n">
        <v>2.7</v>
      </c>
      <c r="F28" s="14" t="n">
        <v>2.8</v>
      </c>
      <c r="G28" s="16" t="s">
        <v>25</v>
      </c>
      <c r="H28" s="16" t="s">
        <v>26</v>
      </c>
      <c r="I28" s="16" t="n">
        <f aca="false">IFERROR(IF(AND(ISNUMBER('Enter data'!$B$7),ISNUMBER($C$6)),IF(AND('Enter data'!$B$7&gt;=$C28-0.6,'Enter data'!$B$7&lt;=$D28+0.6),1,0)+2*IF(AND($C$6&gt;=$E28*0.93,$C$6&lt;=$F28*1.07),1,0)+IF(LOWER('Enter data'!$C$7)=$G28,1,0)+IF(LOWER('Enter data'!$F$7)=$H28,1,0),""),"")</f>
        <v>4</v>
      </c>
      <c r="J28" s="16" t="n">
        <f aca="false">IFERROR(IF(AND(ISNUMBER('Enter data'!$B$8),ISNUMBER($C$7)),IF(AND('Enter data'!$B$8&gt;=$C28-0.6,'Enter data'!$B$8&lt;=$D28+0.6),1,0)+2*IF(AND($C$7&gt;=$E28*0.93,$C$7&lt;=$F28*1.07),1,0)+IF(LOWER('Enter data'!$C$8)=$G28,1,0)+IF(LOWER('Enter data'!$F$8)=$H28,1,0),""),"")</f>
        <v>3</v>
      </c>
      <c r="K28" s="16" t="n">
        <f aca="false">IFERROR(IF(AND(ISNUMBER('Enter data'!$B$9),ISNUMBER($C$8)),IF(AND('Enter data'!$B$9&gt;=$C28-0.6,'Enter data'!$B$9&lt;=$D28+0.6),1,0)+2*IF(AND($C$8&gt;=$E28*0.93,$C$8&lt;=$F28*1.07),1,0)+IF(LOWER('Enter data'!$C$9)=$G28,1,0)+IF(LOWER('Enter data'!$F$9)=$H28,1,0),""),"")</f>
        <v>1</v>
      </c>
      <c r="L28" s="16" t="n">
        <f aca="false">IFERROR(IF(AND(ISNUMBER('Enter data'!$B$10),ISNUMBER($C$9)),IF(AND('Enter data'!$B$10&gt;=$C28-0.6,'Enter data'!$B$10&lt;=$D28+0.6),1,0)+2*IF(AND($C$9&gt;=$E28*0.93,$C$9&lt;=$F28*1.07),1,0)+IF(LOWER('Enter data'!$C$10)=$G28,1,0)+IF(LOWER('Enter data'!$F$10)=$H28,1,0),""),"")</f>
        <v>1</v>
      </c>
      <c r="M28" s="16" t="str">
        <f aca="false">IFERROR(IF(AND(ISNUMBER('Enter data'!$B$11),ISNUMBER($C$10)),IF(AND('Enter data'!$B$11&gt;=$C28-0.6,'Enter data'!$B$11&lt;=$D28+0.6),1,0)+2*IF(AND($C$10&gt;=$E28*0.93,$C$10&lt;=$F28*1.07),1,0)+IF(LOWER('Enter data'!$C$11)=$G28,1,0)+IF(LOWER('Enter data'!$F$11)=$H28,1,0),""),"")</f>
        <v/>
      </c>
      <c r="N28" s="16" t="str">
        <f aca="false">IFERROR(IF(AND(ISNUMBER('Enter data'!$B$12),ISNUMBER($C$11)),IF(AND('Enter data'!$B$12&gt;=$C28-0.6,'Enter data'!$B$12&lt;=$D28+0.6),1,0)+2*IF(AND($C$11&gt;=$E28*0.93,$C$11&lt;=$F28*1.07),1,0)+IF(LOWER('Enter data'!$C$12)=$G28,1,0)+IF(LOWER('Enter data'!$F$12)=$H28,1,0),""),"")</f>
        <v/>
      </c>
    </row>
    <row r="31" customFormat="false" ht="15" hidden="false" customHeight="false" outlineLevel="0" collapsed="false">
      <c r="B31" s="9" t="s">
        <v>66</v>
      </c>
    </row>
    <row r="32" customFormat="false" ht="30" hidden="false" customHeight="true" outlineLevel="0" collapsed="false">
      <c r="B32" s="10" t="s">
        <v>36</v>
      </c>
      <c r="C32" s="10" t="s">
        <v>67</v>
      </c>
      <c r="D32" s="10" t="s">
        <v>68</v>
      </c>
      <c r="E32" s="10" t="s">
        <v>69</v>
      </c>
    </row>
    <row r="33" customFormat="false" ht="15" hidden="false" customHeight="false" outlineLevel="0" collapsed="false">
      <c r="B33" s="13" t="str">
        <f aca="false">IFERROR(IF('Enter data'!$A$7="","",'Enter data'!$A$7),"")</f>
        <v>A</v>
      </c>
      <c r="C33" s="16" t="str">
        <f aca="false">IFERROR(IF(COUNT($I$16:$I$28)=0,"",INDEX($B$16:$B$28,MATCH(MAX($I$16:$I$28),$I$16:$I$28,0))),"")</f>
        <v>quartz</v>
      </c>
      <c r="D33" s="17" t="n">
        <f aca="false">IFERROR(IF(COUNT($I$16:$I$28)=0,"",MAX($I$16:$I$28)),"")</f>
        <v>5</v>
      </c>
      <c r="E33" s="17" t="n">
        <f aca="false">IFERROR(IF(COUNT($I$16:$I$28)=0,"",COUNTIF($I$16:$I$28,MAX($I$16:$I$28))),"")</f>
        <v>1</v>
      </c>
    </row>
    <row r="34" customFormat="false" ht="15" hidden="false" customHeight="false" outlineLevel="0" collapsed="false">
      <c r="B34" s="13" t="str">
        <f aca="false">IFERROR(IF('Enter data'!$A$8="","",'Enter data'!$A$8),"")</f>
        <v>B</v>
      </c>
      <c r="C34" s="16" t="str">
        <f aca="false">IFERROR(IF(COUNT($J$16:$J$28)=0,"",INDEX($B$16:$B$28,MATCH(MAX($J$16:$J$28),$J$16:$J$28,0))),"")</f>
        <v>calcite</v>
      </c>
      <c r="D34" s="17" t="n">
        <f aca="false">IFERROR(IF(COUNT($J$16:$J$28)=0,"",MAX($J$16:$J$28)),"")</f>
        <v>5</v>
      </c>
      <c r="E34" s="17" t="n">
        <f aca="false">IFERROR(IF(COUNT($J$16:$J$28)=0,"",COUNTIF($J$16:$J$28,MAX($J$16:$J$28))),"")</f>
        <v>1</v>
      </c>
    </row>
    <row r="35" customFormat="false" ht="15" hidden="false" customHeight="false" outlineLevel="0" collapsed="false">
      <c r="B35" s="13" t="str">
        <f aca="false">IFERROR(IF('Enter data'!$A$9="","",'Enter data'!$A$9),"")</f>
        <v>C</v>
      </c>
      <c r="C35" s="16" t="str">
        <f aca="false">IFERROR(IF(COUNT($K$16:$K$28)=0,"",INDEX($B$16:$B$28,MATCH(MAX($K$16:$K$28),$K$16:$K$28,0))),"")</f>
        <v>galena</v>
      </c>
      <c r="D35" s="17" t="n">
        <f aca="false">IFERROR(IF(COUNT($K$16:$K$28)=0,"",MAX($K$16:$K$28)),"")</f>
        <v>5</v>
      </c>
      <c r="E35" s="17" t="n">
        <f aca="false">IFERROR(IF(COUNT($K$16:$K$28)=0,"",COUNTIF($K$16:$K$28,MAX($K$16:$K$28))),"")</f>
        <v>1</v>
      </c>
    </row>
    <row r="36" customFormat="false" ht="15" hidden="false" customHeight="false" outlineLevel="0" collapsed="false">
      <c r="B36" s="13" t="str">
        <f aca="false">IFERROR(IF('Enter data'!$A$10="","",'Enter data'!$A$10),"")</f>
        <v>D</v>
      </c>
      <c r="C36" s="16" t="str">
        <f aca="false">IFERROR(IF(COUNT($L$16:$L$28)=0,"",INDEX($B$16:$B$28,MATCH(MAX($L$16:$L$28),$L$16:$L$28,0))),"")</f>
        <v>pyrite</v>
      </c>
      <c r="D36" s="17" t="n">
        <f aca="false">IFERROR(IF(COUNT($L$16:$L$28)=0,"",MAX($L$16:$L$28)),"")</f>
        <v>5</v>
      </c>
      <c r="E36" s="17" t="n">
        <f aca="false">IFERROR(IF(COUNT($L$16:$L$28)=0,"",COUNTIF($L$16:$L$28,MAX($L$16:$L$28))),"")</f>
        <v>1</v>
      </c>
    </row>
    <row r="37" customFormat="false" ht="15" hidden="false" customHeight="false" outlineLevel="0" collapsed="false">
      <c r="B37" s="13" t="str">
        <f aca="false">IFERROR(IF('Enter data'!$A$11="","",'Enter data'!$A$11),"")</f>
        <v/>
      </c>
      <c r="C37" s="16" t="str">
        <f aca="false">IFERROR(IF(COUNT($M$16:$M$28)=0,"",INDEX($B$16:$B$28,MATCH(MAX($M$16:$M$28),$M$16:$M$28,0))),"")</f>
        <v/>
      </c>
      <c r="D37" s="17" t="str">
        <f aca="false">IFERROR(IF(COUNT($M$16:$M$28)=0,"",MAX($M$16:$M$28)),"")</f>
        <v/>
      </c>
      <c r="E37" s="17" t="str">
        <f aca="false">IFERROR(IF(COUNT($M$16:$M$28)=0,"",COUNTIF($M$16:$M$28,MAX($M$16:$M$28))),"")</f>
        <v/>
      </c>
    </row>
    <row r="38" customFormat="false" ht="15" hidden="false" customHeight="false" outlineLevel="0" collapsed="false">
      <c r="B38" s="13" t="str">
        <f aca="false">IFERROR(IF('Enter data'!$A$12="","",'Enter data'!$A$12),"")</f>
        <v/>
      </c>
      <c r="C38" s="16" t="str">
        <f aca="false">IFERROR(IF(COUNT($N$16:$N$28)=0,"",INDEX($B$16:$B$28,MATCH(MAX($N$16:$N$28),$N$16:$N$28,0))),"")</f>
        <v/>
      </c>
      <c r="D38" s="17" t="str">
        <f aca="false">IFERROR(IF(COUNT($N$16:$N$28)=0,"",MAX($N$16:$N$28)),"")</f>
        <v/>
      </c>
      <c r="E38" s="17" t="str">
        <f aca="false">IFERROR(IF(COUNT($N$16:$N$28)=0,"",COUNTIF($N$16:$N$28,MAX($N$16:$N$28))),"")</f>
        <v/>
      </c>
    </row>
    <row r="41" customFormat="false" ht="15" hidden="false" customHeight="false" outlineLevel="0" collapsed="false">
      <c r="B41" s="9" t="s">
        <v>70</v>
      </c>
    </row>
    <row r="42" customFormat="false" ht="15" hidden="false" customHeight="false" outlineLevel="0" collapsed="false">
      <c r="B42" s="18" t="s">
        <v>71</v>
      </c>
      <c r="C42" s="19" t="n">
        <f aca="false">IFERROR(100*0.2/(50-31.13),"")</f>
        <v>1.05988341282459</v>
      </c>
      <c r="D42" s="8" t="s">
        <v>72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2026-10-01T00:32:05Z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2026-10-01T00:32:05Z</dcterms:modified>
  <cp:revision>0</cp:revision>
  <dc:subject/>
  <dc:title>ENV-01 Mineral identification: hardness, streak, density, acid test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