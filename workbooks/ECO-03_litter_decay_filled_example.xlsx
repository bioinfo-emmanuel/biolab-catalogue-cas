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<sst xmlns="http://schemas.openxmlformats.org/spreadsheetml/2006/main" count="86" uniqueCount="51">
  <si>
    <t xml:space="preserve">ECO-03  Leaf-litter decomposition rate</t>
  </si>
  <si>
    <t xml:space="preserve">Excel version of the card. It does the same calculations as the R script eco03_litter_decay.R.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</si>
  <si>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</si>
  <si>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</si>
  <si>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</si>
  <si>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</si>
  <si>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</si>
  <si>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</si>
  <si>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</si>
  <si>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</si>
  <si>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Mass remaining follows M(t) = M0 exp(-k t). k is the slope of -ln(proportion remaining) against time forced through zero (per week, using the weeks you enter). Half-life = ln 2 / k.</t>
  </si>
  <si>
    <t xml:space="preserve">Enter the starting DRY mass (air-dry mass times the dry-to-air-dry ratio from an oven-dried subsample) and the final dry mass after oven drying to constant mass.</t>
  </si>
  <si>
    <t xml:space="preserve">Differences from the R script on the card</t>
  </si>
  <si>
    <t xml:space="preserve">The R script uses an F test for different slopes. Here the first two litter types are compared with a z test on their k values.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</si>
  <si>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</si>
  <si>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</si>
  <si>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</si>
  <si>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</si>
  <si>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Litter type names</t>
  </si>
  <si>
    <t xml:space="preserve">Type 1</t>
  </si>
  <si>
    <t xml:space="preserve">Type 2</t>
  </si>
  <si>
    <t xml:space="preserve">Type 3</t>
  </si>
  <si>
    <t xml:space="preserve">species_1</t>
  </si>
  <si>
    <t xml:space="preserve">species_2</t>
  </si>
  <si>
    <t xml:space="preserve">2. Bags (one row per recovered bag)</t>
  </si>
  <si>
    <t xml:space="preserve">Litter type</t>
  </si>
  <si>
    <t xml:space="preserve">Weeks in the field</t>
  </si>
  <si>
    <t xml:space="preserve">Starting dry mass (g)</t>
  </si>
  <si>
    <t xml:space="preserve">Final dry mass (g)</t>
  </si>
  <si>
    <t xml:space="preserve">Used (1 or 0)</t>
  </si>
  <si>
    <t xml:space="preserve">Proportion remaining</t>
  </si>
  <si>
    <t xml:space="preserve">ln(proportion)</t>
  </si>
  <si>
    <t xml:space="preserve">weeks x ln</t>
  </si>
  <si>
    <t xml:space="preserve">weeks squared</t>
  </si>
  <si>
    <t xml:space="preserve">ln squared</t>
  </si>
  <si>
    <t xml:space="preserve">Results</t>
  </si>
  <si>
    <t xml:space="preserve">Everything on this sheet is calculated. Change only the yellow settings.</t>
  </si>
  <si>
    <t xml:space="preserve">Decay constant by litter type</t>
  </si>
  <si>
    <t xml:space="preserve">Bags</t>
  </si>
  <si>
    <t xml:space="preserve">Mean proportion remaining</t>
  </si>
  <si>
    <t xml:space="preserve">k (per week)</t>
  </si>
  <si>
    <t xml:space="preserve">Half-life (weeks)</t>
  </si>
  <si>
    <t xml:space="preserve">Standard error of k</t>
  </si>
  <si>
    <t xml:space="preserve">95% lower</t>
  </si>
  <si>
    <t xml:space="preserve">95% upper</t>
  </si>
  <si>
    <t xml:space="preserve">Do types 1 and 2 decay at different rates? (z test)</t>
  </si>
  <si>
    <t xml:space="preserve">Difference in k (type 1 minus type 2)</t>
  </si>
  <si>
    <t xml:space="preserve">z</t>
  </si>
  <si>
    <t xml:space="preserve">p value (two-sided)</t>
  </si>
  <si>
    <t xml:space="preserve">Worked check</t>
  </si>
  <si>
    <t xml:space="preserve">10.0 g falling to 6.7 g in 4 weeks gives k =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</si>
</sst>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;\-0.000;;@"/>
    <numFmt numFmtId="166" formatCode="0"/>
    <numFmt numFmtId="167" formatCode="0.000"/>
    <numFmt numFmtId="168" formatCode="0.0000"/>
    <numFmt numFmtId="169" formatCode="0.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2"/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/>
    </row>
    <row r="20" customFormat="false" ht="15" hidden="false" customHeight="false" outlineLevel="0" collapsed="false">
      <c r="B20" s="6" t="s">
        <v>14</v>
      </c>
    </row>
    <row r="21" customFormat="false" ht="15" hidden="false" customHeight="false" outlineLevel="0" collapsed="false">
      <c r="B21" s="2"/>
    </row>
    <row r="22" customFormat="false" ht="22.35" hidden="false" customHeight="false" outlineLevel="0" collapsed="false">
      <c r="B22" s="6" t="s">
        <v>15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16</v>
      </c>
    </row>
    <row r="2" customFormat="false" ht="15" hidden="false" customHeight="false" outlineLevel="0" collapsed="false">
      <c r="A2" s="8" t="s">
        <v>17</v>
      </c>
    </row>
    <row r="4" customFormat="false" ht="15" hidden="false" customHeight="false" outlineLevel="0" collapsed="false">
      <c r="A4" s="9" t="s">
        <v>18</v>
      </c>
    </row>
    <row r="5" customFormat="false" ht="31.5" hidden="false" customHeight="true" outlineLevel="0" collapsed="false">
      <c r="A5" s="10" t="s">
        <v>19</v>
      </c>
      <c r="B5" s="10" t="s">
        <v>20</v>
      </c>
      <c r="C5" s="10" t="s">
        <v>21</v>
      </c>
    </row>
    <row r="6" customFormat="false" ht="15" hidden="false" customHeight="false" outlineLevel="0" collapsed="false">
      <c r="A6" s="11" t="s">
        <v>22</v>
      </c>
      <c r="B6" s="11" t="s">
        <v>23</v>
      </c>
      <c r="C6" s="11"/>
    </row>
    <row r="9" customFormat="false" ht="15" hidden="false" customHeight="false" outlineLevel="0" collapsed="false">
      <c r="A9" s="9" t="s">
        <v>24</v>
      </c>
    </row>
    <row r="10" customFormat="false" ht="31.5" hidden="false" customHeight="true" outlineLevel="0" collapsed="false">
      <c r="A10" s="10" t="s">
        <v>25</v>
      </c>
      <c r="B10" s="10" t="s">
        <v>26</v>
      </c>
      <c r="C10" s="10" t="s">
        <v>27</v>
      </c>
      <c r="D10" s="10" t="s">
        <v>28</v>
      </c>
      <c r="E10" s="10" t="s">
        <v>29</v>
      </c>
      <c r="F10" s="10" t="s">
        <v>30</v>
      </c>
      <c r="G10" s="10" t="s">
        <v>31</v>
      </c>
      <c r="H10" s="10" t="s">
        <v>32</v>
      </c>
      <c r="I10" s="10" t="s">
        <v>33</v>
      </c>
      <c r="J10" s="10" t="s">
        <v>34</v>
      </c>
    </row>
    <row r="11" customFormat="false" ht="15" hidden="false" customHeight="false" outlineLevel="0" collapsed="false">
      <c r="A11" s="12" t="s">
        <v>22</v>
      </c>
      <c r="B11" s="12" t="n">
        <v>4</v>
      </c>
      <c r="C11" s="12" t="n">
        <v>10</v>
      </c>
      <c r="D11" s="12" t="n">
        <v>6.7</v>
      </c>
    </row>
    <row r="12" customFormat="false" ht="15" hidden="false" customHeight="false" outlineLevel="0" collapsed="false">
      <c r="A12" s="11" t="s">
        <v>22</v>
      </c>
      <c r="B12" s="11" t="n">
        <v>2</v>
      </c>
      <c r="C12" s="11" t="n">
        <v>10.8</v>
      </c>
      <c r="D12" s="11" t="n">
        <v>9.3</v>
      </c>
      <c r="E12" s="13" t="n">
        <f aca="false">IF(AND(ISNUMBER(B12),ISNUMBER(C12),ISNUMBER(D12),C12&gt;0,D12&gt;0),1,0)</f>
        <v>1</v>
      </c>
      <c r="F12" s="13" t="n">
        <f aca="false">IF(E12=1,D12/C12,0)</f>
        <v>0.861111111111111</v>
      </c>
      <c r="G12" s="13" t="n">
        <f aca="false">IF(E12=1,LN(F12),0)</f>
        <v>-0.149531733970964</v>
      </c>
      <c r="H12" s="13" t="n">
        <f aca="false">IF(E12=1,B12*G12,0)</f>
        <v>-0.299063467941927</v>
      </c>
      <c r="I12" s="13" t="n">
        <f aca="false">IF(E12=1,B12^2,0)</f>
        <v>4</v>
      </c>
      <c r="J12" s="13" t="n">
        <f aca="false">IF(E12=1,G12^2,0)</f>
        <v>0.0223597394643631</v>
      </c>
    </row>
    <row r="13" customFormat="false" ht="15" hidden="false" customHeight="false" outlineLevel="0" collapsed="false">
      <c r="A13" s="11" t="s">
        <v>22</v>
      </c>
      <c r="B13" s="11" t="n">
        <v>2</v>
      </c>
      <c r="C13" s="11" t="n">
        <v>10.2</v>
      </c>
      <c r="D13" s="11" t="n">
        <v>8.3</v>
      </c>
      <c r="E13" s="13" t="n">
        <f aca="false">IF(AND(ISNUMBER(B13),ISNUMBER(C13),ISNUMBER(D13),C13&gt;0,D13&gt;0),1,0)</f>
        <v>1</v>
      </c>
      <c r="F13" s="13" t="n">
        <f aca="false">IF(E13=1,D13/C13,0)</f>
        <v>0.813725490196079</v>
      </c>
      <c r="G13" s="13" t="n">
        <f aca="false">IF(E13=1,LN(F13),0)</f>
        <v>-0.206132205487673</v>
      </c>
      <c r="H13" s="13" t="n">
        <f aca="false">IF(E13=1,B13*G13,0)</f>
        <v>-0.412264410975346</v>
      </c>
      <c r="I13" s="13" t="n">
        <f aca="false">IF(E13=1,B13^2,0)</f>
        <v>4</v>
      </c>
      <c r="J13" s="13" t="n">
        <f aca="false">IF(E13=1,G13^2,0)</f>
        <v>0.0424904861392123</v>
      </c>
    </row>
    <row r="14" customFormat="false" ht="15" hidden="false" customHeight="false" outlineLevel="0" collapsed="false">
      <c r="A14" s="11" t="s">
        <v>22</v>
      </c>
      <c r="B14" s="11" t="n">
        <v>2</v>
      </c>
      <c r="C14" s="11" t="n">
        <v>9.8</v>
      </c>
      <c r="D14" s="11" t="n">
        <v>7.9</v>
      </c>
      <c r="E14" s="13" t="n">
        <f aca="false">IF(AND(ISNUMBER(B14),ISNUMBER(C14),ISNUMBER(D14),C14&gt;0,D14&gt;0),1,0)</f>
        <v>1</v>
      </c>
      <c r="F14" s="13" t="n">
        <f aca="false">IF(E14=1,D14/C14,0)</f>
        <v>0.806122448979592</v>
      </c>
      <c r="G14" s="13" t="n">
        <f aca="false">IF(E14=1,LN(F14),0)</f>
        <v>-0.21551962620355</v>
      </c>
      <c r="H14" s="13" t="n">
        <f aca="false">IF(E14=1,B14*G14,0)</f>
        <v>-0.431039252407101</v>
      </c>
      <c r="I14" s="13" t="n">
        <f aca="false">IF(E14=1,B14^2,0)</f>
        <v>4</v>
      </c>
      <c r="J14" s="13" t="n">
        <f aca="false">IF(E14=1,G14^2,0)</f>
        <v>0.0464487092789181</v>
      </c>
    </row>
    <row r="15" customFormat="false" ht="15" hidden="false" customHeight="false" outlineLevel="0" collapsed="false">
      <c r="A15" s="11" t="s">
        <v>22</v>
      </c>
      <c r="B15" s="11" t="n">
        <v>2</v>
      </c>
      <c r="C15" s="11" t="n">
        <v>9.2</v>
      </c>
      <c r="D15" s="11" t="n">
        <v>7.4</v>
      </c>
      <c r="E15" s="13" t="n">
        <f aca="false">IF(AND(ISNUMBER(B15),ISNUMBER(C15),ISNUMBER(D15),C15&gt;0,D15&gt;0),1,0)</f>
        <v>1</v>
      </c>
      <c r="F15" s="13" t="n">
        <f aca="false">IF(E15=1,D15/C15,0)</f>
        <v>0.804347826086957</v>
      </c>
      <c r="G15" s="13" t="n">
        <f aca="false">IF(E15=1,LN(F15),0)</f>
        <v>-0.21772348384487</v>
      </c>
      <c r="H15" s="13" t="n">
        <f aca="false">IF(E15=1,B15*G15,0)</f>
        <v>-0.435446967689741</v>
      </c>
      <c r="I15" s="13" t="n">
        <f aca="false">IF(E15=1,B15^2,0)</f>
        <v>4</v>
      </c>
      <c r="J15" s="13" t="n">
        <f aca="false">IF(E15=1,G15^2,0)</f>
        <v>0.0474035154175475</v>
      </c>
    </row>
    <row r="16" customFormat="false" ht="15" hidden="false" customHeight="false" outlineLevel="0" collapsed="false">
      <c r="A16" s="11" t="s">
        <v>22</v>
      </c>
      <c r="B16" s="11" t="n">
        <v>4</v>
      </c>
      <c r="C16" s="11" t="n">
        <v>9.7</v>
      </c>
      <c r="D16" s="11" t="n">
        <v>5.2</v>
      </c>
      <c r="E16" s="13" t="n">
        <f aca="false">IF(AND(ISNUMBER(B16),ISNUMBER(C16),ISNUMBER(D16),C16&gt;0,D16&gt;0),1,0)</f>
        <v>1</v>
      </c>
      <c r="F16" s="13" t="n">
        <f aca="false">IF(E16=1,D16/C16,0)</f>
        <v>0.536082474226804</v>
      </c>
      <c r="G16" s="13" t="n">
        <f aca="false">IF(E16=1,LN(F16),0)</f>
        <v>-0.623467259921955</v>
      </c>
      <c r="H16" s="13" t="n">
        <f aca="false">IF(E16=1,B16*G16,0)</f>
        <v>-2.49386903968782</v>
      </c>
      <c r="I16" s="13" t="n">
        <f aca="false">IF(E16=1,B16^2,0)</f>
        <v>16</v>
      </c>
      <c r="J16" s="13" t="n">
        <f aca="false">IF(E16=1,G16^2,0)</f>
        <v>0.388711424194591</v>
      </c>
    </row>
    <row r="17" customFormat="false" ht="15" hidden="false" customHeight="false" outlineLevel="0" collapsed="false">
      <c r="A17" s="11" t="s">
        <v>22</v>
      </c>
      <c r="B17" s="11" t="n">
        <v>4</v>
      </c>
      <c r="C17" s="11" t="n">
        <v>10.1</v>
      </c>
      <c r="D17" s="11" t="n">
        <v>6.6</v>
      </c>
      <c r="E17" s="13" t="n">
        <f aca="false">IF(AND(ISNUMBER(B17),ISNUMBER(C17),ISNUMBER(D17),C17&gt;0,D17&gt;0),1,0)</f>
        <v>1</v>
      </c>
      <c r="F17" s="13" t="n">
        <f aca="false">IF(E17=1,D17/C17,0)</f>
        <v>0.653465346534654</v>
      </c>
      <c r="G17" s="13" t="n">
        <f aca="false">IF(E17=1,LN(F17),0)</f>
        <v>-0.425465774814834</v>
      </c>
      <c r="H17" s="13" t="n">
        <f aca="false">IF(E17=1,B17*G17,0)</f>
        <v>-1.70186309925934</v>
      </c>
      <c r="I17" s="13" t="n">
        <f aca="false">IF(E17=1,B17^2,0)</f>
        <v>16</v>
      </c>
      <c r="J17" s="13" t="n">
        <f aca="false">IF(E17=1,G17^2,0)</f>
        <v>0.181021125538787</v>
      </c>
    </row>
    <row r="18" customFormat="false" ht="15" hidden="false" customHeight="false" outlineLevel="0" collapsed="false">
      <c r="A18" s="11" t="s">
        <v>22</v>
      </c>
      <c r="B18" s="11" t="n">
        <v>4</v>
      </c>
      <c r="C18" s="11" t="n">
        <v>9.9</v>
      </c>
      <c r="D18" s="11" t="n">
        <v>6.6</v>
      </c>
      <c r="E18" s="13" t="n">
        <f aca="false">IF(AND(ISNUMBER(B18),ISNUMBER(C18),ISNUMBER(D18),C18&gt;0,D18&gt;0),1,0)</f>
        <v>1</v>
      </c>
      <c r="F18" s="13" t="n">
        <f aca="false">IF(E18=1,D18/C18,0)</f>
        <v>0.666666666666667</v>
      </c>
      <c r="G18" s="13" t="n">
        <f aca="false">IF(E18=1,LN(F18),0)</f>
        <v>-0.405465108108164</v>
      </c>
      <c r="H18" s="13" t="n">
        <f aca="false">IF(E18=1,B18*G18,0)</f>
        <v>-1.62186043243266</v>
      </c>
      <c r="I18" s="13" t="n">
        <f aca="false">IF(E18=1,B18^2,0)</f>
        <v>16</v>
      </c>
      <c r="J18" s="13" t="n">
        <f aca="false">IF(E18=1,G18^2,0)</f>
        <v>0.164401953893165</v>
      </c>
    </row>
    <row r="19" customFormat="false" ht="15" hidden="false" customHeight="false" outlineLevel="0" collapsed="false">
      <c r="A19" s="11" t="s">
        <v>22</v>
      </c>
      <c r="B19" s="11" t="n">
        <v>4</v>
      </c>
      <c r="C19" s="11" t="n">
        <v>9.6</v>
      </c>
      <c r="D19" s="11" t="n">
        <v>6.3</v>
      </c>
      <c r="E19" s="13" t="n">
        <f aca="false">IF(AND(ISNUMBER(B19),ISNUMBER(C19),ISNUMBER(D19),C19&gt;0,D19&gt;0),1,0)</f>
        <v>1</v>
      </c>
      <c r="F19" s="13" t="n">
        <f aca="false">IF(E19=1,D19/C19,0)</f>
        <v>0.65625</v>
      </c>
      <c r="G19" s="13" t="n">
        <f aca="false">IF(E19=1,LN(F19),0)</f>
        <v>-0.421213465076304</v>
      </c>
      <c r="H19" s="13" t="n">
        <f aca="false">IF(E19=1,B19*G19,0)</f>
        <v>-1.68485386030521</v>
      </c>
      <c r="I19" s="13" t="n">
        <f aca="false">IF(E19=1,B19^2,0)</f>
        <v>16</v>
      </c>
      <c r="J19" s="13" t="n">
        <f aca="false">IF(E19=1,G19^2,0)</f>
        <v>0.177420783161586</v>
      </c>
    </row>
    <row r="20" customFormat="false" ht="15" hidden="false" customHeight="false" outlineLevel="0" collapsed="false">
      <c r="A20" s="11" t="s">
        <v>22</v>
      </c>
      <c r="B20" s="11" t="n">
        <v>6</v>
      </c>
      <c r="C20" s="11" t="n">
        <v>10.2</v>
      </c>
      <c r="D20" s="11" t="n">
        <v>5.4</v>
      </c>
      <c r="E20" s="13" t="n">
        <f aca="false">IF(AND(ISNUMBER(B20),ISNUMBER(C20),ISNUMBER(D20),C20&gt;0,D20&gt;0),1,0)</f>
        <v>1</v>
      </c>
      <c r="F20" s="13" t="n">
        <f aca="false">IF(E20=1,D20/C20,0)</f>
        <v>0.529411764705883</v>
      </c>
      <c r="G20" s="13" t="n">
        <f aca="false">IF(E20=1,LN(F20),0)</f>
        <v>-0.635988766719997</v>
      </c>
      <c r="H20" s="13" t="n">
        <f aca="false">IF(E20=1,B20*G20,0)</f>
        <v>-3.81593260031998</v>
      </c>
      <c r="I20" s="13" t="n">
        <f aca="false">IF(E20=1,B20^2,0)</f>
        <v>36</v>
      </c>
      <c r="J20" s="13" t="n">
        <f aca="false">IF(E20=1,G20^2,0)</f>
        <v>0.404481711394022</v>
      </c>
    </row>
    <row r="21" customFormat="false" ht="15" hidden="false" customHeight="false" outlineLevel="0" collapsed="false">
      <c r="A21" s="11" t="s">
        <v>22</v>
      </c>
      <c r="B21" s="11" t="n">
        <v>6</v>
      </c>
      <c r="C21" s="11" t="n">
        <v>10.4</v>
      </c>
      <c r="D21" s="11" t="n">
        <v>5.5</v>
      </c>
      <c r="E21" s="13" t="n">
        <f aca="false">IF(AND(ISNUMBER(B21),ISNUMBER(C21),ISNUMBER(D21),C21&gt;0,D21&gt;0),1,0)</f>
        <v>1</v>
      </c>
      <c r="F21" s="13" t="n">
        <f aca="false">IF(E21=1,D21/C21,0)</f>
        <v>0.528846153846154</v>
      </c>
      <c r="G21" s="13" t="n">
        <f aca="false">IF(E21=1,LN(F21),0)</f>
        <v>-0.637057713908902</v>
      </c>
      <c r="H21" s="13" t="n">
        <f aca="false">IF(E21=1,B21*G21,0)</f>
        <v>-3.82234628345341</v>
      </c>
      <c r="I21" s="13" t="n">
        <f aca="false">IF(E21=1,B21^2,0)</f>
        <v>36</v>
      </c>
      <c r="J21" s="13" t="n">
        <f aca="false">IF(E21=1,G21^2,0)</f>
        <v>0.405842530850836</v>
      </c>
    </row>
    <row r="22" customFormat="false" ht="15" hidden="false" customHeight="false" outlineLevel="0" collapsed="false">
      <c r="A22" s="11" t="s">
        <v>22</v>
      </c>
      <c r="B22" s="11" t="n">
        <v>6</v>
      </c>
      <c r="C22" s="11" t="n">
        <v>10</v>
      </c>
      <c r="D22" s="11" t="n">
        <v>4.6</v>
      </c>
      <c r="E22" s="13" t="n">
        <f aca="false">IF(AND(ISNUMBER(B22),ISNUMBER(C22),ISNUMBER(D22),C22&gt;0,D22&gt;0),1,0)</f>
        <v>1</v>
      </c>
      <c r="F22" s="13" t="n">
        <f aca="false">IF(E22=1,D22/C22,0)</f>
        <v>0.46</v>
      </c>
      <c r="G22" s="13" t="n">
        <f aca="false">IF(E22=1,LN(F22),0)</f>
        <v>-0.776528789498996</v>
      </c>
      <c r="H22" s="13" t="n">
        <f aca="false">IF(E22=1,B22*G22,0)</f>
        <v>-4.65917273699398</v>
      </c>
      <c r="I22" s="13" t="n">
        <f aca="false">IF(E22=1,B22^2,0)</f>
        <v>36</v>
      </c>
      <c r="J22" s="13" t="n">
        <f aca="false">IF(E22=1,G22^2,0)</f>
        <v>0.602996960920777</v>
      </c>
    </row>
    <row r="23" customFormat="false" ht="15" hidden="false" customHeight="false" outlineLevel="0" collapsed="false">
      <c r="A23" s="11" t="s">
        <v>22</v>
      </c>
      <c r="B23" s="11" t="n">
        <v>6</v>
      </c>
      <c r="C23" s="11" t="n">
        <v>10.2</v>
      </c>
      <c r="D23" s="11" t="n">
        <v>5.5</v>
      </c>
      <c r="E23" s="13" t="n">
        <f aca="false">IF(AND(ISNUMBER(B23),ISNUMBER(C23),ISNUMBER(D23),C23&gt;0,D23&gt;0),1,0)</f>
        <v>1</v>
      </c>
      <c r="F23" s="13" t="n">
        <f aca="false">IF(E23=1,D23/C23,0)</f>
        <v>0.53921568627451</v>
      </c>
      <c r="G23" s="13" t="n">
        <f aca="false">IF(E23=1,LN(F23),0)</f>
        <v>-0.6176396280518</v>
      </c>
      <c r="H23" s="13" t="n">
        <f aca="false">IF(E23=1,B23*G23,0)</f>
        <v>-3.7058377683108</v>
      </c>
      <c r="I23" s="13" t="n">
        <f aca="false">IF(E23=1,B23^2,0)</f>
        <v>36</v>
      </c>
      <c r="J23" s="13" t="n">
        <f aca="false">IF(E23=1,G23^2,0)</f>
        <v>0.381478710139966</v>
      </c>
    </row>
    <row r="24" customFormat="false" ht="15" hidden="false" customHeight="false" outlineLevel="0" collapsed="false">
      <c r="A24" s="11" t="s">
        <v>22</v>
      </c>
      <c r="B24" s="11" t="n">
        <v>8</v>
      </c>
      <c r="C24" s="11" t="n">
        <v>9.9</v>
      </c>
      <c r="D24" s="11" t="n">
        <v>3.9</v>
      </c>
      <c r="E24" s="13" t="n">
        <f aca="false">IF(AND(ISNUMBER(B24),ISNUMBER(C24),ISNUMBER(D24),C24&gt;0,D24&gt;0),1,0)</f>
        <v>1</v>
      </c>
      <c r="F24" s="13" t="n">
        <f aca="false">IF(E24=1,D24/C24,0)</f>
        <v>0.393939393939394</v>
      </c>
      <c r="G24" s="13" t="n">
        <f aca="false">IF(E24=1,LN(F24),0)</f>
        <v>-0.931558204004944</v>
      </c>
      <c r="H24" s="13" t="n">
        <f aca="false">IF(E24=1,B24*G24,0)</f>
        <v>-7.45246563203955</v>
      </c>
      <c r="I24" s="13" t="n">
        <f aca="false">IF(E24=1,B24^2,0)</f>
        <v>64</v>
      </c>
      <c r="J24" s="13" t="n">
        <f aca="false">IF(E24=1,G24^2,0)</f>
        <v>0.867800687448916</v>
      </c>
    </row>
    <row r="25" customFormat="false" ht="15" hidden="false" customHeight="false" outlineLevel="0" collapsed="false">
      <c r="A25" s="11" t="s">
        <v>22</v>
      </c>
      <c r="B25" s="11" t="n">
        <v>8</v>
      </c>
      <c r="C25" s="11" t="n">
        <v>10.8</v>
      </c>
      <c r="D25" s="11" t="n">
        <v>4.6</v>
      </c>
      <c r="E25" s="13" t="n">
        <f aca="false">IF(AND(ISNUMBER(B25),ISNUMBER(C25),ISNUMBER(D25),C25&gt;0,D25&gt;0),1,0)</f>
        <v>1</v>
      </c>
      <c r="F25" s="13" t="n">
        <f aca="false">IF(E25=1,D25/C25,0)</f>
        <v>0.425925925925926</v>
      </c>
      <c r="G25" s="13" t="n">
        <f aca="false">IF(E25=1,LN(F25),0)</f>
        <v>-0.853489830635125</v>
      </c>
      <c r="H25" s="13" t="n">
        <f aca="false">IF(E25=1,B25*G25,0)</f>
        <v>-6.827918645081</v>
      </c>
      <c r="I25" s="13" t="n">
        <f aca="false">IF(E25=1,B25^2,0)</f>
        <v>64</v>
      </c>
      <c r="J25" s="13" t="n">
        <f aca="false">IF(E25=1,G25^2,0)</f>
        <v>0.728444890997574</v>
      </c>
    </row>
    <row r="26" customFormat="false" ht="15" hidden="false" customHeight="false" outlineLevel="0" collapsed="false">
      <c r="A26" s="11" t="s">
        <v>22</v>
      </c>
      <c r="B26" s="11" t="n">
        <v>8</v>
      </c>
      <c r="C26" s="11" t="n">
        <v>9.9</v>
      </c>
      <c r="D26" s="11" t="n">
        <v>3.7</v>
      </c>
      <c r="E26" s="13" t="n">
        <f aca="false">IF(AND(ISNUMBER(B26),ISNUMBER(C26),ISNUMBER(D26),C26&gt;0,D26&gt;0),1,0)</f>
        <v>1</v>
      </c>
      <c r="F26" s="13" t="n">
        <f aca="false">IF(E26=1,D26/C26,0)</f>
        <v>0.373737373737374</v>
      </c>
      <c r="G26" s="13" t="n">
        <f aca="false">IF(E26=1,LN(F26),0)</f>
        <v>-0.984201937490365</v>
      </c>
      <c r="H26" s="13" t="n">
        <f aca="false">IF(E26=1,B26*G26,0)</f>
        <v>-7.87361549992292</v>
      </c>
      <c r="I26" s="13" t="n">
        <f aca="false">IF(E26=1,B26^2,0)</f>
        <v>64</v>
      </c>
      <c r="J26" s="13" t="n">
        <f aca="false">IF(E26=1,G26^2,0)</f>
        <v>0.968653453759789</v>
      </c>
    </row>
    <row r="27" customFormat="false" ht="15" hidden="false" customHeight="false" outlineLevel="0" collapsed="false">
      <c r="A27" s="11" t="s">
        <v>22</v>
      </c>
      <c r="B27" s="11" t="n">
        <v>8</v>
      </c>
      <c r="C27" s="11" t="n">
        <v>9.6</v>
      </c>
      <c r="D27" s="11" t="n">
        <v>4.1</v>
      </c>
      <c r="E27" s="13" t="n">
        <f aca="false">IF(AND(ISNUMBER(B27),ISNUMBER(C27),ISNUMBER(D27),C27&gt;0,D27&gt;0),1,0)</f>
        <v>1</v>
      </c>
      <c r="F27" s="13" t="n">
        <f aca="false">IF(E27=1,D27/C27,0)</f>
        <v>0.427083333333333</v>
      </c>
      <c r="G27" s="13" t="n">
        <f aca="false">IF(E27=1,LN(F27),0)</f>
        <v>-0.850776124763529</v>
      </c>
      <c r="H27" s="13" t="n">
        <f aca="false">IF(E27=1,B27*G27,0)</f>
        <v>-6.80620899810823</v>
      </c>
      <c r="I27" s="13" t="n">
        <f aca="false">IF(E27=1,B27^2,0)</f>
        <v>64</v>
      </c>
      <c r="J27" s="13" t="n">
        <f aca="false">IF(E27=1,G27^2,0)</f>
        <v>0.723820014467647</v>
      </c>
    </row>
    <row r="28" customFormat="false" ht="15" hidden="false" customHeight="false" outlineLevel="0" collapsed="false">
      <c r="A28" s="11" t="s">
        <v>23</v>
      </c>
      <c r="B28" s="11" t="n">
        <v>2</v>
      </c>
      <c r="C28" s="11" t="n">
        <v>10.4</v>
      </c>
      <c r="D28" s="11" t="n">
        <v>9.5</v>
      </c>
      <c r="E28" s="13" t="n">
        <f aca="false">IF(AND(ISNUMBER(B28),ISNUMBER(C28),ISNUMBER(D28),C28&gt;0,D28&gt;0),1,0)</f>
        <v>1</v>
      </c>
      <c r="F28" s="13" t="n">
        <f aca="false">IF(E28=1,D28/C28,0)</f>
        <v>0.913461538461538</v>
      </c>
      <c r="G28" s="13" t="n">
        <f aca="false">IF(E28=1,LN(F28),0)</f>
        <v>-0.0905140075408319</v>
      </c>
      <c r="H28" s="13" t="n">
        <f aca="false">IF(E28=1,B28*G28,0)</f>
        <v>-0.181028015081664</v>
      </c>
      <c r="I28" s="13" t="n">
        <f aca="false">IF(E28=1,B28^2,0)</f>
        <v>4</v>
      </c>
      <c r="J28" s="13" t="n">
        <f aca="false">IF(E28=1,G28^2,0)</f>
        <v>0.00819278556110177</v>
      </c>
    </row>
    <row r="29" customFormat="false" ht="15" hidden="false" customHeight="false" outlineLevel="0" collapsed="false">
      <c r="A29" s="11" t="s">
        <v>23</v>
      </c>
      <c r="B29" s="11" t="n">
        <v>2</v>
      </c>
      <c r="C29" s="11" t="n">
        <v>10</v>
      </c>
      <c r="D29" s="11" t="n">
        <v>9.2</v>
      </c>
      <c r="E29" s="13" t="n">
        <f aca="false">IF(AND(ISNUMBER(B29),ISNUMBER(C29),ISNUMBER(D29),C29&gt;0,D29&gt;0),1,0)</f>
        <v>1</v>
      </c>
      <c r="F29" s="13" t="n">
        <f aca="false">IF(E29=1,D29/C29,0)</f>
        <v>0.92</v>
      </c>
      <c r="G29" s="13" t="n">
        <f aca="false">IF(E29=1,LN(F29),0)</f>
        <v>-0.0833816089390511</v>
      </c>
      <c r="H29" s="13" t="n">
        <f aca="false">IF(E29=1,B29*G29,0)</f>
        <v>-0.166763217878102</v>
      </c>
      <c r="I29" s="13" t="n">
        <f aca="false">IF(E29=1,B29^2,0)</f>
        <v>4</v>
      </c>
      <c r="J29" s="13" t="n">
        <f aca="false">IF(E29=1,G29^2,0)</f>
        <v>0.00695249270926485</v>
      </c>
    </row>
    <row r="30" customFormat="false" ht="15" hidden="false" customHeight="false" outlineLevel="0" collapsed="false">
      <c r="A30" s="11" t="s">
        <v>23</v>
      </c>
      <c r="B30" s="11" t="n">
        <v>2</v>
      </c>
      <c r="C30" s="11" t="n">
        <v>8.9</v>
      </c>
      <c r="D30" s="11" t="n">
        <v>8.1</v>
      </c>
      <c r="E30" s="13" t="n">
        <f aca="false">IF(AND(ISNUMBER(B30),ISNUMBER(C30),ISNUMBER(D30),C30&gt;0,D30&gt;0),1,0)</f>
        <v>1</v>
      </c>
      <c r="F30" s="13" t="n">
        <f aca="false">IF(E30=1,D30/C30,0)</f>
        <v>0.910112359550562</v>
      </c>
      <c r="G30" s="13" t="n">
        <f aca="false">IF(E30=1,LN(F30),0)</f>
        <v>-0.0941872150597012</v>
      </c>
      <c r="H30" s="13" t="n">
        <f aca="false">IF(E30=1,B30*G30,0)</f>
        <v>-0.188374430119402</v>
      </c>
      <c r="I30" s="13" t="n">
        <f aca="false">IF(E30=1,B30^2,0)</f>
        <v>4</v>
      </c>
      <c r="J30" s="13" t="n">
        <f aca="false">IF(E30=1,G30^2,0)</f>
        <v>0.0088712314807024</v>
      </c>
    </row>
    <row r="31" customFormat="false" ht="15" hidden="false" customHeight="false" outlineLevel="0" collapsed="false">
      <c r="A31" s="11" t="s">
        <v>23</v>
      </c>
      <c r="B31" s="11" t="n">
        <v>2</v>
      </c>
      <c r="C31" s="11" t="n">
        <v>9.6</v>
      </c>
      <c r="D31" s="11" t="n">
        <v>9</v>
      </c>
      <c r="E31" s="13" t="n">
        <f aca="false">IF(AND(ISNUMBER(B31),ISNUMBER(C31),ISNUMBER(D31),C31&gt;0,D31&gt;0),1,0)</f>
        <v>1</v>
      </c>
      <c r="F31" s="13" t="n">
        <f aca="false">IF(E31=1,D31/C31,0)</f>
        <v>0.9375</v>
      </c>
      <c r="G31" s="13" t="n">
        <f aca="false">IF(E31=1,LN(F31),0)</f>
        <v>-0.0645385211375712</v>
      </c>
      <c r="H31" s="13" t="n">
        <f aca="false">IF(E31=1,B31*G31,0)</f>
        <v>-0.129077042275142</v>
      </c>
      <c r="I31" s="13" t="n">
        <f aca="false">IF(E31=1,B31^2,0)</f>
        <v>4</v>
      </c>
      <c r="J31" s="13" t="n">
        <f aca="false">IF(E31=1,G31^2,0)</f>
        <v>0.00416522071062472</v>
      </c>
    </row>
    <row r="32" customFormat="false" ht="15" hidden="false" customHeight="false" outlineLevel="0" collapsed="false">
      <c r="A32" s="11" t="s">
        <v>23</v>
      </c>
      <c r="B32" s="11" t="n">
        <v>4</v>
      </c>
      <c r="C32" s="11" t="n">
        <v>10.1</v>
      </c>
      <c r="D32" s="11" t="n">
        <v>8.5</v>
      </c>
      <c r="E32" s="13" t="n">
        <f aca="false">IF(AND(ISNUMBER(B32),ISNUMBER(C32),ISNUMBER(D32),C32&gt;0,D32&gt;0),1,0)</f>
        <v>1</v>
      </c>
      <c r="F32" s="13" t="n">
        <f aca="false">IF(E32=1,D32/C32,0)</f>
        <v>0.841584158415842</v>
      </c>
      <c r="G32" s="13" t="n">
        <f aca="false">IF(E32=1,LN(F32),0)</f>
        <v>-0.172469260350943</v>
      </c>
      <c r="H32" s="13" t="n">
        <f aca="false">IF(E32=1,B32*G32,0)</f>
        <v>-0.689877041403772</v>
      </c>
      <c r="I32" s="13" t="n">
        <f aca="false">IF(E32=1,B32^2,0)</f>
        <v>16</v>
      </c>
      <c r="J32" s="13" t="n">
        <f aca="false">IF(E32=1,G32^2,0)</f>
        <v>0.0297456457660013</v>
      </c>
    </row>
    <row r="33" customFormat="false" ht="15" hidden="false" customHeight="false" outlineLevel="0" collapsed="false">
      <c r="A33" s="11" t="s">
        <v>23</v>
      </c>
      <c r="B33" s="11" t="n">
        <v>4</v>
      </c>
      <c r="C33" s="11" t="n">
        <v>9.8</v>
      </c>
      <c r="D33" s="11" t="n">
        <v>8.5</v>
      </c>
      <c r="E33" s="13" t="n">
        <f aca="false">IF(AND(ISNUMBER(B33),ISNUMBER(C33),ISNUMBER(D33),C33&gt;0,D33&gt;0),1,0)</f>
        <v>1</v>
      </c>
      <c r="F33" s="13" t="n">
        <f aca="false">IF(E33=1,D33/C33,0)</f>
        <v>0.86734693877551</v>
      </c>
      <c r="G33" s="13" t="n">
        <f aca="false">IF(E33=1,LN(F33),0)</f>
        <v>-0.142316222180256</v>
      </c>
      <c r="H33" s="13" t="n">
        <f aca="false">IF(E33=1,B33*G33,0)</f>
        <v>-0.569264888721022</v>
      </c>
      <c r="I33" s="13" t="n">
        <f aca="false">IF(E33=1,B33^2,0)</f>
        <v>16</v>
      </c>
      <c r="J33" s="13" t="n">
        <f aca="false">IF(E33=1,G33^2,0)</f>
        <v>0.0202539070956598</v>
      </c>
    </row>
    <row r="34" customFormat="false" ht="15" hidden="false" customHeight="false" outlineLevel="0" collapsed="false">
      <c r="A34" s="11" t="s">
        <v>23</v>
      </c>
      <c r="B34" s="11" t="n">
        <v>4</v>
      </c>
      <c r="C34" s="11" t="n">
        <v>10</v>
      </c>
      <c r="D34" s="11" t="n">
        <v>8.5</v>
      </c>
      <c r="E34" s="13" t="n">
        <f aca="false">IF(AND(ISNUMBER(B34),ISNUMBER(C34),ISNUMBER(D34),C34&gt;0,D34&gt;0),1,0)</f>
        <v>1</v>
      </c>
      <c r="F34" s="13" t="n">
        <f aca="false">IF(E34=1,D34/C34,0)</f>
        <v>0.85</v>
      </c>
      <c r="G34" s="13" t="n">
        <f aca="false">IF(E34=1,LN(F34),0)</f>
        <v>-0.162518929497775</v>
      </c>
      <c r="H34" s="13" t="n">
        <f aca="false">IF(E34=1,B34*G34,0)</f>
        <v>-0.6500757179911</v>
      </c>
      <c r="I34" s="13" t="n">
        <f aca="false">IF(E34=1,B34^2,0)</f>
        <v>16</v>
      </c>
      <c r="J34" s="13" t="n">
        <f aca="false">IF(E34=1,G34^2,0)</f>
        <v>0.0264124024451027</v>
      </c>
    </row>
    <row r="35" customFormat="false" ht="15" hidden="false" customHeight="false" outlineLevel="0" collapsed="false">
      <c r="A35" s="11" t="s">
        <v>23</v>
      </c>
      <c r="B35" s="11" t="n">
        <v>4</v>
      </c>
      <c r="C35" s="11" t="n">
        <v>10.6</v>
      </c>
      <c r="D35" s="11" t="n">
        <v>8.9</v>
      </c>
      <c r="E35" s="13" t="n">
        <f aca="false">IF(AND(ISNUMBER(B35),ISNUMBER(C35),ISNUMBER(D35),C35&gt;0,D35&gt;0),1,0)</f>
        <v>1</v>
      </c>
      <c r="F35" s="13" t="n">
        <f aca="false">IF(E35=1,D35/C35,0)</f>
        <v>0.839622641509434</v>
      </c>
      <c r="G35" s="13" t="n">
        <f aca="false">IF(E35=1,LN(F35),0)</f>
        <v>-0.174802724379927</v>
      </c>
      <c r="H35" s="13" t="n">
        <f aca="false">IF(E35=1,B35*G35,0)</f>
        <v>-0.699210897519709</v>
      </c>
      <c r="I35" s="13" t="n">
        <f aca="false">IF(E35=1,B35^2,0)</f>
        <v>16</v>
      </c>
      <c r="J35" s="13" t="n">
        <f aca="false">IF(E35=1,G35^2,0)</f>
        <v>0.0305559924506448</v>
      </c>
    </row>
    <row r="36" customFormat="false" ht="15" hidden="false" customHeight="false" outlineLevel="0" collapsed="false">
      <c r="A36" s="11" t="s">
        <v>23</v>
      </c>
      <c r="B36" s="11" t="n">
        <v>6</v>
      </c>
      <c r="C36" s="11" t="n">
        <v>10.1</v>
      </c>
      <c r="D36" s="11" t="n">
        <v>7.7</v>
      </c>
      <c r="E36" s="13" t="n">
        <f aca="false">IF(AND(ISNUMBER(B36),ISNUMBER(C36),ISNUMBER(D36),C36&gt;0,D36&gt;0),1,0)</f>
        <v>1</v>
      </c>
      <c r="F36" s="13" t="n">
        <f aca="false">IF(E36=1,D36/C36,0)</f>
        <v>0.762376237623762</v>
      </c>
      <c r="G36" s="13" t="n">
        <f aca="false">IF(E36=1,LN(F36),0)</f>
        <v>-0.271315094987576</v>
      </c>
      <c r="H36" s="13" t="n">
        <f aca="false">IF(E36=1,B36*G36,0)</f>
        <v>-1.62789056992545</v>
      </c>
      <c r="I36" s="13" t="n">
        <f aca="false">IF(E36=1,B36^2,0)</f>
        <v>36</v>
      </c>
      <c r="J36" s="13" t="n">
        <f aca="false">IF(E36=1,G36^2,0)</f>
        <v>0.0736118807681172</v>
      </c>
    </row>
    <row r="37" customFormat="false" ht="15" hidden="false" customHeight="false" outlineLevel="0" collapsed="false">
      <c r="A37" s="11" t="s">
        <v>23</v>
      </c>
      <c r="B37" s="11" t="n">
        <v>6</v>
      </c>
      <c r="C37" s="11" t="n">
        <v>9.9</v>
      </c>
      <c r="D37" s="11" t="n">
        <v>8</v>
      </c>
      <c r="E37" s="13" t="n">
        <f aca="false">IF(AND(ISNUMBER(B37),ISNUMBER(C37),ISNUMBER(D37),C37&gt;0,D37&gt;0),1,0)</f>
        <v>1</v>
      </c>
      <c r="F37" s="13" t="n">
        <f aca="false">IF(E37=1,D37/C37,0)</f>
        <v>0.808080808080808</v>
      </c>
      <c r="G37" s="13" t="n">
        <f aca="false">IF(E37=1,LN(F37),0)</f>
        <v>-0.213093215460708</v>
      </c>
      <c r="H37" s="13" t="n">
        <f aca="false">IF(E37=1,B37*G37,0)</f>
        <v>-1.27855929276425</v>
      </c>
      <c r="I37" s="13" t="n">
        <f aca="false">IF(E37=1,B37^2,0)</f>
        <v>36</v>
      </c>
      <c r="J37" s="13" t="n">
        <f aca="false">IF(E37=1,G37^2,0)</f>
        <v>0.0454087184753839</v>
      </c>
    </row>
    <row r="38" customFormat="false" ht="15" hidden="false" customHeight="false" outlineLevel="0" collapsed="false">
      <c r="A38" s="11" t="s">
        <v>23</v>
      </c>
      <c r="B38" s="11" t="n">
        <v>6</v>
      </c>
      <c r="C38" s="11" t="n">
        <v>10.2</v>
      </c>
      <c r="D38" s="11" t="n">
        <v>7.9</v>
      </c>
      <c r="E38" s="13" t="n">
        <f aca="false">IF(AND(ISNUMBER(B38),ISNUMBER(C38),ISNUMBER(D38),C38&gt;0,D38&gt;0),1,0)</f>
        <v>1</v>
      </c>
      <c r="F38" s="13" t="n">
        <f aca="false">IF(E38=1,D38/C38,0)</f>
        <v>0.774509803921569</v>
      </c>
      <c r="G38" s="13" t="n">
        <f aca="false">IF(E38=1,LN(F38),0)</f>
        <v>-0.255524960817249</v>
      </c>
      <c r="H38" s="13" t="n">
        <f aca="false">IF(E38=1,B38*G38,0)</f>
        <v>-1.5331497649035</v>
      </c>
      <c r="I38" s="13" t="n">
        <f aca="false">IF(E38=1,B38^2,0)</f>
        <v>36</v>
      </c>
      <c r="J38" s="13" t="n">
        <f aca="false">IF(E38=1,G38^2,0)</f>
        <v>0.0652930056006568</v>
      </c>
    </row>
    <row r="39" customFormat="false" ht="15" hidden="false" customHeight="false" outlineLevel="0" collapsed="false">
      <c r="A39" s="11" t="s">
        <v>23</v>
      </c>
      <c r="B39" s="11" t="n">
        <v>6</v>
      </c>
      <c r="C39" s="11" t="n">
        <v>9.9</v>
      </c>
      <c r="D39" s="11" t="n">
        <v>8</v>
      </c>
      <c r="E39" s="13" t="n">
        <f aca="false">IF(AND(ISNUMBER(B39),ISNUMBER(C39),ISNUMBER(D39),C39&gt;0,D39&gt;0),1,0)</f>
        <v>1</v>
      </c>
      <c r="F39" s="13" t="n">
        <f aca="false">IF(E39=1,D39/C39,0)</f>
        <v>0.808080808080808</v>
      </c>
      <c r="G39" s="13" t="n">
        <f aca="false">IF(E39=1,LN(F39),0)</f>
        <v>-0.213093215460708</v>
      </c>
      <c r="H39" s="13" t="n">
        <f aca="false">IF(E39=1,B39*G39,0)</f>
        <v>-1.27855929276425</v>
      </c>
      <c r="I39" s="13" t="n">
        <f aca="false">IF(E39=1,B39^2,0)</f>
        <v>36</v>
      </c>
      <c r="J39" s="13" t="n">
        <f aca="false">IF(E39=1,G39^2,0)</f>
        <v>0.0454087184753839</v>
      </c>
    </row>
    <row r="40" customFormat="false" ht="15" hidden="false" customHeight="false" outlineLevel="0" collapsed="false">
      <c r="A40" s="11" t="s">
        <v>23</v>
      </c>
      <c r="B40" s="11" t="n">
        <v>8</v>
      </c>
      <c r="C40" s="11" t="n">
        <v>10.1</v>
      </c>
      <c r="D40" s="11" t="n">
        <v>8.1</v>
      </c>
      <c r="E40" s="13" t="n">
        <f aca="false">IF(AND(ISNUMBER(B40),ISNUMBER(C40),ISNUMBER(D40),C40&gt;0,D40&gt;0),1,0)</f>
        <v>1</v>
      </c>
      <c r="F40" s="13" t="n">
        <f aca="false">IF(E40=1,D40/C40,0)</f>
        <v>0.801980198019802</v>
      </c>
      <c r="G40" s="13" t="n">
        <f aca="false">IF(E40=1,LN(F40),0)</f>
        <v>-0.220671362168821</v>
      </c>
      <c r="H40" s="13" t="n">
        <f aca="false">IF(E40=1,B40*G40,0)</f>
        <v>-1.76537089735057</v>
      </c>
      <c r="I40" s="13" t="n">
        <f aca="false">IF(E40=1,B40^2,0)</f>
        <v>64</v>
      </c>
      <c r="J40" s="13" t="n">
        <f aca="false">IF(E40=1,G40^2,0)</f>
        <v>0.0486958500814428</v>
      </c>
    </row>
    <row r="41" customFormat="false" ht="15" hidden="false" customHeight="false" outlineLevel="0" collapsed="false">
      <c r="A41" s="11" t="s">
        <v>23</v>
      </c>
      <c r="B41" s="11" t="n">
        <v>8</v>
      </c>
      <c r="C41" s="11" t="n">
        <v>10.3</v>
      </c>
      <c r="D41" s="11" t="n">
        <v>7.3</v>
      </c>
      <c r="E41" s="13" t="n">
        <f aca="false">IF(AND(ISNUMBER(B41),ISNUMBER(C41),ISNUMBER(D41),C41&gt;0,D41&gt;0),1,0)</f>
        <v>1</v>
      </c>
      <c r="F41" s="13" t="n">
        <f aca="false">IF(E41=1,D41/C41,0)</f>
        <v>0.70873786407767</v>
      </c>
      <c r="G41" s="13" t="n">
        <f aca="false">IF(E41=1,LN(F41),0)</f>
        <v>-0.344269547081245</v>
      </c>
      <c r="H41" s="13" t="n">
        <f aca="false">IF(E41=1,B41*G41,0)</f>
        <v>-2.75415637664996</v>
      </c>
      <c r="I41" s="13" t="n">
        <f aca="false">IF(E41=1,B41^2,0)</f>
        <v>64</v>
      </c>
      <c r="J41" s="13" t="n">
        <f aca="false">IF(E41=1,G41^2,0)</f>
        <v>0.118521521047525</v>
      </c>
    </row>
    <row r="42" customFormat="false" ht="15" hidden="false" customHeight="false" outlineLevel="0" collapsed="false">
      <c r="A42" s="11" t="s">
        <v>23</v>
      </c>
      <c r="B42" s="11" t="n">
        <v>8</v>
      </c>
      <c r="C42" s="11" t="n">
        <v>9.3</v>
      </c>
      <c r="D42" s="11" t="n">
        <v>6.7</v>
      </c>
      <c r="E42" s="13" t="n">
        <f aca="false">IF(AND(ISNUMBER(B42),ISNUMBER(C42),ISNUMBER(D42),C42&gt;0,D42&gt;0),1,0)</f>
        <v>1</v>
      </c>
      <c r="F42" s="13" t="n">
        <f aca="false">IF(E42=1,D42/C42,0)</f>
        <v>0.720430107526882</v>
      </c>
      <c r="G42" s="13" t="n">
        <f aca="false">IF(E42=1,LN(F42),0)</f>
        <v>-0.32790687376229</v>
      </c>
      <c r="H42" s="13" t="n">
        <f aca="false">IF(E42=1,B42*G42,0)</f>
        <v>-2.62325499009832</v>
      </c>
      <c r="I42" s="13" t="n">
        <f aca="false">IF(E42=1,B42^2,0)</f>
        <v>64</v>
      </c>
      <c r="J42" s="13" t="n">
        <f aca="false">IF(E42=1,G42^2,0)</f>
        <v>0.107522917860558</v>
      </c>
    </row>
    <row r="43" customFormat="false" ht="15" hidden="false" customHeight="false" outlineLevel="0" collapsed="false">
      <c r="A43" s="11" t="s">
        <v>23</v>
      </c>
      <c r="B43" s="11" t="n">
        <v>8</v>
      </c>
      <c r="C43" s="11" t="n">
        <v>9.6</v>
      </c>
      <c r="D43" s="11" t="n">
        <v>6.8</v>
      </c>
      <c r="E43" s="13" t="n">
        <f aca="false">IF(AND(ISNUMBER(B43),ISNUMBER(C43),ISNUMBER(D43),C43&gt;0,D43&gt;0),1,0)</f>
        <v>1</v>
      </c>
      <c r="F43" s="13" t="n">
        <f aca="false">IF(E43=1,D43/C43,0)</f>
        <v>0.708333333333333</v>
      </c>
      <c r="G43" s="13" t="n">
        <f aca="false">IF(E43=1,LN(F43),0)</f>
        <v>-0.34484048629173</v>
      </c>
      <c r="H43" s="13" t="n">
        <f aca="false">IF(E43=1,B43*G43,0)</f>
        <v>-2.75872389033384</v>
      </c>
      <c r="I43" s="13" t="n">
        <f aca="false">IF(E43=1,B43^2,0)</f>
        <v>64</v>
      </c>
      <c r="J43" s="13" t="n">
        <f aca="false">IF(E43=1,G43^2,0)</f>
        <v>0.118914960985916</v>
      </c>
    </row>
    <row r="44" customFormat="false" ht="15" hidden="false" customHeight="false" outlineLevel="0" collapsed="false">
      <c r="A44" s="11"/>
      <c r="B44" s="11"/>
      <c r="C44" s="11"/>
      <c r="D44" s="11"/>
      <c r="E44" s="13" t="n">
        <f aca="false">IF(AND(ISNUMBER(B44),ISNUMBER(C44),ISNUMBER(D44),C44&gt;0,D44&gt;0),1,0)</f>
        <v>0</v>
      </c>
      <c r="F44" s="13" t="n">
        <f aca="false">IF(E44=1,D44/C44,0)</f>
        <v>0</v>
      </c>
      <c r="G44" s="13" t="n">
        <f aca="false">IF(E44=1,LN(F44),0)</f>
        <v>0</v>
      </c>
      <c r="H44" s="13" t="n">
        <f aca="false">IF(E44=1,B44*G44,0)</f>
        <v>0</v>
      </c>
      <c r="I44" s="13" t="n">
        <f aca="false">IF(E44=1,B44^2,0)</f>
        <v>0</v>
      </c>
      <c r="J44" s="13" t="n">
        <f aca="false">IF(E44=1,G44^2,0)</f>
        <v>0</v>
      </c>
    </row>
    <row r="45" customFormat="false" ht="15" hidden="false" customHeight="false" outlineLevel="0" collapsed="false">
      <c r="A45" s="11"/>
      <c r="B45" s="11"/>
      <c r="C45" s="11"/>
      <c r="D45" s="11"/>
      <c r="E45" s="13" t="n">
        <f aca="false">IF(AND(ISNUMBER(B45),ISNUMBER(C45),ISNUMBER(D45),C45&gt;0,D45&gt;0),1,0)</f>
        <v>0</v>
      </c>
      <c r="F45" s="13" t="n">
        <f aca="false">IF(E45=1,D45/C45,0)</f>
        <v>0</v>
      </c>
      <c r="G45" s="13" t="n">
        <f aca="false">IF(E45=1,LN(F45),0)</f>
        <v>0</v>
      </c>
      <c r="H45" s="13" t="n">
        <f aca="false">IF(E45=1,B45*G45,0)</f>
        <v>0</v>
      </c>
      <c r="I45" s="13" t="n">
        <f aca="false">IF(E45=1,B45^2,0)</f>
        <v>0</v>
      </c>
      <c r="J45" s="13" t="n">
        <f aca="false">IF(E45=1,G45^2,0)</f>
        <v>0</v>
      </c>
    </row>
    <row r="46" customFormat="false" ht="15" hidden="false" customHeight="false" outlineLevel="0" collapsed="false">
      <c r="A46" s="11"/>
      <c r="B46" s="11"/>
      <c r="C46" s="11"/>
      <c r="D46" s="11"/>
      <c r="E46" s="13" t="n">
        <f aca="false">IF(AND(ISNUMBER(B46),ISNUMBER(C46),ISNUMBER(D46),C46&gt;0,D46&gt;0),1,0)</f>
        <v>0</v>
      </c>
      <c r="F46" s="13" t="n">
        <f aca="false">IF(E46=1,D46/C46,0)</f>
        <v>0</v>
      </c>
      <c r="G46" s="13" t="n">
        <f aca="false">IF(E46=1,LN(F46),0)</f>
        <v>0</v>
      </c>
      <c r="H46" s="13" t="n">
        <f aca="false">IF(E46=1,B46*G46,0)</f>
        <v>0</v>
      </c>
      <c r="I46" s="13" t="n">
        <f aca="false">IF(E46=1,B46^2,0)</f>
        <v>0</v>
      </c>
      <c r="J46" s="13" t="n">
        <f aca="false">IF(E46=1,G46^2,0)</f>
        <v>0</v>
      </c>
    </row>
    <row r="47" customFormat="false" ht="15" hidden="false" customHeight="false" outlineLevel="0" collapsed="false">
      <c r="A47" s="11"/>
      <c r="B47" s="11"/>
      <c r="C47" s="11"/>
      <c r="D47" s="11"/>
      <c r="E47" s="13" t="n">
        <f aca="false">IF(AND(ISNUMBER(B47),ISNUMBER(C47),ISNUMBER(D47),C47&gt;0,D47&gt;0),1,0)</f>
        <v>0</v>
      </c>
      <c r="F47" s="13" t="n">
        <f aca="false">IF(E47=1,D47/C47,0)</f>
        <v>0</v>
      </c>
      <c r="G47" s="13" t="n">
        <f aca="false">IF(E47=1,LN(F47),0)</f>
        <v>0</v>
      </c>
      <c r="H47" s="13" t="n">
        <f aca="false">IF(E47=1,B47*G47,0)</f>
        <v>0</v>
      </c>
      <c r="I47" s="13" t="n">
        <f aca="false">IF(E47=1,B47^2,0)</f>
        <v>0</v>
      </c>
      <c r="J47" s="13" t="n">
        <f aca="false">IF(E47=1,G47^2,0)</f>
        <v>0</v>
      </c>
    </row>
    <row r="48" customFormat="false" ht="15" hidden="false" customHeight="false" outlineLevel="0" collapsed="false">
      <c r="A48" s="11"/>
      <c r="B48" s="11"/>
      <c r="C48" s="11"/>
      <c r="D48" s="11"/>
      <c r="E48" s="13" t="n">
        <f aca="false">IF(AND(ISNUMBER(B48),ISNUMBER(C48),ISNUMBER(D48),C48&gt;0,D48&gt;0),1,0)</f>
        <v>0</v>
      </c>
      <c r="F48" s="13" t="n">
        <f aca="false">IF(E48=1,D48/C48,0)</f>
        <v>0</v>
      </c>
      <c r="G48" s="13" t="n">
        <f aca="false">IF(E48=1,LN(F48),0)</f>
        <v>0</v>
      </c>
      <c r="H48" s="13" t="n">
        <f aca="false">IF(E48=1,B48*G48,0)</f>
        <v>0</v>
      </c>
      <c r="I48" s="13" t="n">
        <f aca="false">IF(E48=1,B48^2,0)</f>
        <v>0</v>
      </c>
      <c r="J48" s="13" t="n">
        <f aca="false">IF(E48=1,G48^2,0)</f>
        <v>0</v>
      </c>
    </row>
    <row r="49" customFormat="false" ht="15" hidden="false" customHeight="false" outlineLevel="0" collapsed="false">
      <c r="A49" s="11"/>
      <c r="B49" s="11"/>
      <c r="C49" s="11"/>
      <c r="D49" s="11"/>
      <c r="E49" s="13" t="n">
        <f aca="false">IF(AND(ISNUMBER(B49),ISNUMBER(C49),ISNUMBER(D49),C49&gt;0,D49&gt;0),1,0)</f>
        <v>0</v>
      </c>
      <c r="F49" s="13" t="n">
        <f aca="false">IF(E49=1,D49/C49,0)</f>
        <v>0</v>
      </c>
      <c r="G49" s="13" t="n">
        <f aca="false">IF(E49=1,LN(F49),0)</f>
        <v>0</v>
      </c>
      <c r="H49" s="13" t="n">
        <f aca="false">IF(E49=1,B49*G49,0)</f>
        <v>0</v>
      </c>
      <c r="I49" s="13" t="n">
        <f aca="false">IF(E49=1,B49^2,0)</f>
        <v>0</v>
      </c>
      <c r="J49" s="13" t="n">
        <f aca="false">IF(E49=1,G49^2,0)</f>
        <v>0</v>
      </c>
    </row>
    <row r="50" customFormat="false" ht="15" hidden="false" customHeight="false" outlineLevel="0" collapsed="false">
      <c r="A50" s="11"/>
      <c r="B50" s="11"/>
      <c r="C50" s="11"/>
      <c r="D50" s="11"/>
      <c r="E50" s="13" t="n">
        <f aca="false">IF(AND(ISNUMBER(B50),ISNUMBER(C50),ISNUMBER(D50),C50&gt;0,D50&gt;0),1,0)</f>
        <v>0</v>
      </c>
      <c r="F50" s="13" t="n">
        <f aca="false">IF(E50=1,D50/C50,0)</f>
        <v>0</v>
      </c>
      <c r="G50" s="13" t="n">
        <f aca="false">IF(E50=1,LN(F50),0)</f>
        <v>0</v>
      </c>
      <c r="H50" s="13" t="n">
        <f aca="false">IF(E50=1,B50*G50,0)</f>
        <v>0</v>
      </c>
      <c r="I50" s="13" t="n">
        <f aca="false">IF(E50=1,B50^2,0)</f>
        <v>0</v>
      </c>
      <c r="J50" s="13" t="n">
        <f aca="false">IF(E50=1,G50^2,0)</f>
        <v>0</v>
      </c>
    </row>
    <row r="51" customFormat="false" ht="15" hidden="false" customHeight="false" outlineLevel="0" collapsed="false">
      <c r="A51" s="11"/>
      <c r="B51" s="11"/>
      <c r="C51" s="11"/>
      <c r="D51" s="11"/>
      <c r="E51" s="13" t="n">
        <f aca="false">IF(AND(ISNUMBER(B51),ISNUMBER(C51),ISNUMBER(D51),C51&gt;0,D51&gt;0),1,0)</f>
        <v>0</v>
      </c>
      <c r="F51" s="13" t="n">
        <f aca="false">IF(E51=1,D51/C51,0)</f>
        <v>0</v>
      </c>
      <c r="G51" s="13" t="n">
        <f aca="false">IF(E51=1,LN(F51),0)</f>
        <v>0</v>
      </c>
      <c r="H51" s="13" t="n">
        <f aca="false">IF(E51=1,B51*G51,0)</f>
        <v>0</v>
      </c>
      <c r="I51" s="13" t="n">
        <f aca="false">IF(E51=1,B51^2,0)</f>
        <v>0</v>
      </c>
      <c r="J51" s="13" t="n">
        <f aca="false">IF(E51=1,G51^2,0)</f>
        <v>0</v>
      </c>
    </row>
    <row r="52" customFormat="false" ht="15" hidden="false" customHeight="false" outlineLevel="0" collapsed="false">
      <c r="A52" s="11"/>
      <c r="B52" s="11"/>
      <c r="C52" s="11"/>
      <c r="D52" s="11"/>
      <c r="E52" s="13" t="n">
        <f aca="false">IF(AND(ISNUMBER(B52),ISNUMBER(C52),ISNUMBER(D52),C52&gt;0,D52&gt;0),1,0)</f>
        <v>0</v>
      </c>
      <c r="F52" s="13" t="n">
        <f aca="false">IF(E52=1,D52/C52,0)</f>
        <v>0</v>
      </c>
      <c r="G52" s="13" t="n">
        <f aca="false">IF(E52=1,LN(F52),0)</f>
        <v>0</v>
      </c>
      <c r="H52" s="13" t="n">
        <f aca="false">IF(E52=1,B52*G52,0)</f>
        <v>0</v>
      </c>
      <c r="I52" s="13" t="n">
        <f aca="false">IF(E52=1,B52^2,0)</f>
        <v>0</v>
      </c>
      <c r="J52" s="13" t="n">
        <f aca="false">IF(E52=1,G52^2,0)</f>
        <v>0</v>
      </c>
    </row>
    <row r="53" customFormat="false" ht="15" hidden="false" customHeight="false" outlineLevel="0" collapsed="false">
      <c r="A53" s="11"/>
      <c r="B53" s="11"/>
      <c r="C53" s="11"/>
      <c r="D53" s="11"/>
      <c r="E53" s="13" t="n">
        <f aca="false">IF(AND(ISNUMBER(B53),ISNUMBER(C53),ISNUMBER(D53),C53&gt;0,D53&gt;0),1,0)</f>
        <v>0</v>
      </c>
      <c r="F53" s="13" t="n">
        <f aca="false">IF(E53=1,D53/C53,0)</f>
        <v>0</v>
      </c>
      <c r="G53" s="13" t="n">
        <f aca="false">IF(E53=1,LN(F53),0)</f>
        <v>0</v>
      </c>
      <c r="H53" s="13" t="n">
        <f aca="false">IF(E53=1,B53*G53,0)</f>
        <v>0</v>
      </c>
      <c r="I53" s="13" t="n">
        <f aca="false">IF(E53=1,B53^2,0)</f>
        <v>0</v>
      </c>
      <c r="J53" s="13" t="n">
        <f aca="false">IF(E53=1,G53^2,0)</f>
        <v>0</v>
      </c>
    </row>
    <row r="54" customFormat="false" ht="15" hidden="false" customHeight="false" outlineLevel="0" collapsed="false">
      <c r="A54" s="11"/>
      <c r="B54" s="11"/>
      <c r="C54" s="11"/>
      <c r="D54" s="11"/>
      <c r="E54" s="13" t="n">
        <f aca="false">IF(AND(ISNUMBER(B54),ISNUMBER(C54),ISNUMBER(D54),C54&gt;0,D54&gt;0),1,0)</f>
        <v>0</v>
      </c>
      <c r="F54" s="13" t="n">
        <f aca="false">IF(E54=1,D54/C54,0)</f>
        <v>0</v>
      </c>
      <c r="G54" s="13" t="n">
        <f aca="false">IF(E54=1,LN(F54),0)</f>
        <v>0</v>
      </c>
      <c r="H54" s="13" t="n">
        <f aca="false">IF(E54=1,B54*G54,0)</f>
        <v>0</v>
      </c>
      <c r="I54" s="13" t="n">
        <f aca="false">IF(E54=1,B54^2,0)</f>
        <v>0</v>
      </c>
      <c r="J54" s="13" t="n">
        <f aca="false">IF(E54=1,G54^2,0)</f>
        <v>0</v>
      </c>
    </row>
    <row r="55" customFormat="false" ht="15" hidden="false" customHeight="false" outlineLevel="0" collapsed="false">
      <c r="A55" s="11"/>
      <c r="B55" s="11"/>
      <c r="C55" s="11"/>
      <c r="D55" s="11"/>
      <c r="E55" s="13" t="n">
        <f aca="false">IF(AND(ISNUMBER(B55),ISNUMBER(C55),ISNUMBER(D55),C55&gt;0,D55&gt;0),1,0)</f>
        <v>0</v>
      </c>
      <c r="F55" s="13" t="n">
        <f aca="false">IF(E55=1,D55/C55,0)</f>
        <v>0</v>
      </c>
      <c r="G55" s="13" t="n">
        <f aca="false">IF(E55=1,LN(F55),0)</f>
        <v>0</v>
      </c>
      <c r="H55" s="13" t="n">
        <f aca="false">IF(E55=1,B55*G55,0)</f>
        <v>0</v>
      </c>
      <c r="I55" s="13" t="n">
        <f aca="false">IF(E55=1,B55^2,0)</f>
        <v>0</v>
      </c>
      <c r="J55" s="13" t="n">
        <f aca="false">IF(E55=1,G55^2,0)</f>
        <v>0</v>
      </c>
    </row>
    <row r="56" customFormat="false" ht="15" hidden="false" customHeight="false" outlineLevel="0" collapsed="false">
      <c r="A56" s="11"/>
      <c r="B56" s="11"/>
      <c r="C56" s="11"/>
      <c r="D56" s="11"/>
      <c r="E56" s="13" t="n">
        <f aca="false">IF(AND(ISNUMBER(B56),ISNUMBER(C56),ISNUMBER(D56),C56&gt;0,D56&gt;0),1,0)</f>
        <v>0</v>
      </c>
      <c r="F56" s="13" t="n">
        <f aca="false">IF(E56=1,D56/C56,0)</f>
        <v>0</v>
      </c>
      <c r="G56" s="13" t="n">
        <f aca="false">IF(E56=1,LN(F56),0)</f>
        <v>0</v>
      </c>
      <c r="H56" s="13" t="n">
        <f aca="false">IF(E56=1,B56*G56,0)</f>
        <v>0</v>
      </c>
      <c r="I56" s="13" t="n">
        <f aca="false">IF(E56=1,B56^2,0)</f>
        <v>0</v>
      </c>
      <c r="J56" s="13" t="n">
        <f aca="false">IF(E56=1,G56^2,0)</f>
        <v>0</v>
      </c>
    </row>
    <row r="57" customFormat="false" ht="15" hidden="false" customHeight="false" outlineLevel="0" collapsed="false">
      <c r="A57" s="11"/>
      <c r="B57" s="11"/>
      <c r="C57" s="11"/>
      <c r="D57" s="11"/>
      <c r="E57" s="13" t="n">
        <f aca="false">IF(AND(ISNUMBER(B57),ISNUMBER(C57),ISNUMBER(D57),C57&gt;0,D57&gt;0),1,0)</f>
        <v>0</v>
      </c>
      <c r="F57" s="13" t="n">
        <f aca="false">IF(E57=1,D57/C57,0)</f>
        <v>0</v>
      </c>
      <c r="G57" s="13" t="n">
        <f aca="false">IF(E57=1,LN(F57),0)</f>
        <v>0</v>
      </c>
      <c r="H57" s="13" t="n">
        <f aca="false">IF(E57=1,B57*G57,0)</f>
        <v>0</v>
      </c>
      <c r="I57" s="13" t="n">
        <f aca="false">IF(E57=1,B57^2,0)</f>
        <v>0</v>
      </c>
      <c r="J57" s="13" t="n">
        <f aca="false">IF(E57=1,G57^2,0)</f>
        <v>0</v>
      </c>
    </row>
    <row r="58" customFormat="false" ht="15" hidden="false" customHeight="false" outlineLevel="0" collapsed="false">
      <c r="A58" s="11"/>
      <c r="B58" s="11"/>
      <c r="C58" s="11"/>
      <c r="D58" s="11"/>
      <c r="E58" s="13" t="n">
        <f aca="false">IF(AND(ISNUMBER(B58),ISNUMBER(C58),ISNUMBER(D58),C58&gt;0,D58&gt;0),1,0)</f>
        <v>0</v>
      </c>
      <c r="F58" s="13" t="n">
        <f aca="false">IF(E58=1,D58/C58,0)</f>
        <v>0</v>
      </c>
      <c r="G58" s="13" t="n">
        <f aca="false">IF(E58=1,LN(F58),0)</f>
        <v>0</v>
      </c>
      <c r="H58" s="13" t="n">
        <f aca="false">IF(E58=1,B58*G58,0)</f>
        <v>0</v>
      </c>
      <c r="I58" s="13" t="n">
        <f aca="false">IF(E58=1,B58^2,0)</f>
        <v>0</v>
      </c>
      <c r="J58" s="13" t="n">
        <f aca="false">IF(E58=1,G58^2,0)</f>
        <v>0</v>
      </c>
    </row>
    <row r="59" customFormat="false" ht="15" hidden="false" customHeight="false" outlineLevel="0" collapsed="false">
      <c r="A59" s="11"/>
      <c r="B59" s="11"/>
      <c r="C59" s="11"/>
      <c r="D59" s="11"/>
      <c r="E59" s="13" t="n">
        <f aca="false">IF(AND(ISNUMBER(B59),ISNUMBER(C59),ISNUMBER(D59),C59&gt;0,D59&gt;0),1,0)</f>
        <v>0</v>
      </c>
      <c r="F59" s="13" t="n">
        <f aca="false">IF(E59=1,D59/C59,0)</f>
        <v>0</v>
      </c>
      <c r="G59" s="13" t="n">
        <f aca="false">IF(E59=1,LN(F59),0)</f>
        <v>0</v>
      </c>
      <c r="H59" s="13" t="n">
        <f aca="false">IF(E59=1,B59*G59,0)</f>
        <v>0</v>
      </c>
      <c r="I59" s="13" t="n">
        <f aca="false">IF(E59=1,B59^2,0)</f>
        <v>0</v>
      </c>
      <c r="J59" s="13" t="n">
        <f aca="false">IF(E59=1,G59^2,0)</f>
        <v>0</v>
      </c>
    </row>
    <row r="60" customFormat="false" ht="15" hidden="false" customHeight="false" outlineLevel="0" collapsed="false">
      <c r="A60" s="11"/>
      <c r="B60" s="11"/>
      <c r="C60" s="11"/>
      <c r="D60" s="11"/>
      <c r="E60" s="13" t="n">
        <f aca="false">IF(AND(ISNUMBER(B60),ISNUMBER(C60),ISNUMBER(D60),C60&gt;0,D60&gt;0),1,0)</f>
        <v>0</v>
      </c>
      <c r="F60" s="13" t="n">
        <f aca="false">IF(E60=1,D60/C60,0)</f>
        <v>0</v>
      </c>
      <c r="G60" s="13" t="n">
        <f aca="false">IF(E60=1,LN(F60),0)</f>
        <v>0</v>
      </c>
      <c r="H60" s="13" t="n">
        <f aca="false">IF(E60=1,B60*G60,0)</f>
        <v>0</v>
      </c>
      <c r="I60" s="13" t="n">
        <f aca="false">IF(E60=1,B60^2,0)</f>
        <v>0</v>
      </c>
      <c r="J60" s="13" t="n">
        <f aca="false">IF(E60=1,G60^2,0)</f>
        <v>0</v>
      </c>
    </row>
    <row r="61" customFormat="false" ht="15" hidden="false" customHeight="false" outlineLevel="0" collapsed="false">
      <c r="A61" s="11"/>
      <c r="B61" s="11"/>
      <c r="C61" s="11"/>
      <c r="D61" s="11"/>
      <c r="E61" s="13" t="n">
        <f aca="false">IF(AND(ISNUMBER(B61),ISNUMBER(C61),ISNUMBER(D61),C61&gt;0,D61&gt;0),1,0)</f>
        <v>0</v>
      </c>
      <c r="F61" s="13" t="n">
        <f aca="false">IF(E61=1,D61/C61,0)</f>
        <v>0</v>
      </c>
      <c r="G61" s="13" t="n">
        <f aca="false">IF(E61=1,LN(F61),0)</f>
        <v>0</v>
      </c>
      <c r="H61" s="13" t="n">
        <f aca="false">IF(E61=1,B61*G61,0)</f>
        <v>0</v>
      </c>
      <c r="I61" s="13" t="n">
        <f aca="false">IF(E61=1,B61^2,0)</f>
        <v>0</v>
      </c>
      <c r="J61" s="13" t="n">
        <f aca="false">IF(E61=1,G61^2,0)</f>
        <v>0</v>
      </c>
    </row>
    <row r="62" customFormat="false" ht="15" hidden="false" customHeight="false" outlineLevel="0" collapsed="false">
      <c r="A62" s="11"/>
      <c r="B62" s="11"/>
      <c r="C62" s="11"/>
      <c r="D62" s="11"/>
      <c r="E62" s="13" t="n">
        <f aca="false">IF(AND(ISNUMBER(B62),ISNUMBER(C62),ISNUMBER(D62),C62&gt;0,D62&gt;0),1,0)</f>
        <v>0</v>
      </c>
      <c r="F62" s="13" t="n">
        <f aca="false">IF(E62=1,D62/C62,0)</f>
        <v>0</v>
      </c>
      <c r="G62" s="13" t="n">
        <f aca="false">IF(E62=1,LN(F62),0)</f>
        <v>0</v>
      </c>
      <c r="H62" s="13" t="n">
        <f aca="false">IF(E62=1,B62*G62,0)</f>
        <v>0</v>
      </c>
      <c r="I62" s="13" t="n">
        <f aca="false">IF(E62=1,B62^2,0)</f>
        <v>0</v>
      </c>
      <c r="J62" s="13" t="n">
        <f aca="false">IF(E62=1,G62^2,0)</f>
        <v>0</v>
      </c>
    </row>
    <row r="63" customFormat="false" ht="15" hidden="false" customHeight="false" outlineLevel="0" collapsed="false">
      <c r="A63" s="11"/>
      <c r="B63" s="11"/>
      <c r="C63" s="11"/>
      <c r="D63" s="11"/>
      <c r="E63" s="13" t="n">
        <f aca="false">IF(AND(ISNUMBER(B63),ISNUMBER(C63),ISNUMBER(D63),C63&gt;0,D63&gt;0),1,0)</f>
        <v>0</v>
      </c>
      <c r="F63" s="13" t="n">
        <f aca="false">IF(E63=1,D63/C63,0)</f>
        <v>0</v>
      </c>
      <c r="G63" s="13" t="n">
        <f aca="false">IF(E63=1,LN(F63),0)</f>
        <v>0</v>
      </c>
      <c r="H63" s="13" t="n">
        <f aca="false">IF(E63=1,B63*G63,0)</f>
        <v>0</v>
      </c>
      <c r="I63" s="13" t="n">
        <f aca="false">IF(E63=1,B63^2,0)</f>
        <v>0</v>
      </c>
      <c r="J63" s="13" t="n">
        <f aca="false">IF(E63=1,G63^2,0)</f>
        <v>0</v>
      </c>
    </row>
    <row r="64" customFormat="false" ht="15" hidden="false" customHeight="false" outlineLevel="0" collapsed="false">
      <c r="A64" s="11"/>
      <c r="B64" s="11"/>
      <c r="C64" s="11"/>
      <c r="D64" s="11"/>
      <c r="E64" s="13" t="n">
        <f aca="false">IF(AND(ISNUMBER(B64),ISNUMBER(C64),ISNUMBER(D64),C64&gt;0,D64&gt;0),1,0)</f>
        <v>0</v>
      </c>
      <c r="F64" s="13" t="n">
        <f aca="false">IF(E64=1,D64/C64,0)</f>
        <v>0</v>
      </c>
      <c r="G64" s="13" t="n">
        <f aca="false">IF(E64=1,LN(F64),0)</f>
        <v>0</v>
      </c>
      <c r="H64" s="13" t="n">
        <f aca="false">IF(E64=1,B64*G64,0)</f>
        <v>0</v>
      </c>
      <c r="I64" s="13" t="n">
        <f aca="false">IF(E64=1,B64^2,0)</f>
        <v>0</v>
      </c>
      <c r="J64" s="13" t="n">
        <f aca="false">IF(E64=1,G64^2,0)</f>
        <v>0</v>
      </c>
    </row>
    <row r="65" customFormat="false" ht="15" hidden="false" customHeight="false" outlineLevel="0" collapsed="false">
      <c r="A65" s="11"/>
      <c r="B65" s="11"/>
      <c r="C65" s="11"/>
      <c r="D65" s="11"/>
      <c r="E65" s="13" t="n">
        <f aca="false">IF(AND(ISNUMBER(B65),ISNUMBER(C65),ISNUMBER(D65),C65&gt;0,D65&gt;0),1,0)</f>
        <v>0</v>
      </c>
      <c r="F65" s="13" t="n">
        <f aca="false">IF(E65=1,D65/C65,0)</f>
        <v>0</v>
      </c>
      <c r="G65" s="13" t="n">
        <f aca="false">IF(E65=1,LN(F65),0)</f>
        <v>0</v>
      </c>
      <c r="H65" s="13" t="n">
        <f aca="false">IF(E65=1,B65*G65,0)</f>
        <v>0</v>
      </c>
      <c r="I65" s="13" t="n">
        <f aca="false">IF(E65=1,B65^2,0)</f>
        <v>0</v>
      </c>
      <c r="J65" s="13" t="n">
        <f aca="false">IF(E65=1,G65^2,0)</f>
        <v>0</v>
      </c>
    </row>
    <row r="66" customFormat="false" ht="15" hidden="false" customHeight="false" outlineLevel="0" collapsed="false">
      <c r="A66" s="11"/>
      <c r="B66" s="11"/>
      <c r="C66" s="11"/>
      <c r="D66" s="11"/>
      <c r="E66" s="13" t="n">
        <f aca="false">IF(AND(ISNUMBER(B66),ISNUMBER(C66),ISNUMBER(D66),C66&gt;0,D66&gt;0),1,0)</f>
        <v>0</v>
      </c>
      <c r="F66" s="13" t="n">
        <f aca="false">IF(E66=1,D66/C66,0)</f>
        <v>0</v>
      </c>
      <c r="G66" s="13" t="n">
        <f aca="false">IF(E66=1,LN(F66),0)</f>
        <v>0</v>
      </c>
      <c r="H66" s="13" t="n">
        <f aca="false">IF(E66=1,B66*G66,0)</f>
        <v>0</v>
      </c>
      <c r="I66" s="13" t="n">
        <f aca="false">IF(E66=1,B66^2,0)</f>
        <v>0</v>
      </c>
      <c r="J66" s="13" t="n">
        <f aca="false">IF(E66=1,G66^2,0)</f>
        <v>0</v>
      </c>
    </row>
    <row r="67" customFormat="false" ht="15" hidden="false" customHeight="false" outlineLevel="0" collapsed="false">
      <c r="A67" s="11"/>
      <c r="B67" s="11"/>
      <c r="C67" s="11"/>
      <c r="D67" s="11"/>
      <c r="E67" s="13" t="n">
        <f aca="false">IF(AND(ISNUMBER(B67),ISNUMBER(C67),ISNUMBER(D67),C67&gt;0,D67&gt;0),1,0)</f>
        <v>0</v>
      </c>
      <c r="F67" s="13" t="n">
        <f aca="false">IF(E67=1,D67/C67,0)</f>
        <v>0</v>
      </c>
      <c r="G67" s="13" t="n">
        <f aca="false">IF(E67=1,LN(F67),0)</f>
        <v>0</v>
      </c>
      <c r="H67" s="13" t="n">
        <f aca="false">IF(E67=1,B67*G67,0)</f>
        <v>0</v>
      </c>
      <c r="I67" s="13" t="n">
        <f aca="false">IF(E67=1,B67^2,0)</f>
        <v>0</v>
      </c>
      <c r="J67" s="13" t="n">
        <f aca="false">IF(E67=1,G67^2,0)</f>
        <v>0</v>
      </c>
    </row>
    <row r="68" customFormat="false" ht="15" hidden="false" customHeight="false" outlineLevel="0" collapsed="false">
      <c r="A68" s="11"/>
      <c r="B68" s="11"/>
      <c r="C68" s="11"/>
      <c r="D68" s="11"/>
      <c r="E68" s="13" t="n">
        <f aca="false">IF(AND(ISNUMBER(B68),ISNUMBER(C68),ISNUMBER(D68),C68&gt;0,D68&gt;0),1,0)</f>
        <v>0</v>
      </c>
      <c r="F68" s="13" t="n">
        <f aca="false">IF(E68=1,D68/C68,0)</f>
        <v>0</v>
      </c>
      <c r="G68" s="13" t="n">
        <f aca="false">IF(E68=1,LN(F68),0)</f>
        <v>0</v>
      </c>
      <c r="H68" s="13" t="n">
        <f aca="false">IF(E68=1,B68*G68,0)</f>
        <v>0</v>
      </c>
      <c r="I68" s="13" t="n">
        <f aca="false">IF(E68=1,B68^2,0)</f>
        <v>0</v>
      </c>
      <c r="J68" s="13" t="n">
        <f aca="false">IF(E68=1,G68^2,0)</f>
        <v>0</v>
      </c>
    </row>
    <row r="69" customFormat="false" ht="15" hidden="false" customHeight="false" outlineLevel="0" collapsed="false">
      <c r="A69" s="11"/>
      <c r="B69" s="11"/>
      <c r="C69" s="11"/>
      <c r="D69" s="11"/>
      <c r="E69" s="13" t="n">
        <f aca="false">IF(AND(ISNUMBER(B69),ISNUMBER(C69),ISNUMBER(D69),C69&gt;0,D69&gt;0),1,0)</f>
        <v>0</v>
      </c>
      <c r="F69" s="13" t="n">
        <f aca="false">IF(E69=1,D69/C69,0)</f>
        <v>0</v>
      </c>
      <c r="G69" s="13" t="n">
        <f aca="false">IF(E69=1,LN(F69),0)</f>
        <v>0</v>
      </c>
      <c r="H69" s="13" t="n">
        <f aca="false">IF(E69=1,B69*G69,0)</f>
        <v>0</v>
      </c>
      <c r="I69" s="13" t="n">
        <f aca="false">IF(E69=1,B69^2,0)</f>
        <v>0</v>
      </c>
      <c r="J69" s="13" t="n">
        <f aca="false">IF(E69=1,G69^2,0)</f>
        <v>0</v>
      </c>
    </row>
    <row r="70" customFormat="false" ht="15" hidden="false" customHeight="false" outlineLevel="0" collapsed="false">
      <c r="A70" s="11"/>
      <c r="B70" s="11"/>
      <c r="C70" s="11"/>
      <c r="D70" s="11"/>
      <c r="E70" s="13" t="n">
        <f aca="false">IF(AND(ISNUMBER(B70),ISNUMBER(C70),ISNUMBER(D70),C70&gt;0,D70&gt;0),1,0)</f>
        <v>0</v>
      </c>
      <c r="F70" s="13" t="n">
        <f aca="false">IF(E70=1,D70/C70,0)</f>
        <v>0</v>
      </c>
      <c r="G70" s="13" t="n">
        <f aca="false">IF(E70=1,LN(F70),0)</f>
        <v>0</v>
      </c>
      <c r="H70" s="13" t="n">
        <f aca="false">IF(E70=1,B70*G70,0)</f>
        <v>0</v>
      </c>
      <c r="I70" s="13" t="n">
        <f aca="false">IF(E70=1,B70^2,0)</f>
        <v>0</v>
      </c>
      <c r="J70" s="13" t="n">
        <f aca="false">IF(E70=1,G70^2,0)</f>
        <v>0</v>
      </c>
    </row>
    <row r="71" customFormat="false" ht="15" hidden="false" customHeight="false" outlineLevel="0" collapsed="false">
      <c r="A71" s="11"/>
      <c r="B71" s="11"/>
      <c r="C71" s="11"/>
      <c r="D71" s="11"/>
      <c r="E71" s="13" t="n">
        <f aca="false">IF(AND(ISNUMBER(B71),ISNUMBER(C71),ISNUMBER(D71),C71&gt;0,D71&gt;0),1,0)</f>
        <v>0</v>
      </c>
      <c r="F71" s="13" t="n">
        <f aca="false">IF(E71=1,D71/C71,0)</f>
        <v>0</v>
      </c>
      <c r="G71" s="13" t="n">
        <f aca="false">IF(E71=1,LN(F71),0)</f>
        <v>0</v>
      </c>
      <c r="H71" s="13" t="n">
        <f aca="false">IF(E71=1,B71*G71,0)</f>
        <v>0</v>
      </c>
      <c r="I71" s="13" t="n">
        <f aca="false">IF(E71=1,B71^2,0)</f>
        <v>0</v>
      </c>
      <c r="J71" s="13" t="n">
        <f aca="false">IF(E71=1,G71^2,0)</f>
        <v>0</v>
      </c>
    </row>
    <row r="72" customFormat="false" ht="15" hidden="false" customHeight="false" outlineLevel="0" collapsed="false">
      <c r="A72" s="11"/>
      <c r="B72" s="11"/>
      <c r="C72" s="11"/>
      <c r="D72" s="11"/>
      <c r="E72" s="13" t="n">
        <f aca="false">IF(AND(ISNUMBER(B72),ISNUMBER(C72),ISNUMBER(D72),C72&gt;0,D72&gt;0),1,0)</f>
        <v>0</v>
      </c>
      <c r="F72" s="13" t="n">
        <f aca="false">IF(E72=1,D72/C72,0)</f>
        <v>0</v>
      </c>
      <c r="G72" s="13" t="n">
        <f aca="false">IF(E72=1,LN(F72),0)</f>
        <v>0</v>
      </c>
      <c r="H72" s="13" t="n">
        <f aca="false">IF(E72=1,B72*G72,0)</f>
        <v>0</v>
      </c>
      <c r="I72" s="13" t="n">
        <f aca="false">IF(E72=1,B72^2,0)</f>
        <v>0</v>
      </c>
      <c r="J72" s="13" t="n">
        <f aca="false">IF(E72=1,G72^2,0)</f>
        <v>0</v>
      </c>
    </row>
    <row r="73" customFormat="false" ht="15" hidden="false" customHeight="false" outlineLevel="0" collapsed="false">
      <c r="A73" s="11"/>
      <c r="B73" s="11"/>
      <c r="C73" s="11"/>
      <c r="D73" s="11"/>
      <c r="E73" s="13" t="n">
        <f aca="false">IF(AND(ISNUMBER(B73),ISNUMBER(C73),ISNUMBER(D73),C73&gt;0,D73&gt;0),1,0)</f>
        <v>0</v>
      </c>
      <c r="F73" s="13" t="n">
        <f aca="false">IF(E73=1,D73/C73,0)</f>
        <v>0</v>
      </c>
      <c r="G73" s="13" t="n">
        <f aca="false">IF(E73=1,LN(F73),0)</f>
        <v>0</v>
      </c>
      <c r="H73" s="13" t="n">
        <f aca="false">IF(E73=1,B73*G73,0)</f>
        <v>0</v>
      </c>
      <c r="I73" s="13" t="n">
        <f aca="false">IF(E73=1,B73^2,0)</f>
        <v>0</v>
      </c>
      <c r="J73" s="13" t="n">
        <f aca="false">IF(E73=1,G73^2,0)</f>
        <v>0</v>
      </c>
    </row>
    <row r="74" customFormat="false" ht="15" hidden="false" customHeight="false" outlineLevel="0" collapsed="false">
      <c r="A74" s="11"/>
      <c r="B74" s="11"/>
      <c r="C74" s="11"/>
      <c r="D74" s="11"/>
      <c r="E74" s="13" t="n">
        <f aca="false">IF(AND(ISNUMBER(B74),ISNUMBER(C74),ISNUMBER(D74),C74&gt;0,D74&gt;0),1,0)</f>
        <v>0</v>
      </c>
      <c r="F74" s="13" t="n">
        <f aca="false">IF(E74=1,D74/C74,0)</f>
        <v>0</v>
      </c>
      <c r="G74" s="13" t="n">
        <f aca="false">IF(E74=1,LN(F74),0)</f>
        <v>0</v>
      </c>
      <c r="H74" s="13" t="n">
        <f aca="false">IF(E74=1,B74*G74,0)</f>
        <v>0</v>
      </c>
      <c r="I74" s="13" t="n">
        <f aca="false">IF(E74=1,B74^2,0)</f>
        <v>0</v>
      </c>
      <c r="J74" s="13" t="n">
        <f aca="false">IF(E74=1,G74^2,0)</f>
        <v>0</v>
      </c>
    </row>
    <row r="75" customFormat="false" ht="15" hidden="false" customHeight="false" outlineLevel="0" collapsed="false">
      <c r="A75" s="11"/>
      <c r="B75" s="11"/>
      <c r="C75" s="11"/>
      <c r="D75" s="11"/>
      <c r="E75" s="13" t="n">
        <f aca="false">IF(AND(ISNUMBER(B75),ISNUMBER(C75),ISNUMBER(D75),C75&gt;0,D75&gt;0),1,0)</f>
        <v>0</v>
      </c>
      <c r="F75" s="13" t="n">
        <f aca="false">IF(E75=1,D75/C75,0)</f>
        <v>0</v>
      </c>
      <c r="G75" s="13" t="n">
        <f aca="false">IF(E75=1,LN(F75),0)</f>
        <v>0</v>
      </c>
      <c r="H75" s="13" t="n">
        <f aca="false">IF(E75=1,B75*G75,0)</f>
        <v>0</v>
      </c>
      <c r="I75" s="13" t="n">
        <f aca="false">IF(E75=1,B75^2,0)</f>
        <v>0</v>
      </c>
      <c r="J75" s="13" t="n">
        <f aca="false">IF(E75=1,G75^2,0)</f>
        <v>0</v>
      </c>
    </row>
    <row r="76" customFormat="false" ht="15" hidden="false" customHeight="false" outlineLevel="0" collapsed="false">
      <c r="A76" s="11"/>
      <c r="B76" s="11"/>
      <c r="C76" s="11"/>
      <c r="D76" s="11"/>
      <c r="E76" s="13" t="n">
        <f aca="false">IF(AND(ISNUMBER(B76),ISNUMBER(C76),ISNUMBER(D76),C76&gt;0,D76&gt;0),1,0)</f>
        <v>0</v>
      </c>
      <c r="F76" s="13" t="n">
        <f aca="false">IF(E76=1,D76/C76,0)</f>
        <v>0</v>
      </c>
      <c r="G76" s="13" t="n">
        <f aca="false">IF(E76=1,LN(F76),0)</f>
        <v>0</v>
      </c>
      <c r="H76" s="13" t="n">
        <f aca="false">IF(E76=1,B76*G76,0)</f>
        <v>0</v>
      </c>
      <c r="I76" s="13" t="n">
        <f aca="false">IF(E76=1,B76^2,0)</f>
        <v>0</v>
      </c>
      <c r="J76" s="13" t="n">
        <f aca="false">IF(E76=1,G76^2,0)</f>
        <v>0</v>
      </c>
    </row>
    <row r="77" customFormat="false" ht="15" hidden="false" customHeight="false" outlineLevel="0" collapsed="false">
      <c r="A77" s="11"/>
      <c r="B77" s="11"/>
      <c r="C77" s="11"/>
      <c r="D77" s="11"/>
      <c r="E77" s="13" t="n">
        <f aca="false">IF(AND(ISNUMBER(B77),ISNUMBER(C77),ISNUMBER(D77),C77&gt;0,D77&gt;0),1,0)</f>
        <v>0</v>
      </c>
      <c r="F77" s="13" t="n">
        <f aca="false">IF(E77=1,D77/C77,0)</f>
        <v>0</v>
      </c>
      <c r="G77" s="13" t="n">
        <f aca="false">IF(E77=1,LN(F77),0)</f>
        <v>0</v>
      </c>
      <c r="H77" s="13" t="n">
        <f aca="false">IF(E77=1,B77*G77,0)</f>
        <v>0</v>
      </c>
      <c r="I77" s="13" t="n">
        <f aca="false">IF(E77=1,B77^2,0)</f>
        <v>0</v>
      </c>
      <c r="J77" s="13" t="n">
        <f aca="false">IF(E77=1,G77^2,0)</f>
        <v>0</v>
      </c>
    </row>
    <row r="78" customFormat="false" ht="15" hidden="false" customHeight="false" outlineLevel="0" collapsed="false">
      <c r="A78" s="11"/>
      <c r="B78" s="11"/>
      <c r="C78" s="11"/>
      <c r="D78" s="11"/>
      <c r="E78" s="13" t="n">
        <f aca="false">IF(AND(ISNUMBER(B78),ISNUMBER(C78),ISNUMBER(D78),C78&gt;0,D78&gt;0),1,0)</f>
        <v>0</v>
      </c>
      <c r="F78" s="13" t="n">
        <f aca="false">IF(E78=1,D78/C78,0)</f>
        <v>0</v>
      </c>
      <c r="G78" s="13" t="n">
        <f aca="false">IF(E78=1,LN(F78),0)</f>
        <v>0</v>
      </c>
      <c r="H78" s="13" t="n">
        <f aca="false">IF(E78=1,B78*G78,0)</f>
        <v>0</v>
      </c>
      <c r="I78" s="13" t="n">
        <f aca="false">IF(E78=1,B78^2,0)</f>
        <v>0</v>
      </c>
      <c r="J78" s="13" t="n">
        <f aca="false">IF(E78=1,G78^2,0)</f>
        <v>0</v>
      </c>
    </row>
    <row r="79" customFormat="false" ht="15" hidden="false" customHeight="false" outlineLevel="0" collapsed="false">
      <c r="A79" s="11"/>
      <c r="B79" s="11"/>
      <c r="C79" s="11"/>
      <c r="D79" s="11"/>
      <c r="E79" s="13" t="n">
        <f aca="false">IF(AND(ISNUMBER(B79),ISNUMBER(C79),ISNUMBER(D79),C79&gt;0,D79&gt;0),1,0)</f>
        <v>0</v>
      </c>
      <c r="F79" s="13" t="n">
        <f aca="false">IF(E79=1,D79/C79,0)</f>
        <v>0</v>
      </c>
      <c r="G79" s="13" t="n">
        <f aca="false">IF(E79=1,LN(F79),0)</f>
        <v>0</v>
      </c>
      <c r="H79" s="13" t="n">
        <f aca="false">IF(E79=1,B79*G79,0)</f>
        <v>0</v>
      </c>
      <c r="I79" s="13" t="n">
        <f aca="false">IF(E79=1,B79^2,0)</f>
        <v>0</v>
      </c>
      <c r="J79" s="13" t="n">
        <f aca="false">IF(E79=1,G79^2,0)</f>
        <v>0</v>
      </c>
    </row>
    <row r="80" customFormat="false" ht="15" hidden="false" customHeight="false" outlineLevel="0" collapsed="false">
      <c r="A80" s="11"/>
      <c r="B80" s="11"/>
      <c r="C80" s="11"/>
      <c r="D80" s="11"/>
      <c r="E80" s="13" t="n">
        <f aca="false">IF(AND(ISNUMBER(B80),ISNUMBER(C80),ISNUMBER(D80),C80&gt;0,D80&gt;0),1,0)</f>
        <v>0</v>
      </c>
      <c r="F80" s="13" t="n">
        <f aca="false">IF(E80=1,D80/C80,0)</f>
        <v>0</v>
      </c>
      <c r="G80" s="13" t="n">
        <f aca="false">IF(E80=1,LN(F80),0)</f>
        <v>0</v>
      </c>
      <c r="H80" s="13" t="n">
        <f aca="false">IF(E80=1,B80*G80,0)</f>
        <v>0</v>
      </c>
      <c r="I80" s="13" t="n">
        <f aca="false">IF(E80=1,B80^2,0)</f>
        <v>0</v>
      </c>
      <c r="J80" s="13" t="n">
        <f aca="false">IF(E80=1,G80^2,0)</f>
        <v>0</v>
      </c>
    </row>
    <row r="81" customFormat="false" ht="15" hidden="false" customHeight="false" outlineLevel="0" collapsed="false">
      <c r="A81" s="11"/>
      <c r="B81" s="11"/>
      <c r="C81" s="11"/>
      <c r="D81" s="11"/>
      <c r="E81" s="13" t="n">
        <f aca="false">IF(AND(ISNUMBER(B81),ISNUMBER(C81),ISNUMBER(D81),C81&gt;0,D81&gt;0),1,0)</f>
        <v>0</v>
      </c>
      <c r="F81" s="13" t="n">
        <f aca="false">IF(E81=1,D81/C81,0)</f>
        <v>0</v>
      </c>
      <c r="G81" s="13" t="n">
        <f aca="false">IF(E81=1,LN(F81),0)</f>
        <v>0</v>
      </c>
      <c r="H81" s="13" t="n">
        <f aca="false">IF(E81=1,B81*G81,0)</f>
        <v>0</v>
      </c>
      <c r="I81" s="13" t="n">
        <f aca="false">IF(E81=1,B81^2,0)</f>
        <v>0</v>
      </c>
      <c r="J81" s="13" t="n">
        <f aca="false">IF(E81=1,G81^2,0)</f>
        <v>0</v>
      </c>
    </row>
    <row r="82" customFormat="false" ht="15" hidden="false" customHeight="false" outlineLevel="0" collapsed="false">
      <c r="A82" s="11"/>
      <c r="B82" s="11"/>
      <c r="C82" s="11"/>
      <c r="D82" s="11"/>
      <c r="E82" s="13" t="n">
        <f aca="false">IF(AND(ISNUMBER(B82),ISNUMBER(C82),ISNUMBER(D82),C82&gt;0,D82&gt;0),1,0)</f>
        <v>0</v>
      </c>
      <c r="F82" s="13" t="n">
        <f aca="false">IF(E82=1,D82/C82,0)</f>
        <v>0</v>
      </c>
      <c r="G82" s="13" t="n">
        <f aca="false">IF(E82=1,LN(F82),0)</f>
        <v>0</v>
      </c>
      <c r="H82" s="13" t="n">
        <f aca="false">IF(E82=1,B82*G82,0)</f>
        <v>0</v>
      </c>
      <c r="I82" s="13" t="n">
        <f aca="false">IF(E82=1,B82^2,0)</f>
        <v>0</v>
      </c>
      <c r="J82" s="13" t="n">
        <f aca="false">IF(E82=1,G82^2,0)</f>
        <v>0</v>
      </c>
    </row>
    <row r="83" customFormat="false" ht="15" hidden="false" customHeight="false" outlineLevel="0" collapsed="false">
      <c r="A83" s="11"/>
      <c r="B83" s="11"/>
      <c r="C83" s="11"/>
      <c r="D83" s="11"/>
      <c r="E83" s="13" t="n">
        <f aca="false">IF(AND(ISNUMBER(B83),ISNUMBER(C83),ISNUMBER(D83),C83&gt;0,D83&gt;0),1,0)</f>
        <v>0</v>
      </c>
      <c r="F83" s="13" t="n">
        <f aca="false">IF(E83=1,D83/C83,0)</f>
        <v>0</v>
      </c>
      <c r="G83" s="13" t="n">
        <f aca="false">IF(E83=1,LN(F83),0)</f>
        <v>0</v>
      </c>
      <c r="H83" s="13" t="n">
        <f aca="false">IF(E83=1,B83*G83,0)</f>
        <v>0</v>
      </c>
      <c r="I83" s="13" t="n">
        <f aca="false">IF(E83=1,B83^2,0)</f>
        <v>0</v>
      </c>
      <c r="J83" s="13" t="n">
        <f aca="false">IF(E83=1,G83^2,0)</f>
        <v>0</v>
      </c>
    </row>
    <row r="84" customFormat="false" ht="15" hidden="false" customHeight="false" outlineLevel="0" collapsed="false">
      <c r="A84" s="11"/>
      <c r="B84" s="11"/>
      <c r="C84" s="11"/>
      <c r="D84" s="11"/>
      <c r="E84" s="13" t="n">
        <f aca="false">IF(AND(ISNUMBER(B84),ISNUMBER(C84),ISNUMBER(D84),C84&gt;0,D84&gt;0),1,0)</f>
        <v>0</v>
      </c>
      <c r="F84" s="13" t="n">
        <f aca="false">IF(E84=1,D84/C84,0)</f>
        <v>0</v>
      </c>
      <c r="G84" s="13" t="n">
        <f aca="false">IF(E84=1,LN(F84),0)</f>
        <v>0</v>
      </c>
      <c r="H84" s="13" t="n">
        <f aca="false">IF(E84=1,B84*G84,0)</f>
        <v>0</v>
      </c>
      <c r="I84" s="13" t="n">
        <f aca="false">IF(E84=1,B84^2,0)</f>
        <v>0</v>
      </c>
      <c r="J84" s="13" t="n">
        <f aca="false">IF(E84=1,G84^2,0)</f>
        <v>0</v>
      </c>
    </row>
    <row r="85" customFormat="false" ht="15" hidden="false" customHeight="false" outlineLevel="0" collapsed="false">
      <c r="A85" s="11"/>
      <c r="B85" s="11"/>
      <c r="C85" s="11"/>
      <c r="D85" s="11"/>
      <c r="E85" s="13" t="n">
        <f aca="false">IF(AND(ISNUMBER(B85),ISNUMBER(C85),ISNUMBER(D85),C85&gt;0,D85&gt;0),1,0)</f>
        <v>0</v>
      </c>
      <c r="F85" s="13" t="n">
        <f aca="false">IF(E85=1,D85/C85,0)</f>
        <v>0</v>
      </c>
      <c r="G85" s="13" t="n">
        <f aca="false">IF(E85=1,LN(F85),0)</f>
        <v>0</v>
      </c>
      <c r="H85" s="13" t="n">
        <f aca="false">IF(E85=1,B85*G85,0)</f>
        <v>0</v>
      </c>
      <c r="I85" s="13" t="n">
        <f aca="false">IF(E85=1,B85^2,0)</f>
        <v>0</v>
      </c>
      <c r="J85" s="13" t="n">
        <f aca="false">IF(E85=1,G85^2,0)</f>
        <v>0</v>
      </c>
    </row>
    <row r="86" customFormat="false" ht="15" hidden="false" customHeight="false" outlineLevel="0" collapsed="false">
      <c r="A86" s="11"/>
      <c r="B86" s="11"/>
      <c r="C86" s="11"/>
      <c r="D86" s="11"/>
      <c r="E86" s="13" t="n">
        <f aca="false">IF(AND(ISNUMBER(B86),ISNUMBER(C86),ISNUMBER(D86),C86&gt;0,D86&gt;0),1,0)</f>
        <v>0</v>
      </c>
      <c r="F86" s="13" t="n">
        <f aca="false">IF(E86=1,D86/C86,0)</f>
        <v>0</v>
      </c>
      <c r="G86" s="13" t="n">
        <f aca="false">IF(E86=1,LN(F86),0)</f>
        <v>0</v>
      </c>
      <c r="H86" s="13" t="n">
        <f aca="false">IF(E86=1,B86*G86,0)</f>
        <v>0</v>
      </c>
      <c r="I86" s="13" t="n">
        <f aca="false">IF(E86=1,B86^2,0)</f>
        <v>0</v>
      </c>
      <c r="J86" s="13" t="n">
        <f aca="false">IF(E86=1,G86^2,0)</f>
        <v>0</v>
      </c>
    </row>
    <row r="87" customFormat="false" ht="15" hidden="false" customHeight="false" outlineLevel="0" collapsed="false">
      <c r="A87" s="11"/>
      <c r="B87" s="11"/>
      <c r="C87" s="11"/>
      <c r="D87" s="11"/>
      <c r="E87" s="13" t="n">
        <f aca="false">IF(AND(ISNUMBER(B87),ISNUMBER(C87),ISNUMBER(D87),C87&gt;0,D87&gt;0),1,0)</f>
        <v>0</v>
      </c>
      <c r="F87" s="13" t="n">
        <f aca="false">IF(E87=1,D87/C87,0)</f>
        <v>0</v>
      </c>
      <c r="G87" s="13" t="n">
        <f aca="false">IF(E87=1,LN(F87),0)</f>
        <v>0</v>
      </c>
      <c r="H87" s="13" t="n">
        <f aca="false">IF(E87=1,B87*G87,0)</f>
        <v>0</v>
      </c>
      <c r="I87" s="13" t="n">
        <f aca="false">IF(E87=1,B87^2,0)</f>
        <v>0</v>
      </c>
      <c r="J87" s="13" t="n">
        <f aca="false">IF(E87=1,G87^2,0)</f>
        <v>0</v>
      </c>
    </row>
    <row r="88" customFormat="false" ht="15" hidden="false" customHeight="false" outlineLevel="0" collapsed="false">
      <c r="A88" s="11"/>
      <c r="B88" s="11"/>
      <c r="C88" s="11"/>
      <c r="D88" s="11"/>
      <c r="E88" s="13" t="n">
        <f aca="false">IF(AND(ISNUMBER(B88),ISNUMBER(C88),ISNUMBER(D88),C88&gt;0,D88&gt;0),1,0)</f>
        <v>0</v>
      </c>
      <c r="F88" s="13" t="n">
        <f aca="false">IF(E88=1,D88/C88,0)</f>
        <v>0</v>
      </c>
      <c r="G88" s="13" t="n">
        <f aca="false">IF(E88=1,LN(F88),0)</f>
        <v>0</v>
      </c>
      <c r="H88" s="13" t="n">
        <f aca="false">IF(E88=1,B88*G88,0)</f>
        <v>0</v>
      </c>
      <c r="I88" s="13" t="n">
        <f aca="false">IF(E88=1,B88^2,0)</f>
        <v>0</v>
      </c>
      <c r="J88" s="13" t="n">
        <f aca="false">IF(E88=1,G88^2,0)</f>
        <v>0</v>
      </c>
    </row>
    <row r="89" customFormat="false" ht="15" hidden="false" customHeight="false" outlineLevel="0" collapsed="false">
      <c r="A89" s="11"/>
      <c r="B89" s="11"/>
      <c r="C89" s="11"/>
      <c r="D89" s="11"/>
      <c r="E89" s="13" t="n">
        <f aca="false">IF(AND(ISNUMBER(B89),ISNUMBER(C89),ISNUMBER(D89),C89&gt;0,D89&gt;0),1,0)</f>
        <v>0</v>
      </c>
      <c r="F89" s="13" t="n">
        <f aca="false">IF(E89=1,D89/C89,0)</f>
        <v>0</v>
      </c>
      <c r="G89" s="13" t="n">
        <f aca="false">IF(E89=1,LN(F89),0)</f>
        <v>0</v>
      </c>
      <c r="H89" s="13" t="n">
        <f aca="false">IF(E89=1,B89*G89,0)</f>
        <v>0</v>
      </c>
      <c r="I89" s="13" t="n">
        <f aca="false">IF(E89=1,B89^2,0)</f>
        <v>0</v>
      </c>
      <c r="J89" s="13" t="n">
        <f aca="false">IF(E89=1,G89^2,0)</f>
        <v>0</v>
      </c>
    </row>
    <row r="90" customFormat="false" ht="15" hidden="false" customHeight="false" outlineLevel="0" collapsed="false">
      <c r="A90" s="11"/>
      <c r="B90" s="11"/>
      <c r="C90" s="11"/>
      <c r="D90" s="11"/>
      <c r="E90" s="13" t="n">
        <f aca="false">IF(AND(ISNUMBER(B90),ISNUMBER(C90),ISNUMBER(D90),C90&gt;0,D90&gt;0),1,0)</f>
        <v>0</v>
      </c>
      <c r="F90" s="13" t="n">
        <f aca="false">IF(E90=1,D90/C90,0)</f>
        <v>0</v>
      </c>
      <c r="G90" s="13" t="n">
        <f aca="false">IF(E90=1,LN(F90),0)</f>
        <v>0</v>
      </c>
      <c r="H90" s="13" t="n">
        <f aca="false">IF(E90=1,B90*G90,0)</f>
        <v>0</v>
      </c>
      <c r="I90" s="13" t="n">
        <f aca="false">IF(E90=1,B90^2,0)</f>
        <v>0</v>
      </c>
      <c r="J90" s="13" t="n">
        <f aca="false">IF(E90=1,G90^2,0)</f>
        <v>0</v>
      </c>
    </row>
    <row r="91" customFormat="false" ht="15" hidden="false" customHeight="false" outlineLevel="0" collapsed="false">
      <c r="A91" s="11"/>
      <c r="B91" s="11"/>
      <c r="C91" s="11"/>
      <c r="D91" s="11"/>
      <c r="E91" s="13" t="n">
        <f aca="false">IF(AND(ISNUMBER(B91),ISNUMBER(C91),ISNUMBER(D91),C91&gt;0,D91&gt;0),1,0)</f>
        <v>0</v>
      </c>
      <c r="F91" s="13" t="n">
        <f aca="false">IF(E91=1,D91/C91,0)</f>
        <v>0</v>
      </c>
      <c r="G91" s="13" t="n">
        <f aca="false">IF(E91=1,LN(F91),0)</f>
        <v>0</v>
      </c>
      <c r="H91" s="13" t="n">
        <f aca="false">IF(E91=1,B91*G91,0)</f>
        <v>0</v>
      </c>
      <c r="I91" s="13" t="n">
        <f aca="false">IF(E91=1,B91^2,0)</f>
        <v>0</v>
      </c>
      <c r="J91" s="13" t="n">
        <f aca="false">IF(E91=1,G91^2,0)</f>
        <v>0</v>
      </c>
    </row>
    <row r="92" customFormat="false" ht="15" hidden="false" customHeight="false" outlineLevel="0" collapsed="false">
      <c r="A92" s="11"/>
      <c r="B92" s="11"/>
      <c r="C92" s="11"/>
      <c r="D92" s="11"/>
      <c r="E92" s="13" t="n">
        <f aca="false">IF(AND(ISNUMBER(B92),ISNUMBER(C92),ISNUMBER(D92),C92&gt;0,D92&gt;0),1,0)</f>
        <v>0</v>
      </c>
      <c r="F92" s="13" t="n">
        <f aca="false">IF(E92=1,D92/C92,0)</f>
        <v>0</v>
      </c>
      <c r="G92" s="13" t="n">
        <f aca="false">IF(E92=1,LN(F92),0)</f>
        <v>0</v>
      </c>
      <c r="H92" s="13" t="n">
        <f aca="false">IF(E92=1,B92*G92,0)</f>
        <v>0</v>
      </c>
      <c r="I92" s="13" t="n">
        <f aca="false">IF(E92=1,B92^2,0)</f>
        <v>0</v>
      </c>
      <c r="J92" s="13" t="n">
        <f aca="false">IF(E92=1,G92^2,0)</f>
        <v>0</v>
      </c>
    </row>
    <row r="93" customFormat="false" ht="15" hidden="false" customHeight="false" outlineLevel="0" collapsed="false">
      <c r="A93" s="11"/>
      <c r="B93" s="11"/>
      <c r="C93" s="11"/>
      <c r="D93" s="11"/>
      <c r="E93" s="13" t="n">
        <f aca="false">IF(AND(ISNUMBER(B93),ISNUMBER(C93),ISNUMBER(D93),C93&gt;0,D93&gt;0),1,0)</f>
        <v>0</v>
      </c>
      <c r="F93" s="13" t="n">
        <f aca="false">IF(E93=1,D93/C93,0)</f>
        <v>0</v>
      </c>
      <c r="G93" s="13" t="n">
        <f aca="false">IF(E93=1,LN(F93),0)</f>
        <v>0</v>
      </c>
      <c r="H93" s="13" t="n">
        <f aca="false">IF(E93=1,B93*G93,0)</f>
        <v>0</v>
      </c>
      <c r="I93" s="13" t="n">
        <f aca="false">IF(E93=1,B93^2,0)</f>
        <v>0</v>
      </c>
      <c r="J93" s="13" t="n">
        <f aca="false">IF(E93=1,G93^2,0)</f>
        <v>0</v>
      </c>
    </row>
    <row r="94" customFormat="false" ht="15" hidden="false" customHeight="false" outlineLevel="0" collapsed="false">
      <c r="A94" s="11"/>
      <c r="B94" s="11"/>
      <c r="C94" s="11"/>
      <c r="D94" s="11"/>
      <c r="E94" s="13" t="n">
        <f aca="false">IF(AND(ISNUMBER(B94),ISNUMBER(C94),ISNUMBER(D94),C94&gt;0,D94&gt;0),1,0)</f>
        <v>0</v>
      </c>
      <c r="F94" s="13" t="n">
        <f aca="false">IF(E94=1,D94/C94,0)</f>
        <v>0</v>
      </c>
      <c r="G94" s="13" t="n">
        <f aca="false">IF(E94=1,LN(F94),0)</f>
        <v>0</v>
      </c>
      <c r="H94" s="13" t="n">
        <f aca="false">IF(E94=1,B94*G94,0)</f>
        <v>0</v>
      </c>
      <c r="I94" s="13" t="n">
        <f aca="false">IF(E94=1,B94^2,0)</f>
        <v>0</v>
      </c>
      <c r="J94" s="13" t="n">
        <f aca="false">IF(E94=1,G94^2,0)</f>
        <v>0</v>
      </c>
    </row>
    <row r="95" customFormat="false" ht="15" hidden="false" customHeight="false" outlineLevel="0" collapsed="false">
      <c r="A95" s="11"/>
      <c r="B95" s="11"/>
      <c r="C95" s="11"/>
      <c r="D95" s="11"/>
      <c r="E95" s="13" t="n">
        <f aca="false">IF(AND(ISNUMBER(B95),ISNUMBER(C95),ISNUMBER(D95),C95&gt;0,D95&gt;0),1,0)</f>
        <v>0</v>
      </c>
      <c r="F95" s="13" t="n">
        <f aca="false">IF(E95=1,D95/C95,0)</f>
        <v>0</v>
      </c>
      <c r="G95" s="13" t="n">
        <f aca="false">IF(E95=1,LN(F95),0)</f>
        <v>0</v>
      </c>
      <c r="H95" s="13" t="n">
        <f aca="false">IF(E95=1,B95*G95,0)</f>
        <v>0</v>
      </c>
      <c r="I95" s="13" t="n">
        <f aca="false">IF(E95=1,B95^2,0)</f>
        <v>0</v>
      </c>
      <c r="J95" s="13" t="n">
        <f aca="false">IF(E95=1,G95^2,0)</f>
        <v>0</v>
      </c>
    </row>
    <row r="96" customFormat="false" ht="15" hidden="false" customHeight="false" outlineLevel="0" collapsed="false">
      <c r="A96" s="11"/>
      <c r="B96" s="11"/>
      <c r="C96" s="11"/>
      <c r="D96" s="11"/>
      <c r="E96" s="13" t="n">
        <f aca="false">IF(AND(ISNUMBER(B96),ISNUMBER(C96),ISNUMBER(D96),C96&gt;0,D96&gt;0),1,0)</f>
        <v>0</v>
      </c>
      <c r="F96" s="13" t="n">
        <f aca="false">IF(E96=1,D96/C96,0)</f>
        <v>0</v>
      </c>
      <c r="G96" s="13" t="n">
        <f aca="false">IF(E96=1,LN(F96),0)</f>
        <v>0</v>
      </c>
      <c r="H96" s="13" t="n">
        <f aca="false">IF(E96=1,B96*G96,0)</f>
        <v>0</v>
      </c>
      <c r="I96" s="13" t="n">
        <f aca="false">IF(E96=1,B96^2,0)</f>
        <v>0</v>
      </c>
      <c r="J96" s="13" t="n">
        <f aca="false">IF(E96=1,G96^2,0)</f>
        <v>0</v>
      </c>
    </row>
    <row r="97" customFormat="false" ht="15" hidden="false" customHeight="false" outlineLevel="0" collapsed="false">
      <c r="A97" s="11"/>
      <c r="B97" s="11"/>
      <c r="C97" s="11"/>
      <c r="D97" s="11"/>
      <c r="E97" s="13" t="n">
        <f aca="false">IF(AND(ISNUMBER(B97),ISNUMBER(C97),ISNUMBER(D97),C97&gt;0,D97&gt;0),1,0)</f>
        <v>0</v>
      </c>
      <c r="F97" s="13" t="n">
        <f aca="false">IF(E97=1,D97/C97,0)</f>
        <v>0</v>
      </c>
      <c r="G97" s="13" t="n">
        <f aca="false">IF(E97=1,LN(F97),0)</f>
        <v>0</v>
      </c>
      <c r="H97" s="13" t="n">
        <f aca="false">IF(E97=1,B97*G97,0)</f>
        <v>0</v>
      </c>
      <c r="I97" s="13" t="n">
        <f aca="false">IF(E97=1,B97^2,0)</f>
        <v>0</v>
      </c>
      <c r="J97" s="13" t="n">
        <f aca="false">IF(E97=1,G97^2,0)</f>
        <v>0</v>
      </c>
    </row>
    <row r="98" customFormat="false" ht="15" hidden="false" customHeight="false" outlineLevel="0" collapsed="false">
      <c r="A98" s="11"/>
      <c r="B98" s="11"/>
      <c r="C98" s="11"/>
      <c r="D98" s="11"/>
      <c r="E98" s="13" t="n">
        <f aca="false">IF(AND(ISNUMBER(B98),ISNUMBER(C98),ISNUMBER(D98),C98&gt;0,D98&gt;0),1,0)</f>
        <v>0</v>
      </c>
      <c r="F98" s="13" t="n">
        <f aca="false">IF(E98=1,D98/C98,0)</f>
        <v>0</v>
      </c>
      <c r="G98" s="13" t="n">
        <f aca="false">IF(E98=1,LN(F98),0)</f>
        <v>0</v>
      </c>
      <c r="H98" s="13" t="n">
        <f aca="false">IF(E98=1,B98*G98,0)</f>
        <v>0</v>
      </c>
      <c r="I98" s="13" t="n">
        <f aca="false">IF(E98=1,B98^2,0)</f>
        <v>0</v>
      </c>
      <c r="J98" s="13" t="n">
        <f aca="false">IF(E98=1,G98^2,0)</f>
        <v>0</v>
      </c>
    </row>
    <row r="99" customFormat="false" ht="15" hidden="false" customHeight="false" outlineLevel="0" collapsed="false">
      <c r="A99" s="11"/>
      <c r="B99" s="11"/>
      <c r="C99" s="11"/>
      <c r="D99" s="11"/>
      <c r="E99" s="13" t="n">
        <f aca="false">IF(AND(ISNUMBER(B99),ISNUMBER(C99),ISNUMBER(D99),C99&gt;0,D99&gt;0),1,0)</f>
        <v>0</v>
      </c>
      <c r="F99" s="13" t="n">
        <f aca="false">IF(E99=1,D99/C99,0)</f>
        <v>0</v>
      </c>
      <c r="G99" s="13" t="n">
        <f aca="false">IF(E99=1,LN(F99),0)</f>
        <v>0</v>
      </c>
      <c r="H99" s="13" t="n">
        <f aca="false">IF(E99=1,B99*G99,0)</f>
        <v>0</v>
      </c>
      <c r="I99" s="13" t="n">
        <f aca="false">IF(E99=1,B99^2,0)</f>
        <v>0</v>
      </c>
      <c r="J99" s="13" t="n">
        <f aca="false">IF(E99=1,G99^2,0)</f>
        <v>0</v>
      </c>
    </row>
    <row r="100" customFormat="false" ht="15" hidden="false" customHeight="false" outlineLevel="0" collapsed="false">
      <c r="A100" s="11"/>
      <c r="B100" s="11"/>
      <c r="C100" s="11"/>
      <c r="D100" s="11"/>
      <c r="E100" s="13" t="n">
        <f aca="false">IF(AND(ISNUMBER(B100),ISNUMBER(C100),ISNUMBER(D100),C100&gt;0,D100&gt;0),1,0)</f>
        <v>0</v>
      </c>
      <c r="F100" s="13" t="n">
        <f aca="false">IF(E100=1,D100/C100,0)</f>
        <v>0</v>
      </c>
      <c r="G100" s="13" t="n">
        <f aca="false">IF(E100=1,LN(F100),0)</f>
        <v>0</v>
      </c>
      <c r="H100" s="13" t="n">
        <f aca="false">IF(E100=1,B100*G100,0)</f>
        <v>0</v>
      </c>
      <c r="I100" s="13" t="n">
        <f aca="false">IF(E100=1,B100^2,0)</f>
        <v>0</v>
      </c>
      <c r="J100" s="13" t="n">
        <f aca="false">IF(E100=1,G100^2,0)</f>
        <v>0</v>
      </c>
    </row>
    <row r="101" customFormat="false" ht="15" hidden="false" customHeight="false" outlineLevel="0" collapsed="false">
      <c r="A101" s="11"/>
      <c r="B101" s="11"/>
      <c r="C101" s="11"/>
      <c r="D101" s="11"/>
      <c r="E101" s="13" t="n">
        <f aca="false">IF(AND(ISNUMBER(B101),ISNUMBER(C101),ISNUMBER(D101),C101&gt;0,D101&gt;0),1,0)</f>
        <v>0</v>
      </c>
      <c r="F101" s="13" t="n">
        <f aca="false">IF(E101=1,D101/C101,0)</f>
        <v>0</v>
      </c>
      <c r="G101" s="13" t="n">
        <f aca="false">IF(E101=1,LN(F101),0)</f>
        <v>0</v>
      </c>
      <c r="H101" s="13" t="n">
        <f aca="false">IF(E101=1,B101*G101,0)</f>
        <v>0</v>
      </c>
      <c r="I101" s="13" t="n">
        <f aca="false">IF(E101=1,B101^2,0)</f>
        <v>0</v>
      </c>
      <c r="J101" s="13" t="n">
        <f aca="false">IF(E101=1,G101^2,0)</f>
        <v>0</v>
      </c>
    </row>
    <row r="102" customFormat="false" ht="15" hidden="false" customHeight="false" outlineLevel="0" collapsed="false">
      <c r="A102" s="11"/>
      <c r="B102" s="11"/>
      <c r="C102" s="11"/>
      <c r="D102" s="11"/>
      <c r="E102" s="13" t="n">
        <f aca="false">IF(AND(ISNUMBER(B102),ISNUMBER(C102),ISNUMBER(D102),C102&gt;0,D102&gt;0),1,0)</f>
        <v>0</v>
      </c>
      <c r="F102" s="13" t="n">
        <f aca="false">IF(E102=1,D102/C102,0)</f>
        <v>0</v>
      </c>
      <c r="G102" s="13" t="n">
        <f aca="false">IF(E102=1,LN(F102),0)</f>
        <v>0</v>
      </c>
      <c r="H102" s="13" t="n">
        <f aca="false">IF(E102=1,B102*G102,0)</f>
        <v>0</v>
      </c>
      <c r="I102" s="13" t="n">
        <f aca="false">IF(E102=1,B102^2,0)</f>
        <v>0</v>
      </c>
      <c r="J102" s="13" t="n">
        <f aca="false">IF(E102=1,G102^2,0)</f>
        <v>0</v>
      </c>
    </row>
    <row r="103" customFormat="false" ht="15" hidden="false" customHeight="false" outlineLevel="0" collapsed="false">
      <c r="A103" s="11"/>
      <c r="B103" s="11"/>
      <c r="C103" s="11"/>
      <c r="D103" s="11"/>
      <c r="E103" s="13" t="n">
        <f aca="false">IF(AND(ISNUMBER(B103),ISNUMBER(C103),ISNUMBER(D103),C103&gt;0,D103&gt;0),1,0)</f>
        <v>0</v>
      </c>
      <c r="F103" s="13" t="n">
        <f aca="false">IF(E103=1,D103/C103,0)</f>
        <v>0</v>
      </c>
      <c r="G103" s="13" t="n">
        <f aca="false">IF(E103=1,LN(F103),0)</f>
        <v>0</v>
      </c>
      <c r="H103" s="13" t="n">
        <f aca="false">IF(E103=1,B103*G103,0)</f>
        <v>0</v>
      </c>
      <c r="I103" s="13" t="n">
        <f aca="false">IF(E103=1,B103^2,0)</f>
        <v>0</v>
      </c>
      <c r="J103" s="13" t="n">
        <f aca="false">IF(E103=1,G103^2,0)</f>
        <v>0</v>
      </c>
    </row>
    <row r="104" customFormat="false" ht="15" hidden="false" customHeight="false" outlineLevel="0" collapsed="false">
      <c r="A104" s="11"/>
      <c r="B104" s="11"/>
      <c r="C104" s="11"/>
      <c r="D104" s="11"/>
      <c r="E104" s="13" t="n">
        <f aca="false">IF(AND(ISNUMBER(B104),ISNUMBER(C104),ISNUMBER(D104),C104&gt;0,D104&gt;0),1,0)</f>
        <v>0</v>
      </c>
      <c r="F104" s="13" t="n">
        <f aca="false">IF(E104=1,D104/C104,0)</f>
        <v>0</v>
      </c>
      <c r="G104" s="13" t="n">
        <f aca="false">IF(E104=1,LN(F104),0)</f>
        <v>0</v>
      </c>
      <c r="H104" s="13" t="n">
        <f aca="false">IF(E104=1,B104*G104,0)</f>
        <v>0</v>
      </c>
      <c r="I104" s="13" t="n">
        <f aca="false">IF(E104=1,B104^2,0)</f>
        <v>0</v>
      </c>
      <c r="J104" s="13" t="n">
        <f aca="false">IF(E104=1,G104^2,0)</f>
        <v>0</v>
      </c>
    </row>
    <row r="105" customFormat="false" ht="15" hidden="false" customHeight="false" outlineLevel="0" collapsed="false">
      <c r="A105" s="11"/>
      <c r="B105" s="11"/>
      <c r="C105" s="11"/>
      <c r="D105" s="11"/>
      <c r="E105" s="13" t="n">
        <f aca="false">IF(AND(ISNUMBER(B105),ISNUMBER(C105),ISNUMBER(D105),C105&gt;0,D105&gt;0),1,0)</f>
        <v>0</v>
      </c>
      <c r="F105" s="13" t="n">
        <f aca="false">IF(E105=1,D105/C105,0)</f>
        <v>0</v>
      </c>
      <c r="G105" s="13" t="n">
        <f aca="false">IF(E105=1,LN(F105),0)</f>
        <v>0</v>
      </c>
      <c r="H105" s="13" t="n">
        <f aca="false">IF(E105=1,B105*G105,0)</f>
        <v>0</v>
      </c>
      <c r="I105" s="13" t="n">
        <f aca="false">IF(E105=1,B105^2,0)</f>
        <v>0</v>
      </c>
      <c r="J105" s="13" t="n">
        <f aca="false">IF(E105=1,G105^2,0)</f>
        <v>0</v>
      </c>
    </row>
    <row r="106" customFormat="false" ht="15" hidden="false" customHeight="false" outlineLevel="0" collapsed="false">
      <c r="A106" s="11"/>
      <c r="B106" s="11"/>
      <c r="C106" s="11"/>
      <c r="D106" s="11"/>
      <c r="E106" s="13" t="n">
        <f aca="false">IF(AND(ISNUMBER(B106),ISNUMBER(C106),ISNUMBER(D106),C106&gt;0,D106&gt;0),1,0)</f>
        <v>0</v>
      </c>
      <c r="F106" s="13" t="n">
        <f aca="false">IF(E106=1,D106/C106,0)</f>
        <v>0</v>
      </c>
      <c r="G106" s="13" t="n">
        <f aca="false">IF(E106=1,LN(F106),0)</f>
        <v>0</v>
      </c>
      <c r="H106" s="13" t="n">
        <f aca="false">IF(E106=1,B106*G106,0)</f>
        <v>0</v>
      </c>
      <c r="I106" s="13" t="n">
        <f aca="false">IF(E106=1,B106^2,0)</f>
        <v>0</v>
      </c>
      <c r="J106" s="13" t="n">
        <f aca="false">IF(E106=1,G106^2,0)</f>
        <v>0</v>
      </c>
    </row>
    <row r="107" customFormat="false" ht="15" hidden="false" customHeight="false" outlineLevel="0" collapsed="false">
      <c r="A107" s="11"/>
      <c r="B107" s="11"/>
      <c r="C107" s="11"/>
      <c r="D107" s="11"/>
      <c r="E107" s="13" t="n">
        <f aca="false">IF(AND(ISNUMBER(B107),ISNUMBER(C107),ISNUMBER(D107),C107&gt;0,D107&gt;0),1,0)</f>
        <v>0</v>
      </c>
      <c r="F107" s="13" t="n">
        <f aca="false">IF(E107=1,D107/C107,0)</f>
        <v>0</v>
      </c>
      <c r="G107" s="13" t="n">
        <f aca="false">IF(E107=1,LN(F107),0)</f>
        <v>0</v>
      </c>
      <c r="H107" s="13" t="n">
        <f aca="false">IF(E107=1,B107*G107,0)</f>
        <v>0</v>
      </c>
      <c r="I107" s="13" t="n">
        <f aca="false">IF(E107=1,B107^2,0)</f>
        <v>0</v>
      </c>
      <c r="J107" s="13" t="n">
        <f aca="false">IF(E107=1,G107^2,0)</f>
        <v>0</v>
      </c>
    </row>
    <row r="108" customFormat="false" ht="15" hidden="false" customHeight="false" outlineLevel="0" collapsed="false">
      <c r="A108" s="11"/>
      <c r="B108" s="11"/>
      <c r="C108" s="11"/>
      <c r="D108" s="11"/>
      <c r="E108" s="13" t="n">
        <f aca="false">IF(AND(ISNUMBER(B108),ISNUMBER(C108),ISNUMBER(D108),C108&gt;0,D108&gt;0),1,0)</f>
        <v>0</v>
      </c>
      <c r="F108" s="13" t="n">
        <f aca="false">IF(E108=1,D108/C108,0)</f>
        <v>0</v>
      </c>
      <c r="G108" s="13" t="n">
        <f aca="false">IF(E108=1,LN(F108),0)</f>
        <v>0</v>
      </c>
      <c r="H108" s="13" t="n">
        <f aca="false">IF(E108=1,B108*G108,0)</f>
        <v>0</v>
      </c>
      <c r="I108" s="13" t="n">
        <f aca="false">IF(E108=1,B108^2,0)</f>
        <v>0</v>
      </c>
      <c r="J108" s="13" t="n">
        <f aca="false">IF(E108=1,G108^2,0)</f>
        <v>0</v>
      </c>
    </row>
    <row r="109" customFormat="false" ht="15" hidden="false" customHeight="false" outlineLevel="0" collapsed="false">
      <c r="A109" s="11"/>
      <c r="B109" s="11"/>
      <c r="C109" s="11"/>
      <c r="D109" s="11"/>
      <c r="E109" s="13" t="n">
        <f aca="false">IF(AND(ISNUMBER(B109),ISNUMBER(C109),ISNUMBER(D109),C109&gt;0,D109&gt;0),1,0)</f>
        <v>0</v>
      </c>
      <c r="F109" s="13" t="n">
        <f aca="false">IF(E109=1,D109/C109,0)</f>
        <v>0</v>
      </c>
      <c r="G109" s="13" t="n">
        <f aca="false">IF(E109=1,LN(F109),0)</f>
        <v>0</v>
      </c>
      <c r="H109" s="13" t="n">
        <f aca="false">IF(E109=1,B109*G109,0)</f>
        <v>0</v>
      </c>
      <c r="I109" s="13" t="n">
        <f aca="false">IF(E109=1,B109^2,0)</f>
        <v>0</v>
      </c>
      <c r="J109" s="13" t="n">
        <f aca="false">IF(E109=1,G109^2,0)</f>
        <v>0</v>
      </c>
    </row>
    <row r="110" customFormat="false" ht="15" hidden="false" customHeight="false" outlineLevel="0" collapsed="false">
      <c r="A110" s="11"/>
      <c r="B110" s="11"/>
      <c r="C110" s="11"/>
      <c r="D110" s="11"/>
      <c r="E110" s="13" t="n">
        <f aca="false">IF(AND(ISNUMBER(B110),ISNUMBER(C110),ISNUMBER(D110),C110&gt;0,D110&gt;0),1,0)</f>
        <v>0</v>
      </c>
      <c r="F110" s="13" t="n">
        <f aca="false">IF(E110=1,D110/C110,0)</f>
        <v>0</v>
      </c>
      <c r="G110" s="13" t="n">
        <f aca="false">IF(E110=1,LN(F110),0)</f>
        <v>0</v>
      </c>
      <c r="H110" s="13" t="n">
        <f aca="false">IF(E110=1,B110*G110,0)</f>
        <v>0</v>
      </c>
      <c r="I110" s="13" t="n">
        <f aca="false">IF(E110=1,B110^2,0)</f>
        <v>0</v>
      </c>
      <c r="J110" s="13" t="n">
        <f aca="false">IF(E110=1,G110^2,0)</f>
        <v>0</v>
      </c>
    </row>
    <row r="111" customFormat="false" ht="15" hidden="false" customHeight="false" outlineLevel="0" collapsed="false">
      <c r="A111" s="11"/>
      <c r="B111" s="11"/>
      <c r="C111" s="11"/>
      <c r="D111" s="11"/>
      <c r="E111" s="13" t="n">
        <f aca="false">IF(AND(ISNUMBER(B111),ISNUMBER(C111),ISNUMBER(D111),C111&gt;0,D111&gt;0),1,0)</f>
        <v>0</v>
      </c>
      <c r="F111" s="13" t="n">
        <f aca="false">IF(E111=1,D111/C111,0)</f>
        <v>0</v>
      </c>
      <c r="G111" s="13" t="n">
        <f aca="false">IF(E111=1,LN(F111),0)</f>
        <v>0</v>
      </c>
      <c r="H111" s="13" t="n">
        <f aca="false">IF(E111=1,B111*G111,0)</f>
        <v>0</v>
      </c>
      <c r="I111" s="13" t="n">
        <f aca="false">IF(E111=1,B111^2,0)</f>
        <v>0</v>
      </c>
      <c r="J111" s="13" t="n">
        <f aca="false">IF(E111=1,G111^2,0)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D11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35</v>
      </c>
    </row>
    <row r="2" customFormat="false" ht="15" hidden="false" customHeight="false" outlineLevel="0" collapsed="false">
      <c r="B2" s="8" t="s">
        <v>36</v>
      </c>
    </row>
    <row r="4" customFormat="false" ht="15" hidden="false" customHeight="false" outlineLevel="0" collapsed="false">
      <c r="B4" s="9" t="s">
        <v>37</v>
      </c>
    </row>
    <row r="5" customFormat="false" ht="30" hidden="false" customHeight="true" outlineLevel="0" collapsed="false">
      <c r="B5" s="10" t="s">
        <v>25</v>
      </c>
      <c r="C5" s="10" t="s">
        <v>38</v>
      </c>
      <c r="D5" s="10" t="s">
        <v>39</v>
      </c>
      <c r="E5" s="10" t="s">
        <v>40</v>
      </c>
      <c r="F5" s="10" t="s">
        <v>41</v>
      </c>
      <c r="G5" s="10" t="s">
        <v>42</v>
      </c>
      <c r="H5" s="10" t="s">
        <v>43</v>
      </c>
      <c r="I5" s="10" t="s">
        <v>44</v>
      </c>
    </row>
    <row r="6" customFormat="false" ht="15" hidden="false" customHeight="false" outlineLevel="0" collapsed="false">
      <c r="B6" s="14" t="str">
        <f aca="false">IFERROR(IF('Enter data'!$A$6="","",'Enter data'!$A$6),"")</f>
        <v>species_1</v>
      </c>
      <c r="C6" s="15" t="n">
        <f aca="false">IFERROR(SUMIFS('Enter data'!$E$12:$E$111,'Enter data'!$A$12:$A$111,'Enter data'!$A$6),"")</f>
        <v>16</v>
      </c>
      <c r="D6" s="16" t="n">
        <f aca="false">IFERROR(IF(C6&gt;0,AVERAGEIFS('Enter data'!$F$12:$F$111,'Enter data'!$A$12:$A$111,'Enter data'!$A$6,'Enter data'!$E$12:$E$111,1),""),"")</f>
        <v>0.592245687222777</v>
      </c>
      <c r="E6" s="17" t="n">
        <f aca="false">IFERROR(-SUMIFS('Enter data'!$H$12:$H$111,'Enter data'!$A$12:$A$111,'Enter data'!$A$6)/SUMIFS('Enter data'!$I$12:$I$111,'Enter data'!$A$12:$A$111,'Enter data'!$A$6),"")</f>
        <v>0.112591163947769</v>
      </c>
      <c r="F6" s="18" t="n">
        <f aca="false">IFERROR(LN(2)/E6,"")</f>
        <v>6.15631952149902</v>
      </c>
      <c r="G6" s="17" t="n">
        <f aca="false">IFERROR(SQRT((SUMIFS('Enter data'!$J$12:$J$111,'Enter data'!$A$12:$A$111,'Enter data'!$A$6)-SUMIFS('Enter data'!$H$12:$H$111,'Enter data'!$A$12:$A$111,'Enter data'!$A$6)^2/SUMIFS('Enter data'!$I$12:$I$111,'Enter data'!$A$12:$A$111,'Enter data'!$A$6))/(C6-1)/SUMIFS('Enter data'!$I$12:$I$111,'Enter data'!$A$12:$A$111,'Enter data'!$A$6)),"")</f>
        <v>0.00309405795870827</v>
      </c>
      <c r="H6" s="17" t="n">
        <f aca="false">IFERROR(E6-TINV(0.05,C6-1)*G6,"")</f>
        <v>0.105996335517744</v>
      </c>
      <c r="I6" s="17" t="n">
        <f aca="false">IFERROR(E6+TINV(0.05,C6-1)*G6,"")</f>
        <v>0.119185992377793</v>
      </c>
    </row>
    <row r="7" customFormat="false" ht="15" hidden="false" customHeight="false" outlineLevel="0" collapsed="false">
      <c r="B7" s="14" t="str">
        <f aca="false">IFERROR(IF('Enter data'!$B$6="","",'Enter data'!$B$6),"")</f>
        <v>species_2</v>
      </c>
      <c r="C7" s="15" t="n">
        <f aca="false">IFERROR(SUMIFS('Enter data'!$E$12:$E$111,'Enter data'!$A$12:$A$111,'Enter data'!$B$6),"")</f>
        <v>16</v>
      </c>
      <c r="D7" s="16" t="n">
        <f aca="false">IFERROR(IF(C7&gt;0,AVERAGEIFS('Enter data'!$F$12:$F$111,'Enter data'!$A$12:$A$111,'Enter data'!$B$6,'Enter data'!$E$12:$E$111,1),""),"")</f>
        <v>0.823259799836095</v>
      </c>
      <c r="E7" s="17" t="n">
        <f aca="false">IFERROR(-SUMIFS('Enter data'!$H$12:$H$111,'Enter data'!$A$12:$A$111,'Enter data'!$B$6)/SUMIFS('Enter data'!$I$12:$I$111,'Enter data'!$A$12:$A$111,'Enter data'!$B$6),"")</f>
        <v>0.0393611173453751</v>
      </c>
      <c r="F7" s="18" t="n">
        <f aca="false">IFERROR(LN(2)/E7,"")</f>
        <v>17.6099467522202</v>
      </c>
      <c r="G7" s="17" t="n">
        <f aca="false">IFERROR(SQRT((SUMIFS('Enter data'!$J$12:$J$111,'Enter data'!$A$12:$A$111,'Enter data'!$B$6)-SUMIFS('Enter data'!$H$12:$H$111,'Enter data'!$A$12:$A$111,'Enter data'!$B$6)^2/SUMIFS('Enter data'!$I$12:$I$111,'Enter data'!$A$12:$A$111,'Enter data'!$B$6))/(C7-1)/SUMIFS('Enter data'!$I$12:$I$111,'Enter data'!$A$12:$A$111,'Enter data'!$B$6)),"")</f>
        <v>0.00143683793204912</v>
      </c>
      <c r="H7" s="17" t="n">
        <f aca="false">IFERROR(E7-TINV(0.05,C7-1)*G7,"")</f>
        <v>0.036298569788066</v>
      </c>
      <c r="I7" s="17" t="n">
        <f aca="false">IFERROR(E7+TINV(0.05,C7-1)*G7,"")</f>
        <v>0.0424236649026842</v>
      </c>
    </row>
    <row r="8" customFormat="false" ht="15" hidden="false" customHeight="false" outlineLevel="0" collapsed="false">
      <c r="B8" s="14" t="str">
        <f aca="false">IFERROR(IF('Enter data'!$C$6="","",'Enter data'!$C$6),"")</f>
        <v/>
      </c>
      <c r="C8" s="15" t="n">
        <f aca="false">IFERROR(SUMIFS('Enter data'!$E$12:$E$111,'Enter data'!$A$12:$A$111,'Enter data'!$C$6),"")</f>
        <v>0</v>
      </c>
      <c r="D8" s="16" t="str">
        <f aca="false">IFERROR(IF(C8&gt;0,AVERAGEIFS('Enter data'!$F$12:$F$111,'Enter data'!$A$12:$A$111,'Enter data'!$C$6,'Enter data'!$E$12:$E$111,1),""),"")</f>
        <v/>
      </c>
      <c r="E8" s="17" t="str">
        <f aca="false">IFERROR(-SUMIFS('Enter data'!$H$12:$H$111,'Enter data'!$A$12:$A$111,'Enter data'!$C$6)/SUMIFS('Enter data'!$I$12:$I$111,'Enter data'!$A$12:$A$111,'Enter data'!$C$6),"")</f>
        <v/>
      </c>
      <c r="F8" s="18" t="str">
        <f aca="false">IFERROR(LN(2)/E8,"")</f>
        <v/>
      </c>
      <c r="G8" s="17" t="str">
        <f aca="false">IFERROR(SQRT((SUMIFS('Enter data'!$J$12:$J$111,'Enter data'!$A$12:$A$111,'Enter data'!$C$6)-SUMIFS('Enter data'!$H$12:$H$111,'Enter data'!$A$12:$A$111,'Enter data'!$C$6)^2/SUMIFS('Enter data'!$I$12:$I$111,'Enter data'!$A$12:$A$111,'Enter data'!$C$6))/(C8-1)/SUMIFS('Enter data'!$I$12:$I$111,'Enter data'!$A$12:$A$111,'Enter data'!$C$6)),"")</f>
        <v/>
      </c>
      <c r="H8" s="17" t="str">
        <f aca="false">IFERROR(E8-TINV(0.05,C8-1)*G8,"")</f>
        <v/>
      </c>
      <c r="I8" s="17" t="str">
        <f aca="false">IFERROR(E8+TINV(0.05,C8-1)*G8,"")</f>
        <v/>
      </c>
    </row>
    <row r="11" customFormat="false" ht="15" hidden="false" customHeight="false" outlineLevel="0" collapsed="false">
      <c r="B11" s="9" t="s">
        <v>45</v>
      </c>
    </row>
    <row r="12" customFormat="false" ht="15" hidden="false" customHeight="false" outlineLevel="0" collapsed="false">
      <c r="B12" s="19" t="s">
        <v>46</v>
      </c>
      <c r="C12" s="20" t="n">
        <f aca="false">IFERROR($E$6-$E$7,"")</f>
        <v>0.0732300466023937</v>
      </c>
    </row>
    <row r="13" customFormat="false" ht="15" hidden="false" customHeight="false" outlineLevel="0" collapsed="false">
      <c r="B13" s="19" t="s">
        <v>47</v>
      </c>
      <c r="C13" s="21" t="n">
        <f aca="false">IFERROR($C$12/SQRT($G$6^2+$G$7^2),"")</f>
        <v>21.4662296381697</v>
      </c>
    </row>
    <row r="14" customFormat="false" ht="15" hidden="false" customHeight="false" outlineLevel="0" collapsed="false">
      <c r="B14" s="19" t="s">
        <v>48</v>
      </c>
      <c r="C14" s="20" t="n">
        <f aca="false">IFERROR(2*(1-NORMSDIST(ABS($C$13))),"")</f>
        <v>0</v>
      </c>
    </row>
    <row r="16" customFormat="false" ht="15" hidden="false" customHeight="false" outlineLevel="0" collapsed="false">
      <c r="B16" s="9" t="s">
        <v>49</v>
      </c>
    </row>
    <row r="17" customFormat="false" ht="15" hidden="false" customHeight="false" outlineLevel="0" collapsed="false">
      <c r="B17" s="19" t="s">
        <v>50</v>
      </c>
      <c r="C17" s="22" t="n">
        <f aca="false">IFERROR(-LN(6.7/10)/4,"")</f>
        <v>0.100119391649281</v>
      </c>
    </row>
    <row r="18" customFormat="false" ht="15" hidden="false" customHeight="false" outlineLevel="0" collapsed="false">
      <c r="B18" s="19" t="s">
        <v>41</v>
      </c>
      <c r="C18" s="23" t="n">
        <f aca="false">IFERROR(LN(2)/(-LN(6.7/10)/4),"")</f>
        <v>6.92320607568255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2026-10-01T00:32:32Z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2026-10-01T00:32:32Z</dcterms:modified>
  <cp:revision>0</cp:revision>
  <dc:subject/>
  <dc:title>ECO-03 Leaf-litter decomposition rate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