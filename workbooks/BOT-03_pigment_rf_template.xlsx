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<sst xmlns="http://schemas.openxmlformats.org/spreadsheetml/2006/main" count="63" uniqueCount="57">
  <si>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 xml:space="preserve">BOT-03  Photosynthetic pigments by paper chromatography</t>
  </si>
  <si>
    <t xml:space="preserve">Excel version of the card. It does the same calculations as the R script bot03_pigment_rf.R.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</si>
  <si>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</si>
  <si>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</si>
  <si>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</si>
  <si>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</si>
  <si>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</si>
  <si>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</si>
  <si>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</si>
  <si>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</si>
  <si>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Rf = distance from the origin to the band centre / distance from the origin to the solvent front. Expected order from the top: carotene, xanthophyll, chlorophyll a, chlorophyll b.</t>
  </si>
  <si>
    <t xml:space="preserve">Darkness is a rough index read from a photograph (0 to 255, higher = darker). It is not linear in pigment amount: compare bands within a sheet only.</t>
  </si>
  <si>
    <t xml:space="preserve">Type the leaf-type names and band names in the names block exactly as you type them in the table. Chlorophyll a must be band 3 and chlorophyll b band 4.</t>
  </si>
  <si>
    <t xml:space="preserve">Differences from the R script on the card</t>
  </si>
  <si>
    <t xml:space="preserve">The R script tests the a:b darkness ratio with a Welch t test as here; it also lists the Rf order automatically.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</si>
  <si>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</si>
  <si>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</si>
  <si>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</si>
  <si>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</si>
  <si>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Names</t>
  </si>
  <si>
    <t xml:space="preserve">Leaf type 1</t>
  </si>
  <si>
    <t xml:space="preserve">Leaf type 2</t>
  </si>
  <si>
    <t xml:space="preserve">Band 1</t>
  </si>
  <si>
    <t xml:space="preserve">Band 2</t>
  </si>
  <si>
    <t xml:space="preserve">Band 3 (chlorophyll a)</t>
  </si>
  <si>
    <t xml:space="preserve">Band 4 (chlorophyll b)</t>
  </si>
  <si>
    <t xml:space="preserve">2. Bands (one row per band per strip)</t>
  </si>
  <si>
    <t xml:space="preserve">Leaf type</t>
  </si>
  <si>
    <t xml:space="preserve">Run</t>
  </si>
  <si>
    <t xml:space="preserve">Band</t>
  </si>
  <si>
    <t xml:space="preserve">Distance origin to band (cm)</t>
  </si>
  <si>
    <t xml:space="preserve">Distance origin to front (cm)</t>
  </si>
  <si>
    <t xml:space="preserve">Darkness (0 to 255)</t>
  </si>
  <si>
    <t xml:space="preserve">Rf</t>
  </si>
  <si>
    <t xml:space="preserve">sun_leaf</t>
  </si>
  <si>
    <t xml:space="preserve">carotene</t>
  </si>
  <si>
    <t xml:space="preserve">Results</t>
  </si>
  <si>
    <t xml:space="preserve">Everything on this sheet is calculated. Change only the yellow settings.</t>
  </si>
  <si>
    <t xml:space="preserve">Rf values</t>
  </si>
  <si>
    <t xml:space="preserve">Strips</t>
  </si>
  <si>
    <t xml:space="preserve">Mean Rf</t>
  </si>
  <si>
    <t xml:space="preserve">SD</t>
  </si>
  <si>
    <t xml:space="preserve">Chlorophyll a to b darkness ratio by run</t>
  </si>
  <si>
    <t xml:space="preserve">Mean a:b darkness ratio by leaf type</t>
  </si>
  <si>
    <t xml:space="preserve">Group</t>
  </si>
  <si>
    <t xml:space="preserve">n</t>
  </si>
  <si>
    <t xml:space="preserve">Mean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</si>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</sst>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;\-0.000;;@"/>
    <numFmt numFmtId="166" formatCode="General"/>
    <numFmt numFmtId="167" formatCode="0"/>
    <numFmt numFmtId="168" formatCode="0.000"/>
    <numFmt numFmtId="169" formatCode="0.00"/>
    <numFmt numFmtId="170" formatCode="0.0"/>
    <numFmt numFmtId="171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9" customFormat="false" ht="15" hidden="false" customHeight="false" outlineLevel="0" collapsed="false">
      <c r="A9" s="9" t="s">
        <v>26</v>
      </c>
    </row>
    <row r="10" customFormat="false" ht="31.5" hidden="false" customHeight="true" outlineLevel="0" collapsed="false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</row>
    <row r="11" customFormat="false" ht="15" hidden="false" customHeight="false" outlineLevel="0" collapsed="false">
      <c r="A11" s="12" t="s">
        <v>34</v>
      </c>
      <c r="B11" s="12" t="n">
        <v>1</v>
      </c>
      <c r="C11" s="12" t="s">
        <v>35</v>
      </c>
      <c r="D11" s="12" t="n">
        <v>8.4</v>
      </c>
      <c r="E11" s="12" t="n">
        <v>9</v>
      </c>
      <c r="F11" s="12" t="n">
        <v>60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3" t="n">
        <f aca="false">IF(AND(ISNUMBER(D12),ISNUMBER(E12)),D12/E12,0)</f>
        <v>0</v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3" t="n">
        <f aca="false">IF(AND(ISNUMBER(D13),ISNUMBER(E13)),D13/E13,0)</f>
        <v>0</v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3" t="n">
        <f aca="false">IF(AND(ISNUMBER(D14),ISNUMBER(E14)),D14/E14,0)</f>
        <v>0</v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3" t="n">
        <f aca="false">IF(AND(ISNUMBER(D15),ISNUMBER(E15)),D15/E15,0)</f>
        <v>0</v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3" t="n">
        <f aca="false">IF(AND(ISNUMBER(D16),ISNUMBER(E16)),D16/E16,0)</f>
        <v>0</v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3" t="n">
        <f aca="false">IF(AND(ISNUMBER(D17),ISNUMBER(E17)),D17/E17,0)</f>
        <v>0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3" t="n">
        <f aca="false">IF(AND(ISNUMBER(D18),ISNUMBER(E18)),D18/E18,0)</f>
        <v>0</v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3" t="n">
        <f aca="false">IF(AND(ISNUMBER(D19),ISNUMBER(E19)),D19/E19,0)</f>
        <v>0</v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3" t="n">
        <f aca="false">IF(AND(ISNUMBER(D20),ISNUMBER(E20)),D20/E20,0)</f>
        <v>0</v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3" t="n">
        <f aca="false">IF(AND(ISNUMBER(D21),ISNUMBER(E21)),D21/E21,0)</f>
        <v>0</v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3" t="n">
        <f aca="false">IF(AND(ISNUMBER(D22),ISNUMBER(E22)),D22/E22,0)</f>
        <v>0</v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3" t="n">
        <f aca="false">IF(AND(ISNUMBER(D23),ISNUMBER(E23)),D23/E23,0)</f>
        <v>0</v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3" t="n">
        <f aca="false">IF(AND(ISNUMBER(D24),ISNUMBER(E24)),D24/E24,0)</f>
        <v>0</v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3" t="n">
        <f aca="false">IF(AND(ISNUMBER(D25),ISNUMBER(E25)),D25/E25,0)</f>
        <v>0</v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3" t="n">
        <f aca="false">IF(AND(ISNUMBER(D26),ISNUMBER(E26)),D26/E26,0)</f>
        <v>0</v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3" t="n">
        <f aca="false">IF(AND(ISNUMBER(D27),ISNUMBER(E27)),D27/E27,0)</f>
        <v>0</v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3" t="n">
        <f aca="false">IF(AND(ISNUMBER(D28),ISNUMBER(E28)),D28/E28,0)</f>
        <v>0</v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3" t="n">
        <f aca="false">IF(AND(ISNUMBER(D29),ISNUMBER(E29)),D29/E29,0)</f>
        <v>0</v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3" t="n">
        <f aca="false">IF(AND(ISNUMBER(D30),ISNUMBER(E30)),D30/E30,0)</f>
        <v>0</v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3" t="n">
        <f aca="false">IF(AND(ISNUMBER(D31),ISNUMBER(E31)),D31/E31,0)</f>
        <v>0</v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3" t="n">
        <f aca="false">IF(AND(ISNUMBER(D32),ISNUMBER(E32)),D32/E32,0)</f>
        <v>0</v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3" t="n">
        <f aca="false">IF(AND(ISNUMBER(D33),ISNUMBER(E33)),D33/E33,0)</f>
        <v>0</v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3" t="n">
        <f aca="false">IF(AND(ISNUMBER(D34),ISNUMBER(E34)),D34/E34,0)</f>
        <v>0</v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3" t="n">
        <f aca="false">IF(AND(ISNUMBER(D35),ISNUMBER(E35)),D35/E35,0)</f>
        <v>0</v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3" t="n">
        <f aca="false">IF(AND(ISNUMBER(D36),ISNUMBER(E36)),D36/E36,0)</f>
        <v>0</v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3" t="n">
        <f aca="false">IF(AND(ISNUMBER(D37),ISNUMBER(E37)),D37/E37,0)</f>
        <v>0</v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3" t="n">
        <f aca="false">IF(AND(ISNUMBER(D38),ISNUMBER(E38)),D38/E38,0)</f>
        <v>0</v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3" t="n">
        <f aca="false">IF(AND(ISNUMBER(D39),ISNUMBER(E39)),D39/E39,0)</f>
        <v>0</v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3" t="n">
        <f aca="false">IF(AND(ISNUMBER(D40),ISNUMBER(E40)),D40/E40,0)</f>
        <v>0</v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3" t="n">
        <f aca="false">IF(AND(ISNUMBER(D41),ISNUMBER(E41)),D41/E41,0)</f>
        <v>0</v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3" t="n">
        <f aca="false">IF(AND(ISNUMBER(D42),ISNUMBER(E42)),D42/E42,0)</f>
        <v>0</v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3" t="n">
        <f aca="false">IF(AND(ISNUMBER(D43),ISNUMBER(E43)),D43/E43,0)</f>
        <v>0</v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3" t="n">
        <f aca="false">IF(AND(ISNUMBER(D44),ISNUMBER(E44)),D44/E44,0)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3" t="n">
        <f aca="false">IF(AND(ISNUMBER(D45),ISNUMBER(E45)),D45/E45,0)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3" t="n">
        <f aca="false">IF(AND(ISNUMBER(D46),ISNUMBER(E46)),D46/E46,0)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3" t="n">
        <f aca="false">IF(AND(ISNUMBER(D47),ISNUMBER(E47)),D47/E47,0)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3" t="n">
        <f aca="false">IF(AND(ISNUMBER(D48),ISNUMBER(E48)),D48/E48,0)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3" t="n">
        <f aca="false">IF(AND(ISNUMBER(D49),ISNUMBER(E49)),D49/E49,0)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3" t="n">
        <f aca="false">IF(AND(ISNUMBER(D50),ISNUMBER(E50)),D50/E50,0)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3" t="n">
        <f aca="false">IF(AND(ISNUMBER(D51),ISNUMBER(E51)),D51/E51,0)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3" t="n">
        <f aca="false">IF(AND(ISNUMBER(D52),ISNUMBER(E52)),D52/E52,0)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3" t="n">
        <f aca="false">IF(AND(ISNUMBER(D53),ISNUMBER(E53)),D53/E53,0)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3" t="n">
        <f aca="false">IF(AND(ISNUMBER(D54),ISNUMBER(E54)),D54/E54,0)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3" t="n">
        <f aca="false">IF(AND(ISNUMBER(D55),ISNUMBER(E55)),D55/E55,0)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3" t="n">
        <f aca="false">IF(AND(ISNUMBER(D56),ISNUMBER(E56)),D56/E56,0)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3" t="n">
        <f aca="false">IF(AND(ISNUMBER(D57),ISNUMBER(E57)),D57/E57,0)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3" t="n">
        <f aca="false">IF(AND(ISNUMBER(D58),ISNUMBER(E58)),D58/E58,0)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3" t="n">
        <f aca="false">IF(AND(ISNUMBER(D59),ISNUMBER(E59)),D59/E59,0)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3" t="n">
        <f aca="false">IF(AND(ISNUMBER(D60),ISNUMBER(E60)),D60/E60,0)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3" t="n">
        <f aca="false">IF(AND(ISNUMBER(D61),ISNUMBER(E61)),D61/E61,0)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3" t="n">
        <f aca="false">IF(AND(ISNUMBER(D62),ISNUMBER(E62)),D62/E62,0)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3" t="n">
        <f aca="false">IF(AND(ISNUMBER(D63),ISNUMBER(E63)),D63/E63,0)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3" t="n">
        <f aca="false">IF(AND(ISNUMBER(D64),ISNUMBER(E64)),D64/E64,0)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3" t="n">
        <f aca="false">IF(AND(ISNUMBER(D65),ISNUMBER(E65)),D65/E65,0)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3" t="n">
        <f aca="false">IF(AND(ISNUMBER(D66),ISNUMBER(E66)),D66/E66,0)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3" t="n">
        <f aca="false">IF(AND(ISNUMBER(D67),ISNUMBER(E67)),D67/E67,0)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3" t="n">
        <f aca="false">IF(AND(ISNUMBER(D68),ISNUMBER(E68)),D68/E68,0)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3" t="n">
        <f aca="false">IF(AND(ISNUMBER(D69),ISNUMBER(E69)),D69/E69,0)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3" t="n">
        <f aca="false">IF(AND(ISNUMBER(D70),ISNUMBER(E70)),D70/E70,0)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3" t="n">
        <f aca="false">IF(AND(ISNUMBER(D71),ISNUMBER(E71)),D71/E71,0)</f>
        <v>0</v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3" t="n">
        <f aca="false">IF(AND(ISNUMBER(D72),ISNUMBER(E72)),D72/E72,0)</f>
        <v>0</v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3" t="n">
        <f aca="false">IF(AND(ISNUMBER(D73),ISNUMBER(E73)),D73/E73,0)</f>
        <v>0</v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3" t="n">
        <f aca="false">IF(AND(ISNUMBER(D74),ISNUMBER(E74)),D74/E74,0)</f>
        <v>0</v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3" t="n">
        <f aca="false">IF(AND(ISNUMBER(D75),ISNUMBER(E75)),D75/E75,0)</f>
        <v>0</v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3" t="n">
        <f aca="false">IF(AND(ISNUMBER(D76),ISNUMBER(E76)),D76/E76,0)</f>
        <v>0</v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3" t="n">
        <f aca="false">IF(AND(ISNUMBER(D77),ISNUMBER(E77)),D77/E77,0)</f>
        <v>0</v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3" t="n">
        <f aca="false">IF(AND(ISNUMBER(D78),ISNUMBER(E78)),D78/E78,0)</f>
        <v>0</v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3" t="n">
        <f aca="false">IF(AND(ISNUMBER(D79),ISNUMBER(E79)),D79/E79,0)</f>
        <v>0</v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3" t="n">
        <f aca="false">IF(AND(ISNUMBER(D80),ISNUMBER(E80)),D80/E80,0)</f>
        <v>0</v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3" t="n">
        <f aca="false">IF(AND(ISNUMBER(D81),ISNUMBER(E81)),D81/E81,0)</f>
        <v>0</v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3" t="n">
        <f aca="false">IF(AND(ISNUMBER(D82),ISNUMBER(E82)),D82/E82,0)</f>
        <v>0</v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3" t="n">
        <f aca="false">IF(AND(ISNUMBER(D83),ISNUMBER(E83)),D83/E83,0)</f>
        <v>0</v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3" t="n">
        <f aca="false">IF(AND(ISNUMBER(D84),ISNUMBER(E84)),D84/E84,0)</f>
        <v>0</v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3" t="n">
        <f aca="false">IF(AND(ISNUMBER(D85),ISNUMBER(E85)),D85/E85,0)</f>
        <v>0</v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3" t="n">
        <f aca="false">IF(AND(ISNUMBER(D86),ISNUMBER(E86)),D86/E86,0)</f>
        <v>0</v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3" t="n">
        <f aca="false">IF(AND(ISNUMBER(D87),ISNUMBER(E87)),D87/E87,0)</f>
        <v>0</v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3" t="n">
        <f aca="false">IF(AND(ISNUMBER(D88),ISNUMBER(E88)),D88/E88,0)</f>
        <v>0</v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3" t="n">
        <f aca="false">IF(AND(ISNUMBER(D89),ISNUMBER(E89)),D89/E89,0)</f>
        <v>0</v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3" t="n">
        <f aca="false">IF(AND(ISNUMBER(D90),ISNUMBER(E90)),D90/E90,0)</f>
        <v>0</v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3" t="n">
        <f aca="false">IF(AND(ISNUMBER(D91),ISNUMBER(E91)),D91/E91,0)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B91 D12:F9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36</v>
      </c>
    </row>
    <row r="2" customFormat="false" ht="15" hidden="false" customHeight="false" outlineLevel="0" collapsed="false">
      <c r="B2" s="8" t="s">
        <v>37</v>
      </c>
    </row>
    <row r="4" customFormat="false" ht="15" hidden="false" customHeight="false" outlineLevel="0" collapsed="false">
      <c r="B4" s="9" t="s">
        <v>38</v>
      </c>
    </row>
    <row r="5" customFormat="false" ht="30" hidden="false" customHeight="true" outlineLevel="0" collapsed="false">
      <c r="B5" s="10" t="s">
        <v>27</v>
      </c>
      <c r="C5" s="10" t="s">
        <v>29</v>
      </c>
      <c r="D5" s="10" t="s">
        <v>39</v>
      </c>
      <c r="E5" s="10" t="s">
        <v>40</v>
      </c>
      <c r="F5" s="10" t="s">
        <v>41</v>
      </c>
    </row>
    <row r="6" customFormat="false" ht="15" hidden="false" customHeight="false" outlineLevel="0" collapsed="false">
      <c r="B6" s="14" t="n">
        <f aca="false">IFERROR('Enter data'!$A$6,"")</f>
        <v>0</v>
      </c>
      <c r="C6" s="15" t="n">
        <f aca="false">IFERROR('Enter data'!$C$6,"")</f>
        <v>0</v>
      </c>
      <c r="D6" s="16" t="n">
        <f aca="false">IFERROR(COUNTIFS('Enter data'!$A$12:$A$91,'Enter data'!$A$6,'Enter data'!$C$12:$C$91,'Enter data'!$C$6,'Enter data'!$G$12:$G$91,"&gt;0"),"")</f>
        <v>0</v>
      </c>
      <c r="E6" s="17" t="str">
        <f aca="false">IFERROR(IF(D6=0,"",AVERAGEIFS('Enter data'!$G$12:$G$91,'Enter data'!$A$12:$A$91,'Enter data'!$A$6,'Enter data'!$C$12:$C$91,'Enter data'!$C$6,'Enter data'!$G$12:$G$91,"&gt;0")),"")</f>
        <v/>
      </c>
      <c r="F6" s="17" t="str">
        <f aca="false">IFERROR(IF(D6&lt;2,"",SQRT(MAX(0,(SUMPRODUCT(('Enter data'!$A$12:$A$91='Enter data'!$A$6)*('Enter data'!$C$12:$C$91='Enter data'!$C$6)*('Enter data'!$G$12:$G$91&gt;0)*'Enter data'!$G$12:$G$91^2)-D6*E6^2)/(D6-1)))),"")</f>
        <v/>
      </c>
    </row>
    <row r="7" customFormat="false" ht="15" hidden="false" customHeight="false" outlineLevel="0" collapsed="false">
      <c r="B7" s="14" t="n">
        <f aca="false">IFERROR('Enter data'!$A$6,"")</f>
        <v>0</v>
      </c>
      <c r="C7" s="15" t="n">
        <f aca="false">IFERROR('Enter data'!$D$6,"")</f>
        <v>0</v>
      </c>
      <c r="D7" s="16" t="n">
        <f aca="false">IFERROR(COUNTIFS('Enter data'!$A$12:$A$91,'Enter data'!$A$6,'Enter data'!$C$12:$C$91,'Enter data'!$D$6,'Enter data'!$G$12:$G$91,"&gt;0"),"")</f>
        <v>0</v>
      </c>
      <c r="E7" s="17" t="str">
        <f aca="false">IFERROR(IF(D7=0,"",AVERAGEIFS('Enter data'!$G$12:$G$91,'Enter data'!$A$12:$A$91,'Enter data'!$A$6,'Enter data'!$C$12:$C$91,'Enter data'!$D$6,'Enter data'!$G$12:$G$91,"&gt;0")),"")</f>
        <v/>
      </c>
      <c r="F7" s="17" t="str">
        <f aca="false">IFERROR(IF(D7&lt;2,"",SQRT(MAX(0,(SUMPRODUCT(('Enter data'!$A$12:$A$91='Enter data'!$A$6)*('Enter data'!$C$12:$C$91='Enter data'!$D$6)*('Enter data'!$G$12:$G$91&gt;0)*'Enter data'!$G$12:$G$91^2)-D7*E7^2)/(D7-1)))),"")</f>
        <v/>
      </c>
    </row>
    <row r="8" customFormat="false" ht="15" hidden="false" customHeight="false" outlineLevel="0" collapsed="false">
      <c r="B8" s="14" t="n">
        <f aca="false">IFERROR('Enter data'!$A$6,"")</f>
        <v>0</v>
      </c>
      <c r="C8" s="15" t="n">
        <f aca="false">IFERROR('Enter data'!$E$6,"")</f>
        <v>0</v>
      </c>
      <c r="D8" s="16" t="n">
        <f aca="false">IFERROR(COUNTIFS('Enter data'!$A$12:$A$91,'Enter data'!$A$6,'Enter data'!$C$12:$C$91,'Enter data'!$E$6,'Enter data'!$G$12:$G$91,"&gt;0"),"")</f>
        <v>0</v>
      </c>
      <c r="E8" s="17" t="str">
        <f aca="false">IFERROR(IF(D8=0,"",AVERAGEIFS('Enter data'!$G$12:$G$91,'Enter data'!$A$12:$A$91,'Enter data'!$A$6,'Enter data'!$C$12:$C$91,'Enter data'!$E$6,'Enter data'!$G$12:$G$91,"&gt;0")),"")</f>
        <v/>
      </c>
      <c r="F8" s="17" t="str">
        <f aca="false">IFERROR(IF(D8&lt;2,"",SQRT(MAX(0,(SUMPRODUCT(('Enter data'!$A$12:$A$91='Enter data'!$A$6)*('Enter data'!$C$12:$C$91='Enter data'!$E$6)*('Enter data'!$G$12:$G$91&gt;0)*'Enter data'!$G$12:$G$91^2)-D8*E8^2)/(D8-1)))),"")</f>
        <v/>
      </c>
    </row>
    <row r="9" customFormat="false" ht="15" hidden="false" customHeight="false" outlineLevel="0" collapsed="false">
      <c r="B9" s="14" t="n">
        <f aca="false">IFERROR('Enter data'!$A$6,"")</f>
        <v>0</v>
      </c>
      <c r="C9" s="15" t="n">
        <f aca="false">IFERROR('Enter data'!$F$6,"")</f>
        <v>0</v>
      </c>
      <c r="D9" s="16" t="n">
        <f aca="false">IFERROR(COUNTIFS('Enter data'!$A$12:$A$91,'Enter data'!$A$6,'Enter data'!$C$12:$C$91,'Enter data'!$F$6,'Enter data'!$G$12:$G$91,"&gt;0"),"")</f>
        <v>0</v>
      </c>
      <c r="E9" s="17" t="str">
        <f aca="false">IFERROR(IF(D9=0,"",AVERAGEIFS('Enter data'!$G$12:$G$91,'Enter data'!$A$12:$A$91,'Enter data'!$A$6,'Enter data'!$C$12:$C$91,'Enter data'!$F$6,'Enter data'!$G$12:$G$91,"&gt;0")),"")</f>
        <v/>
      </c>
      <c r="F9" s="17" t="str">
        <f aca="false">IFERROR(IF(D9&lt;2,"",SQRT(MAX(0,(SUMPRODUCT(('Enter data'!$A$12:$A$91='Enter data'!$A$6)*('Enter data'!$C$12:$C$91='Enter data'!$F$6)*('Enter data'!$G$12:$G$91&gt;0)*'Enter data'!$G$12:$G$91^2)-D9*E9^2)/(D9-1)))),"")</f>
        <v/>
      </c>
    </row>
    <row r="10" customFormat="false" ht="15" hidden="false" customHeight="false" outlineLevel="0" collapsed="false">
      <c r="B10" s="14" t="n">
        <f aca="false">IFERROR('Enter data'!$B$6,"")</f>
        <v>0</v>
      </c>
      <c r="C10" s="15" t="n">
        <f aca="false">IFERROR('Enter data'!$C$6,"")</f>
        <v>0</v>
      </c>
      <c r="D10" s="16" t="n">
        <f aca="false">IFERROR(COUNTIFS('Enter data'!$A$12:$A$91,'Enter data'!$B$6,'Enter data'!$C$12:$C$91,'Enter data'!$C$6,'Enter data'!$G$12:$G$91,"&gt;0"),"")</f>
        <v>0</v>
      </c>
      <c r="E10" s="17" t="str">
        <f aca="false">IFERROR(IF(D10=0,"",AVERAGEIFS('Enter data'!$G$12:$G$91,'Enter data'!$A$12:$A$91,'Enter data'!$B$6,'Enter data'!$C$12:$C$91,'Enter data'!$C$6,'Enter data'!$G$12:$G$91,"&gt;0")),"")</f>
        <v/>
      </c>
      <c r="F10" s="17" t="str">
        <f aca="false">IFERROR(IF(D10&lt;2,"",SQRT(MAX(0,(SUMPRODUCT(('Enter data'!$A$12:$A$91='Enter data'!$B$6)*('Enter data'!$C$12:$C$91='Enter data'!$C$6)*('Enter data'!$G$12:$G$91&gt;0)*'Enter data'!$G$12:$G$91^2)-D10*E10^2)/(D10-1)))),"")</f>
        <v/>
      </c>
    </row>
    <row r="11" customFormat="false" ht="15" hidden="false" customHeight="false" outlineLevel="0" collapsed="false">
      <c r="B11" s="14" t="n">
        <f aca="false">IFERROR('Enter data'!$B$6,"")</f>
        <v>0</v>
      </c>
      <c r="C11" s="15" t="n">
        <f aca="false">IFERROR('Enter data'!$D$6,"")</f>
        <v>0</v>
      </c>
      <c r="D11" s="16" t="n">
        <f aca="false">IFERROR(COUNTIFS('Enter data'!$A$12:$A$91,'Enter data'!$B$6,'Enter data'!$C$12:$C$91,'Enter data'!$D$6,'Enter data'!$G$12:$G$91,"&gt;0"),"")</f>
        <v>0</v>
      </c>
      <c r="E11" s="17" t="str">
        <f aca="false">IFERROR(IF(D11=0,"",AVERAGEIFS('Enter data'!$G$12:$G$91,'Enter data'!$A$12:$A$91,'Enter data'!$B$6,'Enter data'!$C$12:$C$91,'Enter data'!$D$6,'Enter data'!$G$12:$G$91,"&gt;0")),"")</f>
        <v/>
      </c>
      <c r="F11" s="17" t="str">
        <f aca="false">IFERROR(IF(D11&lt;2,"",SQRT(MAX(0,(SUMPRODUCT(('Enter data'!$A$12:$A$91='Enter data'!$B$6)*('Enter data'!$C$12:$C$91='Enter data'!$D$6)*('Enter data'!$G$12:$G$91&gt;0)*'Enter data'!$G$12:$G$91^2)-D11*E11^2)/(D11-1)))),"")</f>
        <v/>
      </c>
    </row>
    <row r="12" customFormat="false" ht="15" hidden="false" customHeight="false" outlineLevel="0" collapsed="false">
      <c r="B12" s="14" t="n">
        <f aca="false">IFERROR('Enter data'!$B$6,"")</f>
        <v>0</v>
      </c>
      <c r="C12" s="15" t="n">
        <f aca="false">IFERROR('Enter data'!$E$6,"")</f>
        <v>0</v>
      </c>
      <c r="D12" s="16" t="n">
        <f aca="false">IFERROR(COUNTIFS('Enter data'!$A$12:$A$91,'Enter data'!$B$6,'Enter data'!$C$12:$C$91,'Enter data'!$E$6,'Enter data'!$G$12:$G$91,"&gt;0"),"")</f>
        <v>0</v>
      </c>
      <c r="E12" s="17" t="str">
        <f aca="false">IFERROR(IF(D12=0,"",AVERAGEIFS('Enter data'!$G$12:$G$91,'Enter data'!$A$12:$A$91,'Enter data'!$B$6,'Enter data'!$C$12:$C$91,'Enter data'!$E$6,'Enter data'!$G$12:$G$91,"&gt;0")),"")</f>
        <v/>
      </c>
      <c r="F12" s="17" t="str">
        <f aca="false">IFERROR(IF(D12&lt;2,"",SQRT(MAX(0,(SUMPRODUCT(('Enter data'!$A$12:$A$91='Enter data'!$B$6)*('Enter data'!$C$12:$C$91='Enter data'!$E$6)*('Enter data'!$G$12:$G$91&gt;0)*'Enter data'!$G$12:$G$91^2)-D12*E12^2)/(D12-1)))),"")</f>
        <v/>
      </c>
    </row>
    <row r="13" customFormat="false" ht="15" hidden="false" customHeight="false" outlineLevel="0" collapsed="false">
      <c r="B13" s="14" t="n">
        <f aca="false">IFERROR('Enter data'!$B$6,"")</f>
        <v>0</v>
      </c>
      <c r="C13" s="15" t="n">
        <f aca="false">IFERROR('Enter data'!$F$6,"")</f>
        <v>0</v>
      </c>
      <c r="D13" s="16" t="n">
        <f aca="false">IFERROR(COUNTIFS('Enter data'!$A$12:$A$91,'Enter data'!$B$6,'Enter data'!$C$12:$C$91,'Enter data'!$F$6,'Enter data'!$G$12:$G$91,"&gt;0"),"")</f>
        <v>0</v>
      </c>
      <c r="E13" s="17" t="str">
        <f aca="false">IFERROR(IF(D13=0,"",AVERAGEIFS('Enter data'!$G$12:$G$91,'Enter data'!$A$12:$A$91,'Enter data'!$B$6,'Enter data'!$C$12:$C$91,'Enter data'!$F$6,'Enter data'!$G$12:$G$91,"&gt;0")),"")</f>
        <v/>
      </c>
      <c r="F13" s="17" t="str">
        <f aca="false">IFERROR(IF(D13&lt;2,"",SQRT(MAX(0,(SUMPRODUCT(('Enter data'!$A$12:$A$91='Enter data'!$B$6)*('Enter data'!$C$12:$C$91='Enter data'!$F$6)*('Enter data'!$G$12:$G$91&gt;0)*'Enter data'!$G$12:$G$91^2)-D13*E13^2)/(D13-1)))),"")</f>
        <v/>
      </c>
    </row>
    <row r="16" customFormat="false" ht="15" hidden="false" customHeight="false" outlineLevel="0" collapsed="false">
      <c r="B16" s="9" t="s">
        <v>42</v>
      </c>
    </row>
    <row r="17" customFormat="false" ht="30" hidden="false" customHeight="true" outlineLevel="0" collapsed="false">
      <c r="B17" s="10" t="s">
        <v>28</v>
      </c>
      <c r="C17" s="10" t="s">
        <v>20</v>
      </c>
      <c r="D17" s="10" t="s">
        <v>21</v>
      </c>
    </row>
    <row r="18" customFormat="false" ht="15" hidden="false" customHeight="false" outlineLevel="0" collapsed="false">
      <c r="B18" s="14" t="n">
        <v>1</v>
      </c>
      <c r="C18" s="18" t="str">
        <f aca="false">IFERROR(IF(SUMIFS('Enter data'!$F$12:$F$91,'Enter data'!$A$12:$A$91,'Enter data'!$A$6,'Enter data'!$B$12:$B$91,1,'Enter data'!$C$12:$C$91,'Enter data'!$F$6)&gt;0,SUMIFS('Enter data'!$F$12:$F$91,'Enter data'!$A$12:$A$91,'Enter data'!$A$6,'Enter data'!$B$12:$B$91,1,'Enter data'!$C$12:$C$91,'Enter data'!$E$6)/SUMIFS('Enter data'!$F$12:$F$91,'Enter data'!$A$12:$A$91,'Enter data'!$A$6,'Enter data'!$B$12:$B$91,1,'Enter data'!$C$12:$C$91,'Enter data'!$F$6),""),"")</f>
        <v/>
      </c>
      <c r="D18" s="18" t="str">
        <f aca="false">IFERROR(IF(SUMIFS('Enter data'!$F$12:$F$91,'Enter data'!$A$12:$A$91,'Enter data'!$B$6,'Enter data'!$B$12:$B$91,1,'Enter data'!$C$12:$C$91,'Enter data'!$F$6)&gt;0,SUMIFS('Enter data'!$F$12:$F$91,'Enter data'!$A$12:$A$91,'Enter data'!$B$6,'Enter data'!$B$12:$B$91,1,'Enter data'!$C$12:$C$91,'Enter data'!$E$6)/SUMIFS('Enter data'!$F$12:$F$91,'Enter data'!$A$12:$A$91,'Enter data'!$B$6,'Enter data'!$B$12:$B$91,1,'Enter data'!$C$12:$C$91,'Enter data'!$F$6),""),"")</f>
        <v/>
      </c>
    </row>
    <row r="19" customFormat="false" ht="15" hidden="false" customHeight="false" outlineLevel="0" collapsed="false">
      <c r="B19" s="14" t="n">
        <v>2</v>
      </c>
      <c r="C19" s="18" t="str">
        <f aca="false">IFERROR(IF(SUMIFS('Enter data'!$F$12:$F$91,'Enter data'!$A$12:$A$91,'Enter data'!$A$6,'Enter data'!$B$12:$B$91,2,'Enter data'!$C$12:$C$91,'Enter data'!$F$6)&gt;0,SUMIFS('Enter data'!$F$12:$F$91,'Enter data'!$A$12:$A$91,'Enter data'!$A$6,'Enter data'!$B$12:$B$91,2,'Enter data'!$C$12:$C$91,'Enter data'!$E$6)/SUMIFS('Enter data'!$F$12:$F$91,'Enter data'!$A$12:$A$91,'Enter data'!$A$6,'Enter data'!$B$12:$B$91,2,'Enter data'!$C$12:$C$91,'Enter data'!$F$6),""),"")</f>
        <v/>
      </c>
      <c r="D19" s="18" t="str">
        <f aca="false">IFERROR(IF(SUMIFS('Enter data'!$F$12:$F$91,'Enter data'!$A$12:$A$91,'Enter data'!$B$6,'Enter data'!$B$12:$B$91,2,'Enter data'!$C$12:$C$91,'Enter data'!$F$6)&gt;0,SUMIFS('Enter data'!$F$12:$F$91,'Enter data'!$A$12:$A$91,'Enter data'!$B$6,'Enter data'!$B$12:$B$91,2,'Enter data'!$C$12:$C$91,'Enter data'!$E$6)/SUMIFS('Enter data'!$F$12:$F$91,'Enter data'!$A$12:$A$91,'Enter data'!$B$6,'Enter data'!$B$12:$B$91,2,'Enter data'!$C$12:$C$91,'Enter data'!$F$6),""),"")</f>
        <v/>
      </c>
    </row>
    <row r="20" customFormat="false" ht="15" hidden="false" customHeight="false" outlineLevel="0" collapsed="false">
      <c r="B20" s="14" t="n">
        <v>3</v>
      </c>
      <c r="C20" s="18" t="str">
        <f aca="false">IFERROR(IF(SUMIFS('Enter data'!$F$12:$F$91,'Enter data'!$A$12:$A$91,'Enter data'!$A$6,'Enter data'!$B$12:$B$91,3,'Enter data'!$C$12:$C$91,'Enter data'!$F$6)&gt;0,SUMIFS('Enter data'!$F$12:$F$91,'Enter data'!$A$12:$A$91,'Enter data'!$A$6,'Enter data'!$B$12:$B$91,3,'Enter data'!$C$12:$C$91,'Enter data'!$E$6)/SUMIFS('Enter data'!$F$12:$F$91,'Enter data'!$A$12:$A$91,'Enter data'!$A$6,'Enter data'!$B$12:$B$91,3,'Enter data'!$C$12:$C$91,'Enter data'!$F$6),""),"")</f>
        <v/>
      </c>
      <c r="D20" s="18" t="str">
        <f aca="false">IFERROR(IF(SUMIFS('Enter data'!$F$12:$F$91,'Enter data'!$A$12:$A$91,'Enter data'!$B$6,'Enter data'!$B$12:$B$91,3,'Enter data'!$C$12:$C$91,'Enter data'!$F$6)&gt;0,SUMIFS('Enter data'!$F$12:$F$91,'Enter data'!$A$12:$A$91,'Enter data'!$B$6,'Enter data'!$B$12:$B$91,3,'Enter data'!$C$12:$C$91,'Enter data'!$E$6)/SUMIFS('Enter data'!$F$12:$F$91,'Enter data'!$A$12:$A$91,'Enter data'!$B$6,'Enter data'!$B$12:$B$91,3,'Enter data'!$C$12:$C$91,'Enter data'!$F$6),""),"")</f>
        <v/>
      </c>
    </row>
    <row r="21" customFormat="false" ht="15" hidden="false" customHeight="false" outlineLevel="0" collapsed="false">
      <c r="B21" s="14" t="n">
        <v>4</v>
      </c>
      <c r="C21" s="18" t="str">
        <f aca="false">IFERROR(IF(SUMIFS('Enter data'!$F$12:$F$91,'Enter data'!$A$12:$A$91,'Enter data'!$A$6,'Enter data'!$B$12:$B$91,4,'Enter data'!$C$12:$C$91,'Enter data'!$F$6)&gt;0,SUMIFS('Enter data'!$F$12:$F$91,'Enter data'!$A$12:$A$91,'Enter data'!$A$6,'Enter data'!$B$12:$B$91,4,'Enter data'!$C$12:$C$91,'Enter data'!$E$6)/SUMIFS('Enter data'!$F$12:$F$91,'Enter data'!$A$12:$A$91,'Enter data'!$A$6,'Enter data'!$B$12:$B$91,4,'Enter data'!$C$12:$C$91,'Enter data'!$F$6),""),"")</f>
        <v/>
      </c>
      <c r="D21" s="18" t="str">
        <f aca="false">IFERROR(IF(SUMIFS('Enter data'!$F$12:$F$91,'Enter data'!$A$12:$A$91,'Enter data'!$B$6,'Enter data'!$B$12:$B$91,4,'Enter data'!$C$12:$C$91,'Enter data'!$F$6)&gt;0,SUMIFS('Enter data'!$F$12:$F$91,'Enter data'!$A$12:$A$91,'Enter data'!$B$6,'Enter data'!$B$12:$B$91,4,'Enter data'!$C$12:$C$91,'Enter data'!$E$6)/SUMIFS('Enter data'!$F$12:$F$91,'Enter data'!$A$12:$A$91,'Enter data'!$B$6,'Enter data'!$B$12:$B$91,4,'Enter data'!$C$12:$C$91,'Enter data'!$F$6),""),"")</f>
        <v/>
      </c>
    </row>
    <row r="22" customFormat="false" ht="15" hidden="false" customHeight="false" outlineLevel="0" collapsed="false">
      <c r="B22" s="14" t="n">
        <v>5</v>
      </c>
      <c r="C22" s="18" t="str">
        <f aca="false">IFERROR(IF(SUMIFS('Enter data'!$F$12:$F$91,'Enter data'!$A$12:$A$91,'Enter data'!$A$6,'Enter data'!$B$12:$B$91,5,'Enter data'!$C$12:$C$91,'Enter data'!$F$6)&gt;0,SUMIFS('Enter data'!$F$12:$F$91,'Enter data'!$A$12:$A$91,'Enter data'!$A$6,'Enter data'!$B$12:$B$91,5,'Enter data'!$C$12:$C$91,'Enter data'!$E$6)/SUMIFS('Enter data'!$F$12:$F$91,'Enter data'!$A$12:$A$91,'Enter data'!$A$6,'Enter data'!$B$12:$B$91,5,'Enter data'!$C$12:$C$91,'Enter data'!$F$6),""),"")</f>
        <v/>
      </c>
      <c r="D22" s="18" t="str">
        <f aca="false">IFERROR(IF(SUMIFS('Enter data'!$F$12:$F$91,'Enter data'!$A$12:$A$91,'Enter data'!$B$6,'Enter data'!$B$12:$B$91,5,'Enter data'!$C$12:$C$91,'Enter data'!$F$6)&gt;0,SUMIFS('Enter data'!$F$12:$F$91,'Enter data'!$A$12:$A$91,'Enter data'!$B$6,'Enter data'!$B$12:$B$91,5,'Enter data'!$C$12:$C$91,'Enter data'!$E$6)/SUMIFS('Enter data'!$F$12:$F$91,'Enter data'!$A$12:$A$91,'Enter data'!$B$6,'Enter data'!$B$12:$B$91,5,'Enter data'!$C$12:$C$91,'Enter data'!$F$6),""),"")</f>
        <v/>
      </c>
    </row>
    <row r="23" customFormat="false" ht="15" hidden="false" customHeight="false" outlineLevel="0" collapsed="false">
      <c r="B23" s="14" t="n">
        <v>6</v>
      </c>
      <c r="C23" s="18" t="str">
        <f aca="false">IFERROR(IF(SUMIFS('Enter data'!$F$12:$F$91,'Enter data'!$A$12:$A$91,'Enter data'!$A$6,'Enter data'!$B$12:$B$91,6,'Enter data'!$C$12:$C$91,'Enter data'!$F$6)&gt;0,SUMIFS('Enter data'!$F$12:$F$91,'Enter data'!$A$12:$A$91,'Enter data'!$A$6,'Enter data'!$B$12:$B$91,6,'Enter data'!$C$12:$C$91,'Enter data'!$E$6)/SUMIFS('Enter data'!$F$12:$F$91,'Enter data'!$A$12:$A$91,'Enter data'!$A$6,'Enter data'!$B$12:$B$91,6,'Enter data'!$C$12:$C$91,'Enter data'!$F$6),""),"")</f>
        <v/>
      </c>
      <c r="D23" s="18" t="str">
        <f aca="false">IFERROR(IF(SUMIFS('Enter data'!$F$12:$F$91,'Enter data'!$A$12:$A$91,'Enter data'!$B$6,'Enter data'!$B$12:$B$91,6,'Enter data'!$C$12:$C$91,'Enter data'!$F$6)&gt;0,SUMIFS('Enter data'!$F$12:$F$91,'Enter data'!$A$12:$A$91,'Enter data'!$B$6,'Enter data'!$B$12:$B$91,6,'Enter data'!$C$12:$C$91,'Enter data'!$E$6)/SUMIFS('Enter data'!$F$12:$F$91,'Enter data'!$A$12:$A$91,'Enter data'!$B$6,'Enter data'!$B$12:$B$91,6,'Enter data'!$C$12:$C$91,'Enter data'!$F$6),""),"")</f>
        <v/>
      </c>
    </row>
    <row r="24" customFormat="false" ht="15" hidden="false" customHeight="false" outlineLevel="0" collapsed="false">
      <c r="B24" s="14" t="n">
        <v>7</v>
      </c>
      <c r="C24" s="18" t="str">
        <f aca="false">IFERROR(IF(SUMIFS('Enter data'!$F$12:$F$91,'Enter data'!$A$12:$A$91,'Enter data'!$A$6,'Enter data'!$B$12:$B$91,7,'Enter data'!$C$12:$C$91,'Enter data'!$F$6)&gt;0,SUMIFS('Enter data'!$F$12:$F$91,'Enter data'!$A$12:$A$91,'Enter data'!$A$6,'Enter data'!$B$12:$B$91,7,'Enter data'!$C$12:$C$91,'Enter data'!$E$6)/SUMIFS('Enter data'!$F$12:$F$91,'Enter data'!$A$12:$A$91,'Enter data'!$A$6,'Enter data'!$B$12:$B$91,7,'Enter data'!$C$12:$C$91,'Enter data'!$F$6),""),"")</f>
        <v/>
      </c>
      <c r="D24" s="18" t="str">
        <f aca="false">IFERROR(IF(SUMIFS('Enter data'!$F$12:$F$91,'Enter data'!$A$12:$A$91,'Enter data'!$B$6,'Enter data'!$B$12:$B$91,7,'Enter data'!$C$12:$C$91,'Enter data'!$F$6)&gt;0,SUMIFS('Enter data'!$F$12:$F$91,'Enter data'!$A$12:$A$91,'Enter data'!$B$6,'Enter data'!$B$12:$B$91,7,'Enter data'!$C$12:$C$91,'Enter data'!$E$6)/SUMIFS('Enter data'!$F$12:$F$91,'Enter data'!$A$12:$A$91,'Enter data'!$B$6,'Enter data'!$B$12:$B$91,7,'Enter data'!$C$12:$C$91,'Enter data'!$F$6),""),"")</f>
        <v/>
      </c>
    </row>
    <row r="25" customFormat="false" ht="15" hidden="false" customHeight="false" outlineLevel="0" collapsed="false">
      <c r="B25" s="14" t="n">
        <v>8</v>
      </c>
      <c r="C25" s="18" t="str">
        <f aca="false">IFERROR(IF(SUMIFS('Enter data'!$F$12:$F$91,'Enter data'!$A$12:$A$91,'Enter data'!$A$6,'Enter data'!$B$12:$B$91,8,'Enter data'!$C$12:$C$91,'Enter data'!$F$6)&gt;0,SUMIFS('Enter data'!$F$12:$F$91,'Enter data'!$A$12:$A$91,'Enter data'!$A$6,'Enter data'!$B$12:$B$91,8,'Enter data'!$C$12:$C$91,'Enter data'!$E$6)/SUMIFS('Enter data'!$F$12:$F$91,'Enter data'!$A$12:$A$91,'Enter data'!$A$6,'Enter data'!$B$12:$B$91,8,'Enter data'!$C$12:$C$91,'Enter data'!$F$6),""),"")</f>
        <v/>
      </c>
      <c r="D25" s="18" t="str">
        <f aca="false">IFERROR(IF(SUMIFS('Enter data'!$F$12:$F$91,'Enter data'!$A$12:$A$91,'Enter data'!$B$6,'Enter data'!$B$12:$B$91,8,'Enter data'!$C$12:$C$91,'Enter data'!$F$6)&gt;0,SUMIFS('Enter data'!$F$12:$F$91,'Enter data'!$A$12:$A$91,'Enter data'!$B$6,'Enter data'!$B$12:$B$91,8,'Enter data'!$C$12:$C$91,'Enter data'!$E$6)/SUMIFS('Enter data'!$F$12:$F$91,'Enter data'!$A$12:$A$91,'Enter data'!$B$6,'Enter data'!$B$12:$B$91,8,'Enter data'!$C$12:$C$91,'Enter data'!$F$6),""),"")</f>
        <v/>
      </c>
    </row>
    <row r="28" customFormat="false" ht="15" hidden="false" customHeight="false" outlineLevel="0" collapsed="false">
      <c r="B28" s="9" t="s">
        <v>43</v>
      </c>
    </row>
    <row r="29" customFormat="false" ht="30" hidden="false" customHeight="true" outlineLevel="0" collapsed="false">
      <c r="B29" s="10" t="s">
        <v>44</v>
      </c>
      <c r="C29" s="10" t="s">
        <v>45</v>
      </c>
      <c r="D29" s="10" t="s">
        <v>46</v>
      </c>
      <c r="E29" s="10" t="s">
        <v>41</v>
      </c>
      <c r="F29" s="10" t="s">
        <v>47</v>
      </c>
      <c r="G29" s="10" t="s">
        <v>48</v>
      </c>
      <c r="H29" s="10" t="s">
        <v>49</v>
      </c>
    </row>
    <row r="30" customFormat="false" ht="15" hidden="false" customHeight="false" outlineLevel="0" collapsed="false">
      <c r="B30" s="14" t="n">
        <f aca="false">IFERROR('Enter data'!$A$6,"")</f>
        <v>0</v>
      </c>
      <c r="C30" s="16" t="n">
        <f aca="false">IFERROR(COUNT($C$18:$C$25),"")</f>
        <v>0</v>
      </c>
      <c r="D30" s="17" t="str">
        <f aca="false">IFERROR(AVERAGE($C$18:$C$25),"")</f>
        <v/>
      </c>
      <c r="E30" s="17" t="str">
        <f aca="false">IFERROR(STDEV($C$18:$C$25),"")</f>
        <v/>
      </c>
      <c r="F30" s="17" t="str">
        <f aca="false">IFERROR(STDEV($C$18:$C$25)/SQRT(COUNT($C$18:$C$25)),"")</f>
        <v/>
      </c>
      <c r="G30" s="17" t="n">
        <f aca="false">IFERROR(MIN($C$18:$C$25),"")</f>
        <v>0</v>
      </c>
      <c r="H30" s="17" t="n">
        <f aca="false">IFERROR(MAX($C$18:$C$25),"")</f>
        <v>0</v>
      </c>
    </row>
    <row r="31" customFormat="false" ht="15" hidden="false" customHeight="false" outlineLevel="0" collapsed="false">
      <c r="B31" s="14" t="n">
        <f aca="false">IFERROR('Enter data'!$B$6,"")</f>
        <v>0</v>
      </c>
      <c r="C31" s="16" t="n">
        <f aca="false">IFERROR(COUNT($D$18:$D$25),"")</f>
        <v>0</v>
      </c>
      <c r="D31" s="17" t="str">
        <f aca="false">IFERROR(AVERAGE($D$18:$D$25),"")</f>
        <v/>
      </c>
      <c r="E31" s="17" t="str">
        <f aca="false">IFERROR(STDEV($D$18:$D$25),"")</f>
        <v/>
      </c>
      <c r="F31" s="17" t="str">
        <f aca="false">IFERROR(STDEV($D$18:$D$25)/SQRT(COUNT($D$18:$D$25)),"")</f>
        <v/>
      </c>
      <c r="G31" s="17" t="n">
        <f aca="false">IFERROR(MIN($D$18:$D$25),"")</f>
        <v>0</v>
      </c>
      <c r="H31" s="17" t="n">
        <f aca="false">IFERROR(MAX($D$18:$D$25),"")</f>
        <v>0</v>
      </c>
    </row>
    <row r="34" customFormat="false" ht="15" hidden="false" customHeight="false" outlineLevel="0" collapsed="false">
      <c r="B34" s="9" t="s">
        <v>50</v>
      </c>
    </row>
    <row r="35" customFormat="false" ht="15" hidden="false" customHeight="false" outlineLevel="0" collapsed="false">
      <c r="B35" s="19" t="s">
        <v>51</v>
      </c>
      <c r="C35" s="20" t="str">
        <f aca="false">IFERROR($D$30-$D$31,"")</f>
        <v/>
      </c>
    </row>
    <row r="36" customFormat="false" ht="15" hidden="false" customHeight="false" outlineLevel="0" collapsed="false">
      <c r="B36" s="19" t="s">
        <v>52</v>
      </c>
      <c r="C36" s="20" t="str">
        <f aca="false">IFERROR(SQRT($F$30^2+$F$31^2),"")</f>
        <v/>
      </c>
    </row>
    <row r="37" customFormat="false" ht="15" hidden="false" customHeight="false" outlineLevel="0" collapsed="false">
      <c r="B37" s="19" t="s">
        <v>53</v>
      </c>
      <c r="C37" s="21" t="str">
        <f aca="false">IFERROR((($E$30^2/$C$30+$E$31^2/$C$31)^2/(($E$30^2/$C$30)^2/($C$30-1)+($E$31^2/$C$31)^2/($C$31-1))),"")</f>
        <v/>
      </c>
    </row>
    <row r="38" customFormat="false" ht="15" hidden="false" customHeight="false" outlineLevel="0" collapsed="false">
      <c r="B38" s="19" t="s">
        <v>54</v>
      </c>
      <c r="C38" s="22" t="str">
        <f aca="false">IFERROR(TTEST($C$18:$C$25,$D$18:$D$25,2,3),"")</f>
        <v/>
      </c>
    </row>
    <row r="39" customFormat="false" ht="15" hidden="false" customHeight="false" outlineLevel="0" collapsed="false">
      <c r="B39" s="19" t="s">
        <v>55</v>
      </c>
      <c r="C39" s="20" t="str">
        <f aca="false">IFERROR($C$35-TINV(0.05,$C$37)*$C$36,"")</f>
        <v/>
      </c>
    </row>
    <row r="40" customFormat="false" ht="15" hidden="false" customHeight="false" outlineLevel="0" collapsed="false">
      <c r="B40" s="19" t="s">
        <v>56</v>
      </c>
      <c r="C40" s="20" t="str">
        <f aca="false">IFERROR($C$35+TINV(0.05,$C$37)*$C$36,"")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2026-10-01T00:32:08Z</dcterms:modified>
  <cp:revision>0</cp:revision>
  <dc:subject/>
  <dc:title>BOT-03 Photosynthetic pigments by paper chromatography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