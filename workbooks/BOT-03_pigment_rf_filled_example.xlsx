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nter data" sheetId="2" state="visible" r:id="rId4"/>
    <sheet name="Resul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<sst xmlns="http://schemas.openxmlformats.org/spreadsheetml/2006/main" count="133" uniqueCount="61">
  <si>
    <t xml:space="preserve">BOT-03  Photosynthetic pigments by paper chromatography</t>
  </si>
  <si>
    <t xml:space="preserve">Excel version of the card. It does the same calculations as the R script bot03_pigment_rf.R.</t>
  </si>
  <si>
    <t xml:space="preserve">How to use this workbook</t>
  </si>
  <si>
    <t xml:space="preserve">1.  Go to the 'Enter data' sheet. Type only in the yellow cells with blue text. Grey cells are calculated for you.</t>
  </si>
  <si>
    <t xml:space="preserve">2.  Fill the blocks that apply. Leave rows you did not use empty. The grey italic row above each table is an example of the format and is not used.</t>
  </si>
  <si>
    <t xml:space="preserve">3.  Open the 'Results' sheet. Everything there is calculated. Yellow cells on that sheet are settings you may change.</t>
  </si>
  <si>
    <t xml:space="preserve">What the colours mean</t>
  </si>
  <si>
    <t xml:space="preserve">Yellow cell, blue text:  you type here.</t>
  </si>
  <si>
    <t xml:space="preserve">Grey cell:  a formula. Sheets are protected without a password so formulas are not overwritten by accident (Review &gt; Unprotect Sheet).</t>
  </si>
  <si>
    <t xml:space="preserve">Assumptions and sources</t>
  </si>
  <si>
    <t xml:space="preserve">Rf = distance from the origin to the band centre / distance from the origin to the solvent front. Expected order from the top: carotene, xanthophyll, chlorophyll a, chlorophyll b.</t>
  </si>
  <si>
    <t xml:space="preserve">Darkness is a rough index read from a photograph (0 to 255, higher = darker). It is not linear in pigment amount: compare bands within a sheet only.</t>
  </si>
  <si>
    <t xml:space="preserve">Type the leaf-type names and band names in the names block exactly as you type them in the table. Chlorophyll a must be band 3 and chlorophyll b band 4.</t>
  </si>
  <si>
    <t xml:space="preserve">Differences from the R script on the card</t>
  </si>
  <si>
    <t xml:space="preserve">The R script tests the a:b darkness ratio with a Welch t test as here; it also lists the Rf order automatically.</t>
  </si>
  <si>
    <t xml:space="preserve">Practice data in the filled example were invented for the card. They are not real measurements.</t>
  </si>
  <si>
    <t xml:space="preserve">Compiled by Emmanuel G. Lozano, Department of Biology, College of Arts and Sciences, Pampanga State University. Original material is licensed CC BY-NC 4.0: credit required, non-commercial use only.</t>
  </si>
  <si>
    <t xml:space="preserve">Enter your data</t>
  </si>
  <si>
    <t xml:space="preserve">Type only in yellow cells. Leave unused rows empty.</t>
  </si>
  <si>
    <t xml:space="preserve">1. Names</t>
  </si>
  <si>
    <t xml:space="preserve">Leaf type 1</t>
  </si>
  <si>
    <t xml:space="preserve">Leaf type 2</t>
  </si>
  <si>
    <t xml:space="preserve">Band 1</t>
  </si>
  <si>
    <t xml:space="preserve">Band 2</t>
  </si>
  <si>
    <t xml:space="preserve">Band 3 (chlorophyll a)</t>
  </si>
  <si>
    <t xml:space="preserve">Band 4 (chlorophyll b)</t>
  </si>
  <si>
    <t xml:space="preserve">sun_leaf</t>
  </si>
  <si>
    <t xml:space="preserve">shade_leaf</t>
  </si>
  <si>
    <t xml:space="preserve">carotene</t>
  </si>
  <si>
    <t xml:space="preserve">xanthophyll</t>
  </si>
  <si>
    <t xml:space="preserve">chlorophyll a</t>
  </si>
  <si>
    <t xml:space="preserve">chlorophyll b</t>
  </si>
  <si>
    <t xml:space="preserve">2. Bands (one row per band per strip)</t>
  </si>
  <si>
    <t xml:space="preserve">Leaf type</t>
  </si>
  <si>
    <t xml:space="preserve">Run</t>
  </si>
  <si>
    <t xml:space="preserve">Band</t>
  </si>
  <si>
    <t xml:space="preserve">Distance origin to band (cm)</t>
  </si>
  <si>
    <t xml:space="preserve">Distance origin to front (cm)</t>
  </si>
  <si>
    <t xml:space="preserve">Darkness (0 to 255)</t>
  </si>
  <si>
    <t xml:space="preserve">Rf</t>
  </si>
  <si>
    <t xml:space="preserve">Results</t>
  </si>
  <si>
    <t xml:space="preserve">Everything on this sheet is calculated. Change only the yellow settings.</t>
  </si>
  <si>
    <t xml:space="preserve">Rf values</t>
  </si>
  <si>
    <t xml:space="preserve">Strips</t>
  </si>
  <si>
    <t xml:space="preserve">Mean Rf</t>
  </si>
  <si>
    <t xml:space="preserve">SD</t>
  </si>
  <si>
    <t xml:space="preserve">Chlorophyll a to b darkness ratio by run</t>
  </si>
  <si>
    <t xml:space="preserve">Mean a:b darkness ratio by leaf type</t>
  </si>
  <si>
    <t xml:space="preserve">Group</t>
  </si>
  <si>
    <t xml:space="preserve">n</t>
  </si>
  <si>
    <t xml:space="preserve">Mean</t>
  </si>
  <si>
    <t xml:space="preserve">SE</t>
  </si>
  <si>
    <t xml:space="preserve">Min</t>
  </si>
  <si>
    <t xml:space="preserve">Max</t>
  </si>
  <si>
    <t xml:space="preserve">Comparison of the two groups (Welch t test)</t>
  </si>
  <si>
    <t xml:space="preserve">Difference in means (group 1 minus group 2)</t>
  </si>
  <si>
    <t xml:space="preserve">Standard error of the difference</t>
  </si>
  <si>
    <t xml:space="preserve">Degrees of freedom (Welch)</t>
  </si>
  <si>
    <t xml:space="preserve">p value (two-sided)</t>
  </si>
  <si>
    <t xml:space="preserve">95% interval for the difference, lower</t>
  </si>
  <si>
    <t xml:space="preserve">95% interval for the difference, upper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</si>
</sst>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0;\-0.000;;@"/>
    <numFmt numFmtId="166" formatCode="0"/>
    <numFmt numFmtId="167" formatCode="0.000"/>
    <numFmt numFmtId="168" formatCode="0.00"/>
    <numFmt numFmtId="169" formatCode="0.0"/>
    <numFmt numFmtId="170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2" t="s">
        <v>3</v>
      </c>
    </row>
    <row r="6" customFormat="false" ht="23.85" hidden="false" customHeight="false" outlineLevel="0" collapsed="false">
      <c r="B6" s="2" t="s">
        <v>4</v>
      </c>
    </row>
    <row r="7" customFormat="false" ht="15" hidden="false" customHeight="false" outlineLevel="0" collapsed="false">
      <c r="B7" s="2" t="s">
        <v>5</v>
      </c>
    </row>
    <row r="8" customFormat="false" ht="15" hidden="false" customHeight="false" outlineLevel="0" collapsed="false">
      <c r="B8" s="2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2"/>
    </row>
    <row r="13" customFormat="false" ht="15" hidden="false" customHeight="false" outlineLevel="0" collapsed="false">
      <c r="B13" s="3" t="s">
        <v>9</v>
      </c>
    </row>
    <row r="14" customFormat="false" ht="23.85" hidden="false" customHeight="false" outlineLevel="0" collapsed="false">
      <c r="B14" s="2" t="s">
        <v>10</v>
      </c>
    </row>
    <row r="15" customFormat="false" ht="23.85" hidden="false" customHeight="false" outlineLevel="0" collapsed="false">
      <c r="B15" s="2" t="s">
        <v>11</v>
      </c>
    </row>
    <row r="16" customFormat="false" ht="23.8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/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15" hidden="false" customHeight="false" outlineLevel="0" collapsed="false">
      <c r="B21" s="6" t="s">
        <v>15</v>
      </c>
    </row>
    <row r="22" customFormat="false" ht="15" hidden="false" customHeight="false" outlineLevel="0" collapsed="false">
      <c r="B22" s="2"/>
    </row>
    <row r="23" customFormat="false" ht="22.35" hidden="false" customHeight="false" outlineLevel="0" collapsed="false">
      <c r="B23" s="6" t="s">
        <v>16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2" min="2" style="0" width="21"/>
  </cols>
  <sheetData>
    <row r="1" customFormat="false" ht="17.35" hidden="false" customHeight="false" outlineLevel="0" collapsed="false">
      <c r="A1" s="7" t="s">
        <v>17</v>
      </c>
    </row>
    <row r="2" customFormat="false" ht="15" hidden="false" customHeight="false" outlineLevel="0" collapsed="false">
      <c r="A2" s="8" t="s">
        <v>18</v>
      </c>
    </row>
    <row r="4" customFormat="false" ht="15" hidden="false" customHeight="false" outlineLevel="0" collapsed="false">
      <c r="A4" s="9" t="s">
        <v>19</v>
      </c>
    </row>
    <row r="5" customFormat="false" ht="31.5" hidden="false" customHeight="true" outlineLevel="0" collapsed="false">
      <c r="A5" s="10" t="s">
        <v>20</v>
      </c>
      <c r="B5" s="10" t="s">
        <v>21</v>
      </c>
      <c r="C5" s="10" t="s">
        <v>22</v>
      </c>
      <c r="D5" s="10" t="s">
        <v>23</v>
      </c>
      <c r="E5" s="10" t="s">
        <v>24</v>
      </c>
      <c r="F5" s="10" t="s">
        <v>25</v>
      </c>
    </row>
    <row r="6" customFormat="false" ht="15" hidden="false" customHeight="false" outlineLevel="0" collapsed="false">
      <c r="A6" s="11" t="s">
        <v>26</v>
      </c>
      <c r="B6" s="11" t="s">
        <v>27</v>
      </c>
      <c r="C6" s="11" t="s">
        <v>28</v>
      </c>
      <c r="D6" s="11" t="s">
        <v>29</v>
      </c>
      <c r="E6" s="11" t="s">
        <v>30</v>
      </c>
      <c r="F6" s="11" t="s">
        <v>31</v>
      </c>
    </row>
    <row r="9" customFormat="false" ht="15" hidden="false" customHeight="false" outlineLevel="0" collapsed="false">
      <c r="A9" s="9" t="s">
        <v>32</v>
      </c>
    </row>
    <row r="10" customFormat="false" ht="31.5" hidden="false" customHeight="true" outlineLevel="0" collapsed="false">
      <c r="A10" s="10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  <c r="F10" s="10" t="s">
        <v>38</v>
      </c>
      <c r="G10" s="10" t="s">
        <v>39</v>
      </c>
    </row>
    <row r="11" customFormat="false" ht="15" hidden="false" customHeight="false" outlineLevel="0" collapsed="false">
      <c r="A11" s="12" t="s">
        <v>26</v>
      </c>
      <c r="B11" s="12" t="n">
        <v>1</v>
      </c>
      <c r="C11" s="12" t="s">
        <v>28</v>
      </c>
      <c r="D11" s="12" t="n">
        <v>8.4</v>
      </c>
      <c r="E11" s="12" t="n">
        <v>9</v>
      </c>
      <c r="F11" s="12" t="n">
        <v>60</v>
      </c>
    </row>
    <row r="12" customFormat="false" ht="15" hidden="false" customHeight="false" outlineLevel="0" collapsed="false">
      <c r="A12" s="11" t="s">
        <v>26</v>
      </c>
      <c r="B12" s="11" t="n">
        <v>1</v>
      </c>
      <c r="C12" s="11" t="s">
        <v>28</v>
      </c>
      <c r="D12" s="11" t="n">
        <v>7.85</v>
      </c>
      <c r="E12" s="11" t="n">
        <v>8.59</v>
      </c>
      <c r="F12" s="11" t="n">
        <v>63</v>
      </c>
      <c r="G12" s="13" t="n">
        <f aca="false">IF(AND(ISNUMBER(D12),ISNUMBER(E12)),D12/E12,0)</f>
        <v>0.913853317811409</v>
      </c>
    </row>
    <row r="13" customFormat="false" ht="15" hidden="false" customHeight="false" outlineLevel="0" collapsed="false">
      <c r="A13" s="11" t="s">
        <v>26</v>
      </c>
      <c r="B13" s="11" t="n">
        <v>1</v>
      </c>
      <c r="C13" s="11" t="s">
        <v>29</v>
      </c>
      <c r="D13" s="11" t="n">
        <v>5.08</v>
      </c>
      <c r="E13" s="11" t="n">
        <v>8.59</v>
      </c>
      <c r="F13" s="11" t="n">
        <v>77</v>
      </c>
      <c r="G13" s="13" t="n">
        <f aca="false">IF(AND(ISNUMBER(D13),ISNUMBER(E13)),D13/E13,0)</f>
        <v>0.591385331781141</v>
      </c>
    </row>
    <row r="14" customFormat="false" ht="15" hidden="false" customHeight="false" outlineLevel="0" collapsed="false">
      <c r="A14" s="11" t="s">
        <v>26</v>
      </c>
      <c r="B14" s="11" t="n">
        <v>1</v>
      </c>
      <c r="C14" s="11" t="s">
        <v>30</v>
      </c>
      <c r="D14" s="11" t="n">
        <v>3.41</v>
      </c>
      <c r="E14" s="11" t="n">
        <v>8.59</v>
      </c>
      <c r="F14" s="11" t="n">
        <v>158</v>
      </c>
      <c r="G14" s="13" t="n">
        <f aca="false">IF(AND(ISNUMBER(D14),ISNUMBER(E14)),D14/E14,0)</f>
        <v>0.39697322467986</v>
      </c>
    </row>
    <row r="15" customFormat="false" ht="15" hidden="false" customHeight="false" outlineLevel="0" collapsed="false">
      <c r="A15" s="11" t="s">
        <v>26</v>
      </c>
      <c r="B15" s="11" t="n">
        <v>1</v>
      </c>
      <c r="C15" s="11" t="s">
        <v>31</v>
      </c>
      <c r="D15" s="11" t="n">
        <v>2.55</v>
      </c>
      <c r="E15" s="11" t="n">
        <v>8.59</v>
      </c>
      <c r="F15" s="11" t="n">
        <v>48</v>
      </c>
      <c r="G15" s="13" t="n">
        <f aca="false">IF(AND(ISNUMBER(D15),ISNUMBER(E15)),D15/E15,0)</f>
        <v>0.29685681024447</v>
      </c>
    </row>
    <row r="16" customFormat="false" ht="15" hidden="false" customHeight="false" outlineLevel="0" collapsed="false">
      <c r="A16" s="11" t="s">
        <v>26</v>
      </c>
      <c r="B16" s="11" t="n">
        <v>2</v>
      </c>
      <c r="C16" s="11" t="s">
        <v>28</v>
      </c>
      <c r="D16" s="11" t="n">
        <v>8.21</v>
      </c>
      <c r="E16" s="11" t="n">
        <v>8.61</v>
      </c>
      <c r="F16" s="11" t="n">
        <v>58</v>
      </c>
      <c r="G16" s="13" t="n">
        <f aca="false">IF(AND(ISNUMBER(D16),ISNUMBER(E16)),D16/E16,0)</f>
        <v>0.953542392566783</v>
      </c>
    </row>
    <row r="17" customFormat="false" ht="15" hidden="false" customHeight="false" outlineLevel="0" collapsed="false">
      <c r="A17" s="11" t="s">
        <v>26</v>
      </c>
      <c r="B17" s="11" t="n">
        <v>2</v>
      </c>
      <c r="C17" s="11" t="s">
        <v>29</v>
      </c>
      <c r="D17" s="11" t="n">
        <v>5.13</v>
      </c>
      <c r="E17" s="11" t="n">
        <v>8.61</v>
      </c>
      <c r="F17" s="11" t="n">
        <v>76</v>
      </c>
      <c r="G17" s="13" t="n">
        <f aca="false">IF(AND(ISNUMBER(D17),ISNUMBER(E17)),D17/E17,0)</f>
        <v>0.59581881533101</v>
      </c>
    </row>
    <row r="18" customFormat="false" ht="15" hidden="false" customHeight="false" outlineLevel="0" collapsed="false">
      <c r="A18" s="11" t="s">
        <v>26</v>
      </c>
      <c r="B18" s="11" t="n">
        <v>2</v>
      </c>
      <c r="C18" s="11" t="s">
        <v>30</v>
      </c>
      <c r="D18" s="11" t="n">
        <v>3.32</v>
      </c>
      <c r="E18" s="11" t="n">
        <v>8.61</v>
      </c>
      <c r="F18" s="11" t="n">
        <v>168</v>
      </c>
      <c r="G18" s="13" t="n">
        <f aca="false">IF(AND(ISNUMBER(D18),ISNUMBER(E18)),D18/E18,0)</f>
        <v>0.385598141695703</v>
      </c>
    </row>
    <row r="19" customFormat="false" ht="15" hidden="false" customHeight="false" outlineLevel="0" collapsed="false">
      <c r="A19" s="11" t="s">
        <v>26</v>
      </c>
      <c r="B19" s="11" t="n">
        <v>2</v>
      </c>
      <c r="C19" s="11" t="s">
        <v>31</v>
      </c>
      <c r="D19" s="11" t="n">
        <v>2.64</v>
      </c>
      <c r="E19" s="11" t="n">
        <v>8.61</v>
      </c>
      <c r="F19" s="11" t="n">
        <v>52</v>
      </c>
      <c r="G19" s="13" t="n">
        <f aca="false">IF(AND(ISNUMBER(D19),ISNUMBER(E19)),D19/E19,0)</f>
        <v>0.306620209059234</v>
      </c>
    </row>
    <row r="20" customFormat="false" ht="15" hidden="false" customHeight="false" outlineLevel="0" collapsed="false">
      <c r="A20" s="11" t="s">
        <v>26</v>
      </c>
      <c r="B20" s="11" t="n">
        <v>3</v>
      </c>
      <c r="C20" s="11" t="s">
        <v>28</v>
      </c>
      <c r="D20" s="11" t="n">
        <v>8.71</v>
      </c>
      <c r="E20" s="11" t="n">
        <v>9.2</v>
      </c>
      <c r="F20" s="11" t="n">
        <v>60</v>
      </c>
      <c r="G20" s="13" t="n">
        <f aca="false">IF(AND(ISNUMBER(D20),ISNUMBER(E20)),D20/E20,0)</f>
        <v>0.946739130434783</v>
      </c>
    </row>
    <row r="21" customFormat="false" ht="15" hidden="false" customHeight="false" outlineLevel="0" collapsed="false">
      <c r="A21" s="11" t="s">
        <v>26</v>
      </c>
      <c r="B21" s="11" t="n">
        <v>3</v>
      </c>
      <c r="C21" s="11" t="s">
        <v>29</v>
      </c>
      <c r="D21" s="11" t="n">
        <v>5.7</v>
      </c>
      <c r="E21" s="11" t="n">
        <v>9.2</v>
      </c>
      <c r="F21" s="11" t="n">
        <v>83</v>
      </c>
      <c r="G21" s="13" t="n">
        <f aca="false">IF(AND(ISNUMBER(D21),ISNUMBER(E21)),D21/E21,0)</f>
        <v>0.619565217391304</v>
      </c>
    </row>
    <row r="22" customFormat="false" ht="15" hidden="false" customHeight="false" outlineLevel="0" collapsed="false">
      <c r="A22" s="11" t="s">
        <v>26</v>
      </c>
      <c r="B22" s="11" t="n">
        <v>3</v>
      </c>
      <c r="C22" s="11" t="s">
        <v>30</v>
      </c>
      <c r="D22" s="11" t="n">
        <v>3.62</v>
      </c>
      <c r="E22" s="11" t="n">
        <v>9.2</v>
      </c>
      <c r="F22" s="11" t="n">
        <v>169</v>
      </c>
      <c r="G22" s="13" t="n">
        <f aca="false">IF(AND(ISNUMBER(D22),ISNUMBER(E22)),D22/E22,0)</f>
        <v>0.393478260869565</v>
      </c>
    </row>
    <row r="23" customFormat="false" ht="15" hidden="false" customHeight="false" outlineLevel="0" collapsed="false">
      <c r="A23" s="11" t="s">
        <v>26</v>
      </c>
      <c r="B23" s="11" t="n">
        <v>3</v>
      </c>
      <c r="C23" s="11" t="s">
        <v>31</v>
      </c>
      <c r="D23" s="11" t="n">
        <v>2.82</v>
      </c>
      <c r="E23" s="11" t="n">
        <v>9.2</v>
      </c>
      <c r="F23" s="11" t="n">
        <v>65</v>
      </c>
      <c r="G23" s="13" t="n">
        <f aca="false">IF(AND(ISNUMBER(D23),ISNUMBER(E23)),D23/E23,0)</f>
        <v>0.306521739130435</v>
      </c>
    </row>
    <row r="24" customFormat="false" ht="15" hidden="false" customHeight="false" outlineLevel="0" collapsed="false">
      <c r="A24" s="11" t="s">
        <v>26</v>
      </c>
      <c r="B24" s="11" t="n">
        <v>4</v>
      </c>
      <c r="C24" s="11" t="s">
        <v>28</v>
      </c>
      <c r="D24" s="11" t="n">
        <v>8.78</v>
      </c>
      <c r="E24" s="11" t="n">
        <v>9.27</v>
      </c>
      <c r="F24" s="11" t="n">
        <v>66</v>
      </c>
      <c r="G24" s="13" t="n">
        <f aca="false">IF(AND(ISNUMBER(D24),ISNUMBER(E24)),D24/E24,0)</f>
        <v>0.947141316073355</v>
      </c>
    </row>
    <row r="25" customFormat="false" ht="15" hidden="false" customHeight="false" outlineLevel="0" collapsed="false">
      <c r="A25" s="11" t="s">
        <v>26</v>
      </c>
      <c r="B25" s="11" t="n">
        <v>4</v>
      </c>
      <c r="C25" s="11" t="s">
        <v>29</v>
      </c>
      <c r="D25" s="11" t="n">
        <v>5.46</v>
      </c>
      <c r="E25" s="11" t="n">
        <v>9.27</v>
      </c>
      <c r="F25" s="11" t="n">
        <v>78</v>
      </c>
      <c r="G25" s="13" t="n">
        <f aca="false">IF(AND(ISNUMBER(D25),ISNUMBER(E25)),D25/E25,0)</f>
        <v>0.588996763754045</v>
      </c>
    </row>
    <row r="26" customFormat="false" ht="15" hidden="false" customHeight="false" outlineLevel="0" collapsed="false">
      <c r="A26" s="11" t="s">
        <v>26</v>
      </c>
      <c r="B26" s="11" t="n">
        <v>4</v>
      </c>
      <c r="C26" s="11" t="s">
        <v>30</v>
      </c>
      <c r="D26" s="11" t="n">
        <v>3.82</v>
      </c>
      <c r="E26" s="11" t="n">
        <v>9.27</v>
      </c>
      <c r="F26" s="11" t="n">
        <v>173</v>
      </c>
      <c r="G26" s="13" t="n">
        <f aca="false">IF(AND(ISNUMBER(D26),ISNUMBER(E26)),D26/E26,0)</f>
        <v>0.412081984897519</v>
      </c>
    </row>
    <row r="27" customFormat="false" ht="15" hidden="false" customHeight="false" outlineLevel="0" collapsed="false">
      <c r="A27" s="11" t="s">
        <v>26</v>
      </c>
      <c r="B27" s="11" t="n">
        <v>4</v>
      </c>
      <c r="C27" s="11" t="s">
        <v>31</v>
      </c>
      <c r="D27" s="11" t="n">
        <v>2.79</v>
      </c>
      <c r="E27" s="11" t="n">
        <v>9.27</v>
      </c>
      <c r="F27" s="11" t="n">
        <v>57</v>
      </c>
      <c r="G27" s="13" t="n">
        <f aca="false">IF(AND(ISNUMBER(D27),ISNUMBER(E27)),D27/E27,0)</f>
        <v>0.300970873786408</v>
      </c>
    </row>
    <row r="28" customFormat="false" ht="15" hidden="false" customHeight="false" outlineLevel="0" collapsed="false">
      <c r="A28" s="11" t="s">
        <v>27</v>
      </c>
      <c r="B28" s="11" t="n">
        <v>1</v>
      </c>
      <c r="C28" s="11" t="s">
        <v>28</v>
      </c>
      <c r="D28" s="11" t="n">
        <v>8.9</v>
      </c>
      <c r="E28" s="11" t="n">
        <v>9.24</v>
      </c>
      <c r="F28" s="11" t="n">
        <v>54</v>
      </c>
      <c r="G28" s="13" t="n">
        <f aca="false">IF(AND(ISNUMBER(D28),ISNUMBER(E28)),D28/E28,0)</f>
        <v>0.963203463203463</v>
      </c>
    </row>
    <row r="29" customFormat="false" ht="15" hidden="false" customHeight="false" outlineLevel="0" collapsed="false">
      <c r="A29" s="11" t="s">
        <v>27</v>
      </c>
      <c r="B29" s="11" t="n">
        <v>1</v>
      </c>
      <c r="C29" s="11" t="s">
        <v>29</v>
      </c>
      <c r="D29" s="11" t="n">
        <v>5.34</v>
      </c>
      <c r="E29" s="11" t="n">
        <v>9.24</v>
      </c>
      <c r="F29" s="11" t="n">
        <v>82</v>
      </c>
      <c r="G29" s="13" t="n">
        <f aca="false">IF(AND(ISNUMBER(D29),ISNUMBER(E29)),D29/E29,0)</f>
        <v>0.577922077922078</v>
      </c>
    </row>
    <row r="30" customFormat="false" ht="15" hidden="false" customHeight="false" outlineLevel="0" collapsed="false">
      <c r="A30" s="11" t="s">
        <v>27</v>
      </c>
      <c r="B30" s="11" t="n">
        <v>1</v>
      </c>
      <c r="C30" s="11" t="s">
        <v>30</v>
      </c>
      <c r="D30" s="11" t="n">
        <v>3.78</v>
      </c>
      <c r="E30" s="11" t="n">
        <v>9.24</v>
      </c>
      <c r="F30" s="11" t="n">
        <v>167</v>
      </c>
      <c r="G30" s="13" t="n">
        <f aca="false">IF(AND(ISNUMBER(D30),ISNUMBER(E30)),D30/E30,0)</f>
        <v>0.409090909090909</v>
      </c>
    </row>
    <row r="31" customFormat="false" ht="15" hidden="false" customHeight="false" outlineLevel="0" collapsed="false">
      <c r="A31" s="11" t="s">
        <v>27</v>
      </c>
      <c r="B31" s="11" t="n">
        <v>1</v>
      </c>
      <c r="C31" s="11" t="s">
        <v>31</v>
      </c>
      <c r="D31" s="11" t="n">
        <v>2.64</v>
      </c>
      <c r="E31" s="11" t="n">
        <v>9.24</v>
      </c>
      <c r="F31" s="11" t="n">
        <v>71</v>
      </c>
      <c r="G31" s="13" t="n">
        <f aca="false">IF(AND(ISNUMBER(D31),ISNUMBER(E31)),D31/E31,0)</f>
        <v>0.285714285714286</v>
      </c>
    </row>
    <row r="32" customFormat="false" ht="15" hidden="false" customHeight="false" outlineLevel="0" collapsed="false">
      <c r="A32" s="11" t="s">
        <v>27</v>
      </c>
      <c r="B32" s="11" t="n">
        <v>2</v>
      </c>
      <c r="C32" s="11" t="s">
        <v>28</v>
      </c>
      <c r="D32" s="11" t="n">
        <v>9.08</v>
      </c>
      <c r="E32" s="11" t="n">
        <v>9.38</v>
      </c>
      <c r="F32" s="11" t="n">
        <v>64</v>
      </c>
      <c r="G32" s="13" t="n">
        <f aca="false">IF(AND(ISNUMBER(D32),ISNUMBER(E32)),D32/E32,0)</f>
        <v>0.968017057569296</v>
      </c>
    </row>
    <row r="33" customFormat="false" ht="15" hidden="false" customHeight="false" outlineLevel="0" collapsed="false">
      <c r="A33" s="11" t="s">
        <v>27</v>
      </c>
      <c r="B33" s="11" t="n">
        <v>2</v>
      </c>
      <c r="C33" s="11" t="s">
        <v>29</v>
      </c>
      <c r="D33" s="11" t="n">
        <v>5.65</v>
      </c>
      <c r="E33" s="11" t="n">
        <v>9.38</v>
      </c>
      <c r="F33" s="11" t="n">
        <v>87</v>
      </c>
      <c r="G33" s="13" t="n">
        <f aca="false">IF(AND(ISNUMBER(D33),ISNUMBER(E33)),D33/E33,0)</f>
        <v>0.602345415778252</v>
      </c>
    </row>
    <row r="34" customFormat="false" ht="15" hidden="false" customHeight="false" outlineLevel="0" collapsed="false">
      <c r="A34" s="11" t="s">
        <v>27</v>
      </c>
      <c r="B34" s="11" t="n">
        <v>2</v>
      </c>
      <c r="C34" s="11" t="s">
        <v>30</v>
      </c>
      <c r="D34" s="11" t="n">
        <v>3.73</v>
      </c>
      <c r="E34" s="11" t="n">
        <v>9.38</v>
      </c>
      <c r="F34" s="11" t="n">
        <v>164</v>
      </c>
      <c r="G34" s="13" t="n">
        <f aca="false">IF(AND(ISNUMBER(D34),ISNUMBER(E34)),D34/E34,0)</f>
        <v>0.397654584221748</v>
      </c>
    </row>
    <row r="35" customFormat="false" ht="15" hidden="false" customHeight="false" outlineLevel="0" collapsed="false">
      <c r="A35" s="11" t="s">
        <v>27</v>
      </c>
      <c r="B35" s="11" t="n">
        <v>2</v>
      </c>
      <c r="C35" s="11" t="s">
        <v>31</v>
      </c>
      <c r="D35" s="11" t="n">
        <v>2.88</v>
      </c>
      <c r="E35" s="11" t="n">
        <v>9.38</v>
      </c>
      <c r="F35" s="11" t="n">
        <v>74</v>
      </c>
      <c r="G35" s="13" t="n">
        <f aca="false">IF(AND(ISNUMBER(D35),ISNUMBER(E35)),D35/E35,0)</f>
        <v>0.307036247334755</v>
      </c>
    </row>
    <row r="36" customFormat="false" ht="15" hidden="false" customHeight="false" outlineLevel="0" collapsed="false">
      <c r="A36" s="11" t="s">
        <v>27</v>
      </c>
      <c r="B36" s="11" t="n">
        <v>3</v>
      </c>
      <c r="C36" s="11" t="s">
        <v>28</v>
      </c>
      <c r="D36" s="11" t="n">
        <v>8.24</v>
      </c>
      <c r="E36" s="11" t="n">
        <v>8.78</v>
      </c>
      <c r="F36" s="11" t="n">
        <v>61</v>
      </c>
      <c r="G36" s="13" t="n">
        <f aca="false">IF(AND(ISNUMBER(D36),ISNUMBER(E36)),D36/E36,0)</f>
        <v>0.938496583143508</v>
      </c>
    </row>
    <row r="37" customFormat="false" ht="15" hidden="false" customHeight="false" outlineLevel="0" collapsed="false">
      <c r="A37" s="11" t="s">
        <v>27</v>
      </c>
      <c r="B37" s="11" t="n">
        <v>3</v>
      </c>
      <c r="C37" s="11" t="s">
        <v>29</v>
      </c>
      <c r="D37" s="11" t="n">
        <v>4.97</v>
      </c>
      <c r="E37" s="11" t="n">
        <v>8.78</v>
      </c>
      <c r="F37" s="11" t="n">
        <v>84</v>
      </c>
      <c r="G37" s="13" t="n">
        <f aca="false">IF(AND(ISNUMBER(D37),ISNUMBER(E37)),D37/E37,0)</f>
        <v>0.566059225512529</v>
      </c>
    </row>
    <row r="38" customFormat="false" ht="15" hidden="false" customHeight="false" outlineLevel="0" collapsed="false">
      <c r="A38" s="11" t="s">
        <v>27</v>
      </c>
      <c r="B38" s="11" t="n">
        <v>3</v>
      </c>
      <c r="C38" s="11" t="s">
        <v>30</v>
      </c>
      <c r="D38" s="11" t="n">
        <v>3.57</v>
      </c>
      <c r="E38" s="11" t="n">
        <v>8.78</v>
      </c>
      <c r="F38" s="11" t="n">
        <v>160</v>
      </c>
      <c r="G38" s="13" t="n">
        <f aca="false">IF(AND(ISNUMBER(D38),ISNUMBER(E38)),D38/E38,0)</f>
        <v>0.406605922551253</v>
      </c>
    </row>
    <row r="39" customFormat="false" ht="15" hidden="false" customHeight="false" outlineLevel="0" collapsed="false">
      <c r="A39" s="11" t="s">
        <v>27</v>
      </c>
      <c r="B39" s="11" t="n">
        <v>3</v>
      </c>
      <c r="C39" s="11" t="s">
        <v>31</v>
      </c>
      <c r="D39" s="11" t="n">
        <v>2.64</v>
      </c>
      <c r="E39" s="11" t="n">
        <v>8.78</v>
      </c>
      <c r="F39" s="11" t="n">
        <v>65</v>
      </c>
      <c r="G39" s="13" t="n">
        <f aca="false">IF(AND(ISNUMBER(D39),ISNUMBER(E39)),D39/E39,0)</f>
        <v>0.300683371298406</v>
      </c>
    </row>
    <row r="40" customFormat="false" ht="15" hidden="false" customHeight="false" outlineLevel="0" collapsed="false">
      <c r="A40" s="11" t="s">
        <v>27</v>
      </c>
      <c r="B40" s="11" t="n">
        <v>4</v>
      </c>
      <c r="C40" s="11" t="s">
        <v>28</v>
      </c>
      <c r="D40" s="11" t="n">
        <v>8.71</v>
      </c>
      <c r="E40" s="11" t="n">
        <v>9.42</v>
      </c>
      <c r="F40" s="11" t="n">
        <v>55</v>
      </c>
      <c r="G40" s="13" t="n">
        <f aca="false">IF(AND(ISNUMBER(D40),ISNUMBER(E40)),D40/E40,0)</f>
        <v>0.924628450106157</v>
      </c>
    </row>
    <row r="41" customFormat="false" ht="15" hidden="false" customHeight="false" outlineLevel="0" collapsed="false">
      <c r="A41" s="11" t="s">
        <v>27</v>
      </c>
      <c r="B41" s="11" t="n">
        <v>4</v>
      </c>
      <c r="C41" s="11" t="s">
        <v>29</v>
      </c>
      <c r="D41" s="11" t="n">
        <v>5.74</v>
      </c>
      <c r="E41" s="11" t="n">
        <v>9.42</v>
      </c>
      <c r="F41" s="11" t="n">
        <v>87</v>
      </c>
      <c r="G41" s="13" t="n">
        <f aca="false">IF(AND(ISNUMBER(D41),ISNUMBER(E41)),D41/E41,0)</f>
        <v>0.609341825902335</v>
      </c>
    </row>
    <row r="42" customFormat="false" ht="15" hidden="false" customHeight="false" outlineLevel="0" collapsed="false">
      <c r="A42" s="11" t="s">
        <v>27</v>
      </c>
      <c r="B42" s="11" t="n">
        <v>4</v>
      </c>
      <c r="C42" s="11" t="s">
        <v>30</v>
      </c>
      <c r="D42" s="11" t="n">
        <v>3.51</v>
      </c>
      <c r="E42" s="11" t="n">
        <v>9.42</v>
      </c>
      <c r="F42" s="11" t="n">
        <v>167</v>
      </c>
      <c r="G42" s="13" t="n">
        <f aca="false">IF(AND(ISNUMBER(D42),ISNUMBER(E42)),D42/E42,0)</f>
        <v>0.372611464968153</v>
      </c>
    </row>
    <row r="43" customFormat="false" ht="15" hidden="false" customHeight="false" outlineLevel="0" collapsed="false">
      <c r="A43" s="11" t="s">
        <v>27</v>
      </c>
      <c r="B43" s="11" t="n">
        <v>4</v>
      </c>
      <c r="C43" s="11" t="s">
        <v>31</v>
      </c>
      <c r="D43" s="11" t="n">
        <v>2.87</v>
      </c>
      <c r="E43" s="11" t="n">
        <v>9.42</v>
      </c>
      <c r="F43" s="11" t="n">
        <v>67</v>
      </c>
      <c r="G43" s="13" t="n">
        <f aca="false">IF(AND(ISNUMBER(D43),ISNUMBER(E43)),D43/E43,0)</f>
        <v>0.304670912951168</v>
      </c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3" t="n">
        <f aca="false">IF(AND(ISNUMBER(D44),ISNUMBER(E44)),D44/E44,0)</f>
        <v>0</v>
      </c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3" t="n">
        <f aca="false">IF(AND(ISNUMBER(D45),ISNUMBER(E45)),D45/E45,0)</f>
        <v>0</v>
      </c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3" t="n">
        <f aca="false">IF(AND(ISNUMBER(D46),ISNUMBER(E46)),D46/E46,0)</f>
        <v>0</v>
      </c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3" t="n">
        <f aca="false">IF(AND(ISNUMBER(D47),ISNUMBER(E47)),D47/E47,0)</f>
        <v>0</v>
      </c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3" t="n">
        <f aca="false">IF(AND(ISNUMBER(D48),ISNUMBER(E48)),D48/E48,0)</f>
        <v>0</v>
      </c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3" t="n">
        <f aca="false">IF(AND(ISNUMBER(D49),ISNUMBER(E49)),D49/E49,0)</f>
        <v>0</v>
      </c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3" t="n">
        <f aca="false">IF(AND(ISNUMBER(D50),ISNUMBER(E50)),D50/E50,0)</f>
        <v>0</v>
      </c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3" t="n">
        <f aca="false">IF(AND(ISNUMBER(D51),ISNUMBER(E51)),D51/E51,0)</f>
        <v>0</v>
      </c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3" t="n">
        <f aca="false">IF(AND(ISNUMBER(D52),ISNUMBER(E52)),D52/E52,0)</f>
        <v>0</v>
      </c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3" t="n">
        <f aca="false">IF(AND(ISNUMBER(D53),ISNUMBER(E53)),D53/E53,0)</f>
        <v>0</v>
      </c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3" t="n">
        <f aca="false">IF(AND(ISNUMBER(D54),ISNUMBER(E54)),D54/E54,0)</f>
        <v>0</v>
      </c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3" t="n">
        <f aca="false">IF(AND(ISNUMBER(D55),ISNUMBER(E55)),D55/E55,0)</f>
        <v>0</v>
      </c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3" t="n">
        <f aca="false">IF(AND(ISNUMBER(D56),ISNUMBER(E56)),D56/E56,0)</f>
        <v>0</v>
      </c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3" t="n">
        <f aca="false">IF(AND(ISNUMBER(D57),ISNUMBER(E57)),D57/E57,0)</f>
        <v>0</v>
      </c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3" t="n">
        <f aca="false">IF(AND(ISNUMBER(D58),ISNUMBER(E58)),D58/E58,0)</f>
        <v>0</v>
      </c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3" t="n">
        <f aca="false">IF(AND(ISNUMBER(D59),ISNUMBER(E59)),D59/E59,0)</f>
        <v>0</v>
      </c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3" t="n">
        <f aca="false">IF(AND(ISNUMBER(D60),ISNUMBER(E60)),D60/E60,0)</f>
        <v>0</v>
      </c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3" t="n">
        <f aca="false">IF(AND(ISNUMBER(D61),ISNUMBER(E61)),D61/E61,0)</f>
        <v>0</v>
      </c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3" t="n">
        <f aca="false">IF(AND(ISNUMBER(D62),ISNUMBER(E62)),D62/E62,0)</f>
        <v>0</v>
      </c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3" t="n">
        <f aca="false">IF(AND(ISNUMBER(D63),ISNUMBER(E63)),D63/E63,0)</f>
        <v>0</v>
      </c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3" t="n">
        <f aca="false">IF(AND(ISNUMBER(D64),ISNUMBER(E64)),D64/E64,0)</f>
        <v>0</v>
      </c>
    </row>
    <row r="65" customFormat="false" ht="15" hidden="false" customHeight="false" outlineLevel="0" collapsed="false">
      <c r="A65" s="11"/>
      <c r="B65" s="11"/>
      <c r="C65" s="11"/>
      <c r="D65" s="11"/>
      <c r="E65" s="11"/>
      <c r="F65" s="11"/>
      <c r="G65" s="13" t="n">
        <f aca="false">IF(AND(ISNUMBER(D65),ISNUMBER(E65)),D65/E65,0)</f>
        <v>0</v>
      </c>
    </row>
    <row r="66" customFormat="false" ht="15" hidden="false" customHeight="false" outlineLevel="0" collapsed="false">
      <c r="A66" s="11"/>
      <c r="B66" s="11"/>
      <c r="C66" s="11"/>
      <c r="D66" s="11"/>
      <c r="E66" s="11"/>
      <c r="F66" s="11"/>
      <c r="G66" s="13" t="n">
        <f aca="false">IF(AND(ISNUMBER(D66),ISNUMBER(E66)),D66/E66,0)</f>
        <v>0</v>
      </c>
    </row>
    <row r="67" customFormat="false" ht="15" hidden="false" customHeight="false" outlineLevel="0" collapsed="false">
      <c r="A67" s="11"/>
      <c r="B67" s="11"/>
      <c r="C67" s="11"/>
      <c r="D67" s="11"/>
      <c r="E67" s="11"/>
      <c r="F67" s="11"/>
      <c r="G67" s="13" t="n">
        <f aca="false">IF(AND(ISNUMBER(D67),ISNUMBER(E67)),D67/E67,0)</f>
        <v>0</v>
      </c>
    </row>
    <row r="68" customFormat="false" ht="15" hidden="false" customHeight="false" outlineLevel="0" collapsed="false">
      <c r="A68" s="11"/>
      <c r="B68" s="11"/>
      <c r="C68" s="11"/>
      <c r="D68" s="11"/>
      <c r="E68" s="11"/>
      <c r="F68" s="11"/>
      <c r="G68" s="13" t="n">
        <f aca="false">IF(AND(ISNUMBER(D68),ISNUMBER(E68)),D68/E68,0)</f>
        <v>0</v>
      </c>
    </row>
    <row r="69" customFormat="false" ht="15" hidden="false" customHeight="false" outlineLevel="0" collapsed="false">
      <c r="A69" s="11"/>
      <c r="B69" s="11"/>
      <c r="C69" s="11"/>
      <c r="D69" s="11"/>
      <c r="E69" s="11"/>
      <c r="F69" s="11"/>
      <c r="G69" s="13" t="n">
        <f aca="false">IF(AND(ISNUMBER(D69),ISNUMBER(E69)),D69/E69,0)</f>
        <v>0</v>
      </c>
    </row>
    <row r="70" customFormat="false" ht="15" hidden="false" customHeight="false" outlineLevel="0" collapsed="false">
      <c r="A70" s="11"/>
      <c r="B70" s="11"/>
      <c r="C70" s="11"/>
      <c r="D70" s="11"/>
      <c r="E70" s="11"/>
      <c r="F70" s="11"/>
      <c r="G70" s="13" t="n">
        <f aca="false">IF(AND(ISNUMBER(D70),ISNUMBER(E70)),D70/E70,0)</f>
        <v>0</v>
      </c>
    </row>
    <row r="71" customFormat="false" ht="15" hidden="false" customHeight="false" outlineLevel="0" collapsed="false">
      <c r="A71" s="11"/>
      <c r="B71" s="11"/>
      <c r="C71" s="11"/>
      <c r="D71" s="11"/>
      <c r="E71" s="11"/>
      <c r="F71" s="11"/>
      <c r="G71" s="13" t="n">
        <f aca="false">IF(AND(ISNUMBER(D71),ISNUMBER(E71)),D71/E71,0)</f>
        <v>0</v>
      </c>
    </row>
    <row r="72" customFormat="false" ht="15" hidden="false" customHeight="false" outlineLevel="0" collapsed="false">
      <c r="A72" s="11"/>
      <c r="B72" s="11"/>
      <c r="C72" s="11"/>
      <c r="D72" s="11"/>
      <c r="E72" s="11"/>
      <c r="F72" s="11"/>
      <c r="G72" s="13" t="n">
        <f aca="false">IF(AND(ISNUMBER(D72),ISNUMBER(E72)),D72/E72,0)</f>
        <v>0</v>
      </c>
    </row>
    <row r="73" customFormat="false" ht="15" hidden="false" customHeight="false" outlineLevel="0" collapsed="false">
      <c r="A73" s="11"/>
      <c r="B73" s="11"/>
      <c r="C73" s="11"/>
      <c r="D73" s="11"/>
      <c r="E73" s="11"/>
      <c r="F73" s="11"/>
      <c r="G73" s="13" t="n">
        <f aca="false">IF(AND(ISNUMBER(D73),ISNUMBER(E73)),D73/E73,0)</f>
        <v>0</v>
      </c>
    </row>
    <row r="74" customFormat="false" ht="15" hidden="false" customHeight="false" outlineLevel="0" collapsed="false">
      <c r="A74" s="11"/>
      <c r="B74" s="11"/>
      <c r="C74" s="11"/>
      <c r="D74" s="11"/>
      <c r="E74" s="11"/>
      <c r="F74" s="11"/>
      <c r="G74" s="13" t="n">
        <f aca="false">IF(AND(ISNUMBER(D74),ISNUMBER(E74)),D74/E74,0)</f>
        <v>0</v>
      </c>
    </row>
    <row r="75" customFormat="false" ht="15" hidden="false" customHeight="false" outlineLevel="0" collapsed="false">
      <c r="A75" s="11"/>
      <c r="B75" s="11"/>
      <c r="C75" s="11"/>
      <c r="D75" s="11"/>
      <c r="E75" s="11"/>
      <c r="F75" s="11"/>
      <c r="G75" s="13" t="n">
        <f aca="false">IF(AND(ISNUMBER(D75),ISNUMBER(E75)),D75/E75,0)</f>
        <v>0</v>
      </c>
    </row>
    <row r="76" customFormat="false" ht="15" hidden="false" customHeight="false" outlineLevel="0" collapsed="false">
      <c r="A76" s="11"/>
      <c r="B76" s="11"/>
      <c r="C76" s="11"/>
      <c r="D76" s="11"/>
      <c r="E76" s="11"/>
      <c r="F76" s="11"/>
      <c r="G76" s="13" t="n">
        <f aca="false">IF(AND(ISNUMBER(D76),ISNUMBER(E76)),D76/E76,0)</f>
        <v>0</v>
      </c>
    </row>
    <row r="77" customFormat="false" ht="15" hidden="false" customHeight="false" outlineLevel="0" collapsed="false">
      <c r="A77" s="11"/>
      <c r="B77" s="11"/>
      <c r="C77" s="11"/>
      <c r="D77" s="11"/>
      <c r="E77" s="11"/>
      <c r="F77" s="11"/>
      <c r="G77" s="13" t="n">
        <f aca="false">IF(AND(ISNUMBER(D77),ISNUMBER(E77)),D77/E77,0)</f>
        <v>0</v>
      </c>
    </row>
    <row r="78" customFormat="false" ht="15" hidden="false" customHeight="false" outlineLevel="0" collapsed="false">
      <c r="A78" s="11"/>
      <c r="B78" s="11"/>
      <c r="C78" s="11"/>
      <c r="D78" s="11"/>
      <c r="E78" s="11"/>
      <c r="F78" s="11"/>
      <c r="G78" s="13" t="n">
        <f aca="false">IF(AND(ISNUMBER(D78),ISNUMBER(E78)),D78/E78,0)</f>
        <v>0</v>
      </c>
    </row>
    <row r="79" customFormat="false" ht="15" hidden="false" customHeight="false" outlineLevel="0" collapsed="false">
      <c r="A79" s="11"/>
      <c r="B79" s="11"/>
      <c r="C79" s="11"/>
      <c r="D79" s="11"/>
      <c r="E79" s="11"/>
      <c r="F79" s="11"/>
      <c r="G79" s="13" t="n">
        <f aca="false">IF(AND(ISNUMBER(D79),ISNUMBER(E79)),D79/E79,0)</f>
        <v>0</v>
      </c>
    </row>
    <row r="80" customFormat="false" ht="15" hidden="false" customHeight="false" outlineLevel="0" collapsed="false">
      <c r="A80" s="11"/>
      <c r="B80" s="11"/>
      <c r="C80" s="11"/>
      <c r="D80" s="11"/>
      <c r="E80" s="11"/>
      <c r="F80" s="11"/>
      <c r="G80" s="13" t="n">
        <f aca="false">IF(AND(ISNUMBER(D80),ISNUMBER(E80)),D80/E80,0)</f>
        <v>0</v>
      </c>
    </row>
    <row r="81" customFormat="false" ht="15" hidden="false" customHeight="false" outlineLevel="0" collapsed="false">
      <c r="A81" s="11"/>
      <c r="B81" s="11"/>
      <c r="C81" s="11"/>
      <c r="D81" s="11"/>
      <c r="E81" s="11"/>
      <c r="F81" s="11"/>
      <c r="G81" s="13" t="n">
        <f aca="false">IF(AND(ISNUMBER(D81),ISNUMBER(E81)),D81/E81,0)</f>
        <v>0</v>
      </c>
    </row>
    <row r="82" customFormat="false" ht="15" hidden="false" customHeight="false" outlineLevel="0" collapsed="false">
      <c r="A82" s="11"/>
      <c r="B82" s="11"/>
      <c r="C82" s="11"/>
      <c r="D82" s="11"/>
      <c r="E82" s="11"/>
      <c r="F82" s="11"/>
      <c r="G82" s="13" t="n">
        <f aca="false">IF(AND(ISNUMBER(D82),ISNUMBER(E82)),D82/E82,0)</f>
        <v>0</v>
      </c>
    </row>
    <row r="83" customFormat="false" ht="15" hidden="false" customHeight="false" outlineLevel="0" collapsed="false">
      <c r="A83" s="11"/>
      <c r="B83" s="11"/>
      <c r="C83" s="11"/>
      <c r="D83" s="11"/>
      <c r="E83" s="11"/>
      <c r="F83" s="11"/>
      <c r="G83" s="13" t="n">
        <f aca="false">IF(AND(ISNUMBER(D83),ISNUMBER(E83)),D83/E83,0)</f>
        <v>0</v>
      </c>
    </row>
    <row r="84" customFormat="false" ht="15" hidden="false" customHeight="false" outlineLevel="0" collapsed="false">
      <c r="A84" s="11"/>
      <c r="B84" s="11"/>
      <c r="C84" s="11"/>
      <c r="D84" s="11"/>
      <c r="E84" s="11"/>
      <c r="F84" s="11"/>
      <c r="G84" s="13" t="n">
        <f aca="false">IF(AND(ISNUMBER(D84),ISNUMBER(E84)),D84/E84,0)</f>
        <v>0</v>
      </c>
    </row>
    <row r="85" customFormat="false" ht="15" hidden="false" customHeight="false" outlineLevel="0" collapsed="false">
      <c r="A85" s="11"/>
      <c r="B85" s="11"/>
      <c r="C85" s="11"/>
      <c r="D85" s="11"/>
      <c r="E85" s="11"/>
      <c r="F85" s="11"/>
      <c r="G85" s="13" t="n">
        <f aca="false">IF(AND(ISNUMBER(D85),ISNUMBER(E85)),D85/E85,0)</f>
        <v>0</v>
      </c>
    </row>
    <row r="86" customFormat="false" ht="15" hidden="false" customHeight="false" outlineLevel="0" collapsed="false">
      <c r="A86" s="11"/>
      <c r="B86" s="11"/>
      <c r="C86" s="11"/>
      <c r="D86" s="11"/>
      <c r="E86" s="11"/>
      <c r="F86" s="11"/>
      <c r="G86" s="13" t="n">
        <f aca="false">IF(AND(ISNUMBER(D86),ISNUMBER(E86)),D86/E86,0)</f>
        <v>0</v>
      </c>
    </row>
    <row r="87" customFormat="false" ht="15" hidden="false" customHeight="false" outlineLevel="0" collapsed="false">
      <c r="A87" s="11"/>
      <c r="B87" s="11"/>
      <c r="C87" s="11"/>
      <c r="D87" s="11"/>
      <c r="E87" s="11"/>
      <c r="F87" s="11"/>
      <c r="G87" s="13" t="n">
        <f aca="false">IF(AND(ISNUMBER(D87),ISNUMBER(E87)),D87/E87,0)</f>
        <v>0</v>
      </c>
    </row>
    <row r="88" customFormat="false" ht="15" hidden="false" customHeight="false" outlineLevel="0" collapsed="false">
      <c r="A88" s="11"/>
      <c r="B88" s="11"/>
      <c r="C88" s="11"/>
      <c r="D88" s="11"/>
      <c r="E88" s="11"/>
      <c r="F88" s="11"/>
      <c r="G88" s="13" t="n">
        <f aca="false">IF(AND(ISNUMBER(D88),ISNUMBER(E88)),D88/E88,0)</f>
        <v>0</v>
      </c>
    </row>
    <row r="89" customFormat="false" ht="15" hidden="false" customHeight="false" outlineLevel="0" collapsed="false">
      <c r="A89" s="11"/>
      <c r="B89" s="11"/>
      <c r="C89" s="11"/>
      <c r="D89" s="11"/>
      <c r="E89" s="11"/>
      <c r="F89" s="11"/>
      <c r="G89" s="13" t="n">
        <f aca="false">IF(AND(ISNUMBER(D89),ISNUMBER(E89)),D89/E89,0)</f>
        <v>0</v>
      </c>
    </row>
    <row r="90" customFormat="false" ht="15" hidden="false" customHeight="false" outlineLevel="0" collapsed="false">
      <c r="A90" s="11"/>
      <c r="B90" s="11"/>
      <c r="C90" s="11"/>
      <c r="D90" s="11"/>
      <c r="E90" s="11"/>
      <c r="F90" s="11"/>
      <c r="G90" s="13" t="n">
        <f aca="false">IF(AND(ISNUMBER(D90),ISNUMBER(E90)),D90/E90,0)</f>
        <v>0</v>
      </c>
    </row>
    <row r="91" customFormat="false" ht="15" hidden="false" customHeight="false" outlineLevel="0" collapsed="false">
      <c r="A91" s="11"/>
      <c r="B91" s="11"/>
      <c r="C91" s="11"/>
      <c r="D91" s="11"/>
      <c r="E91" s="11"/>
      <c r="F91" s="11"/>
      <c r="G91" s="13" t="n">
        <f aca="false">IF(AND(ISNUMBER(D91),ISNUMBER(E91)),D91/E91,0)</f>
        <v>0</v>
      </c>
    </row>
  </sheetData>
  <sheetProtection sheet="true" formatColumns="false"/>
  <dataValidations count="1">
    <dataValidation allowBlank="true" error="Enter a number." errorStyle="stop" errorTitle="Number needed" operator="between" showDropDown="false" showErrorMessage="true" showInputMessage="false" sqref="B12:B91 D12:F91" type="decimal">
      <formula1>-1000000000</formula1>
      <formula2>1000000000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4"/>
    <col collapsed="false" customWidth="true" hidden="false" outlineLevel="0" max="14" min="3" style="0" width="15"/>
  </cols>
  <sheetData>
    <row r="1" customFormat="false" ht="17.35" hidden="false" customHeight="false" outlineLevel="0" collapsed="false">
      <c r="B1" s="7" t="s">
        <v>40</v>
      </c>
    </row>
    <row r="2" customFormat="false" ht="15" hidden="false" customHeight="false" outlineLevel="0" collapsed="false">
      <c r="B2" s="8" t="s">
        <v>41</v>
      </c>
    </row>
    <row r="4" customFormat="false" ht="15" hidden="false" customHeight="false" outlineLevel="0" collapsed="false">
      <c r="B4" s="9" t="s">
        <v>42</v>
      </c>
    </row>
    <row r="5" customFormat="false" ht="30" hidden="false" customHeight="true" outlineLevel="0" collapsed="false">
      <c r="B5" s="10" t="s">
        <v>33</v>
      </c>
      <c r="C5" s="10" t="s">
        <v>35</v>
      </c>
      <c r="D5" s="10" t="s">
        <v>43</v>
      </c>
      <c r="E5" s="10" t="s">
        <v>44</v>
      </c>
      <c r="F5" s="10" t="s">
        <v>45</v>
      </c>
    </row>
    <row r="6" customFormat="false" ht="15" hidden="false" customHeight="false" outlineLevel="0" collapsed="false">
      <c r="B6" s="14" t="str">
        <f aca="false">IFERROR('Enter data'!$A$6,"")</f>
        <v>sun_leaf</v>
      </c>
      <c r="C6" s="15" t="str">
        <f aca="false">IFERROR('Enter data'!$C$6,"")</f>
        <v>carotene</v>
      </c>
      <c r="D6" s="16" t="n">
        <f aca="false">IFERROR(COUNTIFS('Enter data'!$A$12:$A$91,'Enter data'!$A$6,'Enter data'!$C$12:$C$91,'Enter data'!$C$6,'Enter data'!$G$12:$G$91,"&gt;0"),"")</f>
        <v>4</v>
      </c>
      <c r="E6" s="17" t="n">
        <f aca="false">IFERROR(IF(D6=0,"",AVERAGEIFS('Enter data'!$G$12:$G$91,'Enter data'!$A$12:$A$91,'Enter data'!$A$6,'Enter data'!$C$12:$C$91,'Enter data'!$C$6,'Enter data'!$G$12:$G$91,"&gt;0")),"")</f>
        <v>0.940319039221582</v>
      </c>
      <c r="F6" s="17" t="n">
        <f aca="false">IFERROR(IF(D6&lt;2,"",SQRT(MAX(0,(SUMPRODUCT(('Enter data'!$A$12:$A$91='Enter data'!$A$6)*('Enter data'!$C$12:$C$91='Enter data'!$C$6)*('Enter data'!$G$12:$G$91&gt;0)*'Enter data'!$G$12:$G$91^2)-D6*E6^2)/(D6-1)))),"")</f>
        <v>0.0179169613874714</v>
      </c>
    </row>
    <row r="7" customFormat="false" ht="15" hidden="false" customHeight="false" outlineLevel="0" collapsed="false">
      <c r="B7" s="14" t="str">
        <f aca="false">IFERROR('Enter data'!$A$6,"")</f>
        <v>sun_leaf</v>
      </c>
      <c r="C7" s="15" t="str">
        <f aca="false">IFERROR('Enter data'!$D$6,"")</f>
        <v>xanthophyll</v>
      </c>
      <c r="D7" s="16" t="n">
        <f aca="false">IFERROR(COUNTIFS('Enter data'!$A$12:$A$91,'Enter data'!$A$6,'Enter data'!$C$12:$C$91,'Enter data'!$D$6,'Enter data'!$G$12:$G$91,"&gt;0"),"")</f>
        <v>4</v>
      </c>
      <c r="E7" s="17" t="n">
        <f aca="false">IFERROR(IF(D7=0,"",AVERAGEIFS('Enter data'!$G$12:$G$91,'Enter data'!$A$12:$A$91,'Enter data'!$A$6,'Enter data'!$C$12:$C$91,'Enter data'!$D$6,'Enter data'!$G$12:$G$91,"&gt;0")),"")</f>
        <v>0.598941532064375</v>
      </c>
      <c r="F7" s="17" t="n">
        <f aca="false">IFERROR(IF(D7&lt;2,"",SQRT(MAX(0,(SUMPRODUCT(('Enter data'!$A$12:$A$91='Enter data'!$A$6)*('Enter data'!$C$12:$C$91='Enter data'!$D$6)*('Enter data'!$G$12:$G$91&gt;0)*'Enter data'!$G$12:$G$91^2)-D7*E7^2)/(D7-1)))),"")</f>
        <v>0.0140366465098488</v>
      </c>
    </row>
    <row r="8" customFormat="false" ht="15" hidden="false" customHeight="false" outlineLevel="0" collapsed="false">
      <c r="B8" s="14" t="str">
        <f aca="false">IFERROR('Enter data'!$A$6,"")</f>
        <v>sun_leaf</v>
      </c>
      <c r="C8" s="15" t="str">
        <f aca="false">IFERROR('Enter data'!$E$6,"")</f>
        <v>chlorophyll a</v>
      </c>
      <c r="D8" s="16" t="n">
        <f aca="false">IFERROR(COUNTIFS('Enter data'!$A$12:$A$91,'Enter data'!$A$6,'Enter data'!$C$12:$C$91,'Enter data'!$E$6,'Enter data'!$G$12:$G$91,"&gt;0"),"")</f>
        <v>4</v>
      </c>
      <c r="E8" s="17" t="n">
        <f aca="false">IFERROR(IF(D8=0,"",AVERAGEIFS('Enter data'!$G$12:$G$91,'Enter data'!$A$12:$A$91,'Enter data'!$A$6,'Enter data'!$C$12:$C$91,'Enter data'!$E$6,'Enter data'!$G$12:$G$91,"&gt;0")),"")</f>
        <v>0.397032903035662</v>
      </c>
      <c r="F8" s="17" t="n">
        <f aca="false">IFERROR(IF(D8&lt;2,"",SQRT(MAX(0,(SUMPRODUCT(('Enter data'!$A$12:$A$91='Enter data'!$A$6)*('Enter data'!$C$12:$C$91='Enter data'!$E$6)*('Enter data'!$G$12:$G$91&gt;0)*'Enter data'!$G$12:$G$91^2)-D8*E8^2)/(D8-1)))),"")</f>
        <v>0.011103568108522</v>
      </c>
    </row>
    <row r="9" customFormat="false" ht="15" hidden="false" customHeight="false" outlineLevel="0" collapsed="false">
      <c r="B9" s="14" t="str">
        <f aca="false">IFERROR('Enter data'!$A$6,"")</f>
        <v>sun_leaf</v>
      </c>
      <c r="C9" s="15" t="str">
        <f aca="false">IFERROR('Enter data'!$F$6,"")</f>
        <v>chlorophyll b</v>
      </c>
      <c r="D9" s="16" t="n">
        <f aca="false">IFERROR(COUNTIFS('Enter data'!$A$12:$A$91,'Enter data'!$A$6,'Enter data'!$C$12:$C$91,'Enter data'!$F$6,'Enter data'!$G$12:$G$91,"&gt;0"),"")</f>
        <v>4</v>
      </c>
      <c r="E9" s="17" t="n">
        <f aca="false">IFERROR(IF(D9=0,"",AVERAGEIFS('Enter data'!$G$12:$G$91,'Enter data'!$A$12:$A$91,'Enter data'!$A$6,'Enter data'!$C$12:$C$91,'Enter data'!$F$6,'Enter data'!$G$12:$G$91,"&gt;0")),"")</f>
        <v>0.302742408055137</v>
      </c>
      <c r="F9" s="17" t="n">
        <f aca="false">IFERROR(IF(D9&lt;2,"",SQRT(MAX(0,(SUMPRODUCT(('Enter data'!$A$12:$A$91='Enter data'!$A$6)*('Enter data'!$C$12:$C$91='Enter data'!$F$6)*('Enter data'!$G$12:$G$91&gt;0)*'Enter data'!$G$12:$G$91^2)-D9*E9^2)/(D9-1)))),"")</f>
        <v>0.00472931563964943</v>
      </c>
    </row>
    <row r="10" customFormat="false" ht="15" hidden="false" customHeight="false" outlineLevel="0" collapsed="false">
      <c r="B10" s="14" t="str">
        <f aca="false">IFERROR('Enter data'!$B$6,"")</f>
        <v>shade_leaf</v>
      </c>
      <c r="C10" s="15" t="str">
        <f aca="false">IFERROR('Enter data'!$C$6,"")</f>
        <v>carotene</v>
      </c>
      <c r="D10" s="16" t="n">
        <f aca="false">IFERROR(COUNTIFS('Enter data'!$A$12:$A$91,'Enter data'!$B$6,'Enter data'!$C$12:$C$91,'Enter data'!$C$6,'Enter data'!$G$12:$G$91,"&gt;0"),"")</f>
        <v>4</v>
      </c>
      <c r="E10" s="17" t="n">
        <f aca="false">IFERROR(IF(D10=0,"",AVERAGEIFS('Enter data'!$G$12:$G$91,'Enter data'!$A$12:$A$91,'Enter data'!$B$6,'Enter data'!$C$12:$C$91,'Enter data'!$C$6,'Enter data'!$G$12:$G$91,"&gt;0")),"")</f>
        <v>0.948586388505606</v>
      </c>
      <c r="F10" s="17" t="n">
        <f aca="false">IFERROR(IF(D10&lt;2,"",SQRT(MAX(0,(SUMPRODUCT(('Enter data'!$A$12:$A$91='Enter data'!$B$6)*('Enter data'!$C$12:$C$91='Enter data'!$C$6)*('Enter data'!$G$12:$G$91&gt;0)*'Enter data'!$G$12:$G$91^2)-D10*E10^2)/(D10-1)))),"")</f>
        <v>0.0205507238930284</v>
      </c>
    </row>
    <row r="11" customFormat="false" ht="15" hidden="false" customHeight="false" outlineLevel="0" collapsed="false">
      <c r="B11" s="14" t="str">
        <f aca="false">IFERROR('Enter data'!$B$6,"")</f>
        <v>shade_leaf</v>
      </c>
      <c r="C11" s="15" t="str">
        <f aca="false">IFERROR('Enter data'!$D$6,"")</f>
        <v>xanthophyll</v>
      </c>
      <c r="D11" s="16" t="n">
        <f aca="false">IFERROR(COUNTIFS('Enter data'!$A$12:$A$91,'Enter data'!$B$6,'Enter data'!$C$12:$C$91,'Enter data'!$D$6,'Enter data'!$G$12:$G$91,"&gt;0"),"")</f>
        <v>4</v>
      </c>
      <c r="E11" s="17" t="n">
        <f aca="false">IFERROR(IF(D11=0,"",AVERAGEIFS('Enter data'!$G$12:$G$91,'Enter data'!$A$12:$A$91,'Enter data'!$B$6,'Enter data'!$C$12:$C$91,'Enter data'!$D$6,'Enter data'!$G$12:$G$91,"&gt;0")),"")</f>
        <v>0.588917136278798</v>
      </c>
      <c r="F11" s="17" t="n">
        <f aca="false">IFERROR(IF(D11&lt;2,"",SQRT(MAX(0,(SUMPRODUCT(('Enter data'!$A$12:$A$91='Enter data'!$B$6)*('Enter data'!$C$12:$C$91='Enter data'!$D$6)*('Enter data'!$G$12:$G$91&gt;0)*'Enter data'!$G$12:$G$91^2)-D11*E11^2)/(D11-1)))),"")</f>
        <v>0.020337666445945</v>
      </c>
    </row>
    <row r="12" customFormat="false" ht="15" hidden="false" customHeight="false" outlineLevel="0" collapsed="false">
      <c r="B12" s="14" t="str">
        <f aca="false">IFERROR('Enter data'!$B$6,"")</f>
        <v>shade_leaf</v>
      </c>
      <c r="C12" s="15" t="str">
        <f aca="false">IFERROR('Enter data'!$E$6,"")</f>
        <v>chlorophyll a</v>
      </c>
      <c r="D12" s="16" t="n">
        <f aca="false">IFERROR(COUNTIFS('Enter data'!$A$12:$A$91,'Enter data'!$B$6,'Enter data'!$C$12:$C$91,'Enter data'!$E$6,'Enter data'!$G$12:$G$91,"&gt;0"),"")</f>
        <v>4</v>
      </c>
      <c r="E12" s="17" t="n">
        <f aca="false">IFERROR(IF(D12=0,"",AVERAGEIFS('Enter data'!$G$12:$G$91,'Enter data'!$A$12:$A$91,'Enter data'!$B$6,'Enter data'!$C$12:$C$91,'Enter data'!$E$6,'Enter data'!$G$12:$G$91,"&gt;0")),"")</f>
        <v>0.396490720208016</v>
      </c>
      <c r="F12" s="17" t="n">
        <f aca="false">IFERROR(IF(D12&lt;2,"",SQRT(MAX(0,(SUMPRODUCT(('Enter data'!$A$12:$A$91='Enter data'!$B$6)*('Enter data'!$C$12:$C$91='Enter data'!$E$6)*('Enter data'!$G$12:$G$91&gt;0)*'Enter data'!$G$12:$G$91^2)-D12*E12^2)/(D12-1)))),"")</f>
        <v>0.0166598868401744</v>
      </c>
    </row>
    <row r="13" customFormat="false" ht="15" hidden="false" customHeight="false" outlineLevel="0" collapsed="false">
      <c r="B13" s="14" t="str">
        <f aca="false">IFERROR('Enter data'!$B$6,"")</f>
        <v>shade_leaf</v>
      </c>
      <c r="C13" s="15" t="str">
        <f aca="false">IFERROR('Enter data'!$F$6,"")</f>
        <v>chlorophyll b</v>
      </c>
      <c r="D13" s="16" t="n">
        <f aca="false">IFERROR(COUNTIFS('Enter data'!$A$12:$A$91,'Enter data'!$B$6,'Enter data'!$C$12:$C$91,'Enter data'!$F$6,'Enter data'!$G$12:$G$91,"&gt;0"),"")</f>
        <v>4</v>
      </c>
      <c r="E13" s="17" t="n">
        <f aca="false">IFERROR(IF(D13=0,"",AVERAGEIFS('Enter data'!$G$12:$G$91,'Enter data'!$A$12:$A$91,'Enter data'!$B$6,'Enter data'!$C$12:$C$91,'Enter data'!$F$6,'Enter data'!$G$12:$G$91,"&gt;0")),"")</f>
        <v>0.299526204324653</v>
      </c>
      <c r="F13" s="17" t="n">
        <f aca="false">IFERROR(IF(D13&lt;2,"",SQRT(MAX(0,(SUMPRODUCT(('Enter data'!$A$12:$A$91='Enter data'!$B$6)*('Enter data'!$C$12:$C$91='Enter data'!$F$6)*('Enter data'!$G$12:$G$91&gt;0)*'Enter data'!$G$12:$G$91^2)-D13*E13^2)/(D13-1)))),"")</f>
        <v>0.00957386901884196</v>
      </c>
    </row>
    <row r="16" customFormat="false" ht="15" hidden="false" customHeight="false" outlineLevel="0" collapsed="false">
      <c r="B16" s="9" t="s">
        <v>46</v>
      </c>
    </row>
    <row r="17" customFormat="false" ht="30" hidden="false" customHeight="true" outlineLevel="0" collapsed="false">
      <c r="B17" s="10" t="s">
        <v>34</v>
      </c>
      <c r="C17" s="10" t="s">
        <v>20</v>
      </c>
      <c r="D17" s="10" t="s">
        <v>21</v>
      </c>
    </row>
    <row r="18" customFormat="false" ht="15" hidden="false" customHeight="false" outlineLevel="0" collapsed="false">
      <c r="B18" s="14" t="n">
        <v>1</v>
      </c>
      <c r="C18" s="18" t="n">
        <f aca="false">IFERROR(IF(SUMIFS('Enter data'!$F$12:$F$91,'Enter data'!$A$12:$A$91,'Enter data'!$A$6,'Enter data'!$B$12:$B$91,1,'Enter data'!$C$12:$C$91,'Enter data'!$F$6)&gt;0,SUMIFS('Enter data'!$F$12:$F$91,'Enter data'!$A$12:$A$91,'Enter data'!$A$6,'Enter data'!$B$12:$B$91,1,'Enter data'!$C$12:$C$91,'Enter data'!$E$6)/SUMIFS('Enter data'!$F$12:$F$91,'Enter data'!$A$12:$A$91,'Enter data'!$A$6,'Enter data'!$B$12:$B$91,1,'Enter data'!$C$12:$C$91,'Enter data'!$F$6),""),"")</f>
        <v>3.29166666666667</v>
      </c>
      <c r="D18" s="18" t="n">
        <f aca="false">IFERROR(IF(SUMIFS('Enter data'!$F$12:$F$91,'Enter data'!$A$12:$A$91,'Enter data'!$B$6,'Enter data'!$B$12:$B$91,1,'Enter data'!$C$12:$C$91,'Enter data'!$F$6)&gt;0,SUMIFS('Enter data'!$F$12:$F$91,'Enter data'!$A$12:$A$91,'Enter data'!$B$6,'Enter data'!$B$12:$B$91,1,'Enter data'!$C$12:$C$91,'Enter data'!$E$6)/SUMIFS('Enter data'!$F$12:$F$91,'Enter data'!$A$12:$A$91,'Enter data'!$B$6,'Enter data'!$B$12:$B$91,1,'Enter data'!$C$12:$C$91,'Enter data'!$F$6),""),"")</f>
        <v>2.35211267605634</v>
      </c>
    </row>
    <row r="19" customFormat="false" ht="15" hidden="false" customHeight="false" outlineLevel="0" collapsed="false">
      <c r="B19" s="14" t="n">
        <v>2</v>
      </c>
      <c r="C19" s="18" t="n">
        <f aca="false">IFERROR(IF(SUMIFS('Enter data'!$F$12:$F$91,'Enter data'!$A$12:$A$91,'Enter data'!$A$6,'Enter data'!$B$12:$B$91,2,'Enter data'!$C$12:$C$91,'Enter data'!$F$6)&gt;0,SUMIFS('Enter data'!$F$12:$F$91,'Enter data'!$A$12:$A$91,'Enter data'!$A$6,'Enter data'!$B$12:$B$91,2,'Enter data'!$C$12:$C$91,'Enter data'!$E$6)/SUMIFS('Enter data'!$F$12:$F$91,'Enter data'!$A$12:$A$91,'Enter data'!$A$6,'Enter data'!$B$12:$B$91,2,'Enter data'!$C$12:$C$91,'Enter data'!$F$6),""),"")</f>
        <v>3.23076923076923</v>
      </c>
      <c r="D19" s="18" t="n">
        <f aca="false">IFERROR(IF(SUMIFS('Enter data'!$F$12:$F$91,'Enter data'!$A$12:$A$91,'Enter data'!$B$6,'Enter data'!$B$12:$B$91,2,'Enter data'!$C$12:$C$91,'Enter data'!$F$6)&gt;0,SUMIFS('Enter data'!$F$12:$F$91,'Enter data'!$A$12:$A$91,'Enter data'!$B$6,'Enter data'!$B$12:$B$91,2,'Enter data'!$C$12:$C$91,'Enter data'!$E$6)/SUMIFS('Enter data'!$F$12:$F$91,'Enter data'!$A$12:$A$91,'Enter data'!$B$6,'Enter data'!$B$12:$B$91,2,'Enter data'!$C$12:$C$91,'Enter data'!$F$6),""),"")</f>
        <v>2.21621621621622</v>
      </c>
    </row>
    <row r="20" customFormat="false" ht="15" hidden="false" customHeight="false" outlineLevel="0" collapsed="false">
      <c r="B20" s="14" t="n">
        <v>3</v>
      </c>
      <c r="C20" s="18" t="n">
        <f aca="false">IFERROR(IF(SUMIFS('Enter data'!$F$12:$F$91,'Enter data'!$A$12:$A$91,'Enter data'!$A$6,'Enter data'!$B$12:$B$91,3,'Enter data'!$C$12:$C$91,'Enter data'!$F$6)&gt;0,SUMIFS('Enter data'!$F$12:$F$91,'Enter data'!$A$12:$A$91,'Enter data'!$A$6,'Enter data'!$B$12:$B$91,3,'Enter data'!$C$12:$C$91,'Enter data'!$E$6)/SUMIFS('Enter data'!$F$12:$F$91,'Enter data'!$A$12:$A$91,'Enter data'!$A$6,'Enter data'!$B$12:$B$91,3,'Enter data'!$C$12:$C$91,'Enter data'!$F$6),""),"")</f>
        <v>2.6</v>
      </c>
      <c r="D20" s="18" t="n">
        <f aca="false">IFERROR(IF(SUMIFS('Enter data'!$F$12:$F$91,'Enter data'!$A$12:$A$91,'Enter data'!$B$6,'Enter data'!$B$12:$B$91,3,'Enter data'!$C$12:$C$91,'Enter data'!$F$6)&gt;0,SUMIFS('Enter data'!$F$12:$F$91,'Enter data'!$A$12:$A$91,'Enter data'!$B$6,'Enter data'!$B$12:$B$91,3,'Enter data'!$C$12:$C$91,'Enter data'!$E$6)/SUMIFS('Enter data'!$F$12:$F$91,'Enter data'!$A$12:$A$91,'Enter data'!$B$6,'Enter data'!$B$12:$B$91,3,'Enter data'!$C$12:$C$91,'Enter data'!$F$6),""),"")</f>
        <v>2.46153846153846</v>
      </c>
    </row>
    <row r="21" customFormat="false" ht="15" hidden="false" customHeight="false" outlineLevel="0" collapsed="false">
      <c r="B21" s="14" t="n">
        <v>4</v>
      </c>
      <c r="C21" s="18" t="n">
        <f aca="false">IFERROR(IF(SUMIFS('Enter data'!$F$12:$F$91,'Enter data'!$A$12:$A$91,'Enter data'!$A$6,'Enter data'!$B$12:$B$91,4,'Enter data'!$C$12:$C$91,'Enter data'!$F$6)&gt;0,SUMIFS('Enter data'!$F$12:$F$91,'Enter data'!$A$12:$A$91,'Enter data'!$A$6,'Enter data'!$B$12:$B$91,4,'Enter data'!$C$12:$C$91,'Enter data'!$E$6)/SUMIFS('Enter data'!$F$12:$F$91,'Enter data'!$A$12:$A$91,'Enter data'!$A$6,'Enter data'!$B$12:$B$91,4,'Enter data'!$C$12:$C$91,'Enter data'!$F$6),""),"")</f>
        <v>3.03508771929825</v>
      </c>
      <c r="D21" s="18" t="n">
        <f aca="false">IFERROR(IF(SUMIFS('Enter data'!$F$12:$F$91,'Enter data'!$A$12:$A$91,'Enter data'!$B$6,'Enter data'!$B$12:$B$91,4,'Enter data'!$C$12:$C$91,'Enter data'!$F$6)&gt;0,SUMIFS('Enter data'!$F$12:$F$91,'Enter data'!$A$12:$A$91,'Enter data'!$B$6,'Enter data'!$B$12:$B$91,4,'Enter data'!$C$12:$C$91,'Enter data'!$E$6)/SUMIFS('Enter data'!$F$12:$F$91,'Enter data'!$A$12:$A$91,'Enter data'!$B$6,'Enter data'!$B$12:$B$91,4,'Enter data'!$C$12:$C$91,'Enter data'!$F$6),""),"")</f>
        <v>2.49253731343284</v>
      </c>
    </row>
    <row r="22" customFormat="false" ht="15" hidden="false" customHeight="false" outlineLevel="0" collapsed="false">
      <c r="B22" s="14" t="n">
        <v>5</v>
      </c>
      <c r="C22" s="18" t="str">
        <f aca="false">IFERROR(IF(SUMIFS('Enter data'!$F$12:$F$91,'Enter data'!$A$12:$A$91,'Enter data'!$A$6,'Enter data'!$B$12:$B$91,5,'Enter data'!$C$12:$C$91,'Enter data'!$F$6)&gt;0,SUMIFS('Enter data'!$F$12:$F$91,'Enter data'!$A$12:$A$91,'Enter data'!$A$6,'Enter data'!$B$12:$B$91,5,'Enter data'!$C$12:$C$91,'Enter data'!$E$6)/SUMIFS('Enter data'!$F$12:$F$91,'Enter data'!$A$12:$A$91,'Enter data'!$A$6,'Enter data'!$B$12:$B$91,5,'Enter data'!$C$12:$C$91,'Enter data'!$F$6),""),"")</f>
        <v/>
      </c>
      <c r="D22" s="18" t="str">
        <f aca="false">IFERROR(IF(SUMIFS('Enter data'!$F$12:$F$91,'Enter data'!$A$12:$A$91,'Enter data'!$B$6,'Enter data'!$B$12:$B$91,5,'Enter data'!$C$12:$C$91,'Enter data'!$F$6)&gt;0,SUMIFS('Enter data'!$F$12:$F$91,'Enter data'!$A$12:$A$91,'Enter data'!$B$6,'Enter data'!$B$12:$B$91,5,'Enter data'!$C$12:$C$91,'Enter data'!$E$6)/SUMIFS('Enter data'!$F$12:$F$91,'Enter data'!$A$12:$A$91,'Enter data'!$B$6,'Enter data'!$B$12:$B$91,5,'Enter data'!$C$12:$C$91,'Enter data'!$F$6),""),"")</f>
        <v/>
      </c>
    </row>
    <row r="23" customFormat="false" ht="15" hidden="false" customHeight="false" outlineLevel="0" collapsed="false">
      <c r="B23" s="14" t="n">
        <v>6</v>
      </c>
      <c r="C23" s="18" t="str">
        <f aca="false">IFERROR(IF(SUMIFS('Enter data'!$F$12:$F$91,'Enter data'!$A$12:$A$91,'Enter data'!$A$6,'Enter data'!$B$12:$B$91,6,'Enter data'!$C$12:$C$91,'Enter data'!$F$6)&gt;0,SUMIFS('Enter data'!$F$12:$F$91,'Enter data'!$A$12:$A$91,'Enter data'!$A$6,'Enter data'!$B$12:$B$91,6,'Enter data'!$C$12:$C$91,'Enter data'!$E$6)/SUMIFS('Enter data'!$F$12:$F$91,'Enter data'!$A$12:$A$91,'Enter data'!$A$6,'Enter data'!$B$12:$B$91,6,'Enter data'!$C$12:$C$91,'Enter data'!$F$6),""),"")</f>
        <v/>
      </c>
      <c r="D23" s="18" t="str">
        <f aca="false">IFERROR(IF(SUMIFS('Enter data'!$F$12:$F$91,'Enter data'!$A$12:$A$91,'Enter data'!$B$6,'Enter data'!$B$12:$B$91,6,'Enter data'!$C$12:$C$91,'Enter data'!$F$6)&gt;0,SUMIFS('Enter data'!$F$12:$F$91,'Enter data'!$A$12:$A$91,'Enter data'!$B$6,'Enter data'!$B$12:$B$91,6,'Enter data'!$C$12:$C$91,'Enter data'!$E$6)/SUMIFS('Enter data'!$F$12:$F$91,'Enter data'!$A$12:$A$91,'Enter data'!$B$6,'Enter data'!$B$12:$B$91,6,'Enter data'!$C$12:$C$91,'Enter data'!$F$6),""),"")</f>
        <v/>
      </c>
    </row>
    <row r="24" customFormat="false" ht="15" hidden="false" customHeight="false" outlineLevel="0" collapsed="false">
      <c r="B24" s="14" t="n">
        <v>7</v>
      </c>
      <c r="C24" s="18" t="str">
        <f aca="false">IFERROR(IF(SUMIFS('Enter data'!$F$12:$F$91,'Enter data'!$A$12:$A$91,'Enter data'!$A$6,'Enter data'!$B$12:$B$91,7,'Enter data'!$C$12:$C$91,'Enter data'!$F$6)&gt;0,SUMIFS('Enter data'!$F$12:$F$91,'Enter data'!$A$12:$A$91,'Enter data'!$A$6,'Enter data'!$B$12:$B$91,7,'Enter data'!$C$12:$C$91,'Enter data'!$E$6)/SUMIFS('Enter data'!$F$12:$F$91,'Enter data'!$A$12:$A$91,'Enter data'!$A$6,'Enter data'!$B$12:$B$91,7,'Enter data'!$C$12:$C$91,'Enter data'!$F$6),""),"")</f>
        <v/>
      </c>
      <c r="D24" s="18" t="str">
        <f aca="false">IFERROR(IF(SUMIFS('Enter data'!$F$12:$F$91,'Enter data'!$A$12:$A$91,'Enter data'!$B$6,'Enter data'!$B$12:$B$91,7,'Enter data'!$C$12:$C$91,'Enter data'!$F$6)&gt;0,SUMIFS('Enter data'!$F$12:$F$91,'Enter data'!$A$12:$A$91,'Enter data'!$B$6,'Enter data'!$B$12:$B$91,7,'Enter data'!$C$12:$C$91,'Enter data'!$E$6)/SUMIFS('Enter data'!$F$12:$F$91,'Enter data'!$A$12:$A$91,'Enter data'!$B$6,'Enter data'!$B$12:$B$91,7,'Enter data'!$C$12:$C$91,'Enter data'!$F$6),""),"")</f>
        <v/>
      </c>
    </row>
    <row r="25" customFormat="false" ht="15" hidden="false" customHeight="false" outlineLevel="0" collapsed="false">
      <c r="B25" s="14" t="n">
        <v>8</v>
      </c>
      <c r="C25" s="18" t="str">
        <f aca="false">IFERROR(IF(SUMIFS('Enter data'!$F$12:$F$91,'Enter data'!$A$12:$A$91,'Enter data'!$A$6,'Enter data'!$B$12:$B$91,8,'Enter data'!$C$12:$C$91,'Enter data'!$F$6)&gt;0,SUMIFS('Enter data'!$F$12:$F$91,'Enter data'!$A$12:$A$91,'Enter data'!$A$6,'Enter data'!$B$12:$B$91,8,'Enter data'!$C$12:$C$91,'Enter data'!$E$6)/SUMIFS('Enter data'!$F$12:$F$91,'Enter data'!$A$12:$A$91,'Enter data'!$A$6,'Enter data'!$B$12:$B$91,8,'Enter data'!$C$12:$C$91,'Enter data'!$F$6),""),"")</f>
        <v/>
      </c>
      <c r="D25" s="18" t="str">
        <f aca="false">IFERROR(IF(SUMIFS('Enter data'!$F$12:$F$91,'Enter data'!$A$12:$A$91,'Enter data'!$B$6,'Enter data'!$B$12:$B$91,8,'Enter data'!$C$12:$C$91,'Enter data'!$F$6)&gt;0,SUMIFS('Enter data'!$F$12:$F$91,'Enter data'!$A$12:$A$91,'Enter data'!$B$6,'Enter data'!$B$12:$B$91,8,'Enter data'!$C$12:$C$91,'Enter data'!$E$6)/SUMIFS('Enter data'!$F$12:$F$91,'Enter data'!$A$12:$A$91,'Enter data'!$B$6,'Enter data'!$B$12:$B$91,8,'Enter data'!$C$12:$C$91,'Enter data'!$F$6),""),"")</f>
        <v/>
      </c>
    </row>
    <row r="28" customFormat="false" ht="15" hidden="false" customHeight="false" outlineLevel="0" collapsed="false">
      <c r="B28" s="9" t="s">
        <v>47</v>
      </c>
    </row>
    <row r="29" customFormat="false" ht="30" hidden="false" customHeight="true" outlineLevel="0" collapsed="false">
      <c r="B29" s="10" t="s">
        <v>48</v>
      </c>
      <c r="C29" s="10" t="s">
        <v>49</v>
      </c>
      <c r="D29" s="10" t="s">
        <v>50</v>
      </c>
      <c r="E29" s="10" t="s">
        <v>45</v>
      </c>
      <c r="F29" s="10" t="s">
        <v>51</v>
      </c>
      <c r="G29" s="10" t="s">
        <v>52</v>
      </c>
      <c r="H29" s="10" t="s">
        <v>53</v>
      </c>
    </row>
    <row r="30" customFormat="false" ht="15" hidden="false" customHeight="false" outlineLevel="0" collapsed="false">
      <c r="B30" s="14" t="str">
        <f aca="false">IFERROR('Enter data'!$A$6,"")</f>
        <v>sun_leaf</v>
      </c>
      <c r="C30" s="16" t="n">
        <f aca="false">IFERROR(COUNT($C$18:$C$25),"")</f>
        <v>4</v>
      </c>
      <c r="D30" s="17" t="n">
        <f aca="false">IFERROR(AVERAGE($C$18:$C$25),"")</f>
        <v>3.03938090418354</v>
      </c>
      <c r="E30" s="17" t="n">
        <f aca="false">IFERROR(STDEV($C$18:$C$25),"")</f>
        <v>0.312704124214658</v>
      </c>
      <c r="F30" s="17" t="n">
        <f aca="false">IFERROR(STDEV($C$18:$C$25)/SQRT(COUNT($C$18:$C$25)),"")</f>
        <v>0.156352062107329</v>
      </c>
      <c r="G30" s="17" t="n">
        <f aca="false">IFERROR(MIN($C$18:$C$25),"")</f>
        <v>2.6</v>
      </c>
      <c r="H30" s="17" t="n">
        <f aca="false">IFERROR(MAX($C$18:$C$25),"")</f>
        <v>3.29166666666667</v>
      </c>
    </row>
    <row r="31" customFormat="false" ht="15" hidden="false" customHeight="false" outlineLevel="0" collapsed="false">
      <c r="B31" s="14" t="str">
        <f aca="false">IFERROR('Enter data'!$B$6,"")</f>
        <v>shade_leaf</v>
      </c>
      <c r="C31" s="16" t="n">
        <f aca="false">IFERROR(COUNT($D$18:$D$25),"")</f>
        <v>4</v>
      </c>
      <c r="D31" s="17" t="n">
        <f aca="false">IFERROR(AVERAGE($D$18:$D$25),"")</f>
        <v>2.38060116681096</v>
      </c>
      <c r="E31" s="17" t="n">
        <f aca="false">IFERROR(STDEV($D$18:$D$25),"")</f>
        <v>0.12505272579446</v>
      </c>
      <c r="F31" s="17" t="n">
        <f aca="false">IFERROR(STDEV($D$18:$D$25)/SQRT(COUNT($D$18:$D$25)),"")</f>
        <v>0.0625263628972299</v>
      </c>
      <c r="G31" s="17" t="n">
        <f aca="false">IFERROR(MIN($D$18:$D$25),"")</f>
        <v>2.21621621621622</v>
      </c>
      <c r="H31" s="17" t="n">
        <f aca="false">IFERROR(MAX($D$18:$D$25),"")</f>
        <v>2.49253731343284</v>
      </c>
    </row>
    <row r="34" customFormat="false" ht="15" hidden="false" customHeight="false" outlineLevel="0" collapsed="false">
      <c r="B34" s="9" t="s">
        <v>54</v>
      </c>
    </row>
    <row r="35" customFormat="false" ht="15" hidden="false" customHeight="false" outlineLevel="0" collapsed="false">
      <c r="B35" s="19" t="s">
        <v>55</v>
      </c>
      <c r="C35" s="20" t="n">
        <f aca="false">IFERROR($D$30-$D$31,"")</f>
        <v>0.658779737372573</v>
      </c>
    </row>
    <row r="36" customFormat="false" ht="15" hidden="false" customHeight="false" outlineLevel="0" collapsed="false">
      <c r="B36" s="19" t="s">
        <v>56</v>
      </c>
      <c r="C36" s="20" t="n">
        <f aca="false">IFERROR(SQRT($F$30^2+$F$31^2),"")</f>
        <v>0.168390953980225</v>
      </c>
    </row>
    <row r="37" customFormat="false" ht="15" hidden="false" customHeight="false" outlineLevel="0" collapsed="false">
      <c r="B37" s="19" t="s">
        <v>57</v>
      </c>
      <c r="C37" s="21" t="n">
        <f aca="false">IFERROR((($E$30^2/$C$30+$E$31^2/$C$31)^2/(($E$30^2/$C$30)^2/($C$30-1)+($E$31^2/$C$31)^2/($C$31-1))),"")</f>
        <v>3.93562618697665</v>
      </c>
    </row>
    <row r="38" customFormat="false" ht="15" hidden="false" customHeight="false" outlineLevel="0" collapsed="false">
      <c r="B38" s="19" t="s">
        <v>58</v>
      </c>
      <c r="C38" s="22" t="n">
        <f aca="false">IFERROR(TTEST($C$18:$C$25,$D$18:$D$25,2,3),"")</f>
        <v>0.0179073643335589</v>
      </c>
    </row>
    <row r="39" customFormat="false" ht="15" hidden="false" customHeight="false" outlineLevel="0" collapsed="false">
      <c r="B39" s="19" t="s">
        <v>59</v>
      </c>
      <c r="C39" s="20" t="n">
        <f aca="false">IFERROR($C$35-TINV(0.05,$C$37)*$C$36,"")</f>
        <v>0.122884568035008</v>
      </c>
    </row>
    <row r="40" customFormat="false" ht="15" hidden="false" customHeight="false" outlineLevel="0" collapsed="false">
      <c r="B40" s="19" t="s">
        <v>60</v>
      </c>
      <c r="C40" s="20" t="n">
        <f aca="false">IFERROR($C$35+TINV(0.05,$C$37)*$C$36,"")</f>
        <v>1.19467490671014</v>
      </c>
    </row>
  </sheetData>
  <sheetProtection sheet="true" formatColumns="false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2026-10-01T00:32:09Z</dcterms:created>
  <dc:creator>Emmanuel G. Lozano</dc:creator>
  <dc:description>Compiled by Emmanuel G. Lozano, Department of Biology, College of Arts and Sciences, Pampanga State University. Original material is licensed CC BY-NC 4.0: credit required, non-commercial use only.</dc:description>
  <dc:language>en-US</dc:language>
  <cp:lastModifiedBy/>
  <dcterms:modified xsi:type="dcterms:W3CDTF">2026-10-01T00:32:09Z</dcterms:modified>
  <cp:revision>0</cp:revision>
  <dc:subject/>
  <dc:title>BOT-03 Photosynthetic pigments by paper chromatography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