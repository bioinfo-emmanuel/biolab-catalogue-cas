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<sst xmlns="http://schemas.openxmlformats.org/spreadsheetml/2006/main" count="116" uniqueCount="81">
  <si>
    <t xml:space="preserve">BOT-01  Stomatal density and index from leaf impressions</t>
  </si>
  <si>
    <t xml:space="preserve">Excel version of the card. It does the same calculations as the R script stomata_analysis.R.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</si>
  <si>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</si>
  <si>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</si>
  <si>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</si>
  <si>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</si>
  <si>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</si>
  <si>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</si>
  <si>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</si>
  <si>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</si>
  <si>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Enter, for each leaf, the TOTAL stomata and epidermal cells counted over all fields on each surface. The leaf is the replicate.</t>
  </si>
  <si>
    <t xml:space="preserve">Density = stomata / (fields x field area), field area = pi x (diameter / 2)^2, per mm2. Stomatal index = 100 x stomata / (stomata + epidermal cells).</t>
  </si>
  <si>
    <t xml:space="preserve">Upper versus lower surface is tested per species with a paired t test on the leaf differences. Differences among species use one-way ANOVA on lower-surface density.</t>
  </si>
  <si>
    <t xml:space="preserve">Differences from the R script on the card</t>
  </si>
  <si>
    <t xml:space="preserve">The R script uses Tukey comparisons after the ANOVA. This workbook shows Welch t tests with a Bonferroni adjustment for each pair.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</si>
  <si>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</si>
  <si>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</si>
  <si>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</si>
  <si>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</si>
  <si>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 names</t>
  </si>
  <si>
    <t xml:space="preserve">Species 1</t>
  </si>
  <si>
    <t xml:space="preserve">Species 2</t>
  </si>
  <si>
    <t xml:space="preserve">Species 3</t>
  </si>
  <si>
    <t xml:space="preserve">Sp1</t>
  </si>
  <si>
    <t xml:space="preserve">Sp2</t>
  </si>
  <si>
    <t xml:space="preserve">Sp3</t>
  </si>
  <si>
    <t xml:space="preserve">2. Leaves of species 1 (one row per leaf)</t>
  </si>
  <si>
    <t xml:space="preserve">Leaf</t>
  </si>
  <si>
    <t xml:space="preserve">Stomata, upper (total)</t>
  </si>
  <si>
    <t xml:space="preserve">Epidermal cells, upper</t>
  </si>
  <si>
    <t xml:space="preserve">Stomata, lower</t>
  </si>
  <si>
    <t xml:space="preserve">Epidermal cells, lower</t>
  </si>
  <si>
    <t xml:space="preserve">Density upper (per mm2)</t>
  </si>
  <si>
    <t xml:space="preserve">Density lower (per mm2)</t>
  </si>
  <si>
    <t xml:space="preserve">Lower minus upper</t>
  </si>
  <si>
    <t xml:space="preserve">Index upper (%)</t>
  </si>
  <si>
    <t xml:space="preserve">Index lower (%)</t>
  </si>
  <si>
    <t xml:space="preserve">leaf 1</t>
  </si>
  <si>
    <t xml:space="preserve">leaf 2</t>
  </si>
  <si>
    <t xml:space="preserve">leaf 3</t>
  </si>
  <si>
    <t xml:space="preserve">leaf 4</t>
  </si>
  <si>
    <t xml:space="preserve">leaf 5</t>
  </si>
  <si>
    <t xml:space="preserve">leaf 6</t>
  </si>
  <si>
    <t xml:space="preserve">3. Leaves of species 2 (one row per leaf)</t>
  </si>
  <si>
    <t xml:space="preserve">4. Leaves of species 3 (one row per leaf)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</si>
  <si>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</si>
  <si>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</si>
  <si>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</si>
  <si>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Fields counted per surface</t>
  </si>
  <si>
    <t xml:space="preserve">Field diameter (mm)</t>
  </si>
  <si>
    <t xml:space="preserve">Calibrated with a ruler at the objective you counted with.</t>
  </si>
  <si>
    <t xml:space="preserve">Each species: upper versus lower surface (paired by leaf)</t>
  </si>
  <si>
    <t xml:space="preserve">Species</t>
  </si>
  <si>
    <t xml:space="preserve">Leaves</t>
  </si>
  <si>
    <t xml:space="preserve">Mean density upper</t>
  </si>
  <si>
    <t xml:space="preserve">Mean density lower</t>
  </si>
  <si>
    <t xml:space="preserve">Mean difference</t>
  </si>
  <si>
    <t xml:space="preserve">SD of differences</t>
  </si>
  <si>
    <t xml:space="preserve">t</t>
  </si>
  <si>
    <t xml:space="preserve">p (paired)</t>
  </si>
  <si>
    <t xml:space="preserve">Mean index upper (%)</t>
  </si>
  <si>
    <t xml:space="preserve">Mean index lower (%)</t>
  </si>
  <si>
    <t xml:space="preserve">Lower-surface density (per mm2) by species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</si>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</sst>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"/>
    <numFmt numFmtId="168" formatCode="0.00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s">
        <v>25</v>
      </c>
    </row>
    <row r="9" customFormat="false" ht="15" hidden="false" customHeight="false" outlineLevel="0" collapsed="false">
      <c r="A9" s="9" t="s">
        <v>26</v>
      </c>
    </row>
    <row r="10" customFormat="false" ht="31.5" hidden="false" customHeight="true" outlineLevel="0" collapsed="false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 t="s">
        <v>33</v>
      </c>
      <c r="H10" s="10" t="s">
        <v>34</v>
      </c>
      <c r="I10" s="10" t="s">
        <v>35</v>
      </c>
      <c r="J10" s="10" t="s">
        <v>36</v>
      </c>
    </row>
    <row r="11" customFormat="false" ht="15" hidden="false" customHeight="false" outlineLevel="0" collapsed="false">
      <c r="A11" s="12" t="s">
        <v>37</v>
      </c>
      <c r="B11" s="12" t="n">
        <v>8</v>
      </c>
      <c r="C11" s="12" t="n">
        <v>480</v>
      </c>
      <c r="D11" s="12" t="n">
        <v>95</v>
      </c>
      <c r="E11" s="12" t="n">
        <v>440</v>
      </c>
    </row>
    <row r="12" customFormat="false" ht="15" hidden="false" customHeight="false" outlineLevel="0" collapsed="false">
      <c r="A12" s="11" t="s">
        <v>37</v>
      </c>
      <c r="B12" s="11" t="n">
        <v>26</v>
      </c>
      <c r="C12" s="11" t="n">
        <v>368</v>
      </c>
      <c r="D12" s="11" t="n">
        <v>220</v>
      </c>
      <c r="E12" s="11" t="n">
        <v>340</v>
      </c>
      <c r="F12" s="13" t="n">
        <f aca="false">IF(ISNUMBER(B12),B12/(Results!$C$5*PI()*(Results!$C$6/2)^2),"")</f>
        <v>32.695533988261</v>
      </c>
      <c r="G12" s="13" t="n">
        <f aca="false">IF(ISNUMBER(D12),D12/(Results!$C$5*PI()*(Results!$C$6/2)^2),"")</f>
        <v>276.654518362208</v>
      </c>
      <c r="H12" s="13" t="n">
        <f aca="false">IF(AND(ISNUMBER(F12),ISNUMBER(G12)),G12-F12,"")</f>
        <v>243.958984373947</v>
      </c>
      <c r="I12" s="13" t="n">
        <f aca="false">IF(AND(ISNUMBER(B12),ISNUMBER(C12)),100*B12/(B12+C12),"")</f>
        <v>6.5989847715736</v>
      </c>
      <c r="J12" s="13" t="n">
        <f aca="false">IF(AND(ISNUMBER(D12),ISNUMBER(E12)),100*D12/(D12+E12),"")</f>
        <v>39.2857142857143</v>
      </c>
    </row>
    <row r="13" customFormat="false" ht="15" hidden="false" customHeight="false" outlineLevel="0" collapsed="false">
      <c r="A13" s="11" t="s">
        <v>38</v>
      </c>
      <c r="B13" s="11" t="n">
        <v>21</v>
      </c>
      <c r="C13" s="11" t="n">
        <v>355</v>
      </c>
      <c r="D13" s="11" t="n">
        <v>295</v>
      </c>
      <c r="E13" s="11" t="n">
        <v>355</v>
      </c>
      <c r="F13" s="13" t="n">
        <f aca="false">IF(ISNUMBER(B13),B13/(Results!$C$5*PI()*(Results!$C$6/2)^2),"")</f>
        <v>26.4079312982108</v>
      </c>
      <c r="G13" s="13" t="n">
        <f aca="false">IF(ISNUMBER(D13),D13/(Results!$C$5*PI()*(Results!$C$6/2)^2),"")</f>
        <v>370.968558712961</v>
      </c>
      <c r="H13" s="13" t="n">
        <f aca="false">IF(AND(ISNUMBER(F13),ISNUMBER(G13)),G13-F13,"")</f>
        <v>344.56062741475</v>
      </c>
      <c r="I13" s="13" t="n">
        <f aca="false">IF(AND(ISNUMBER(B13),ISNUMBER(C13)),100*B13/(B13+C13),"")</f>
        <v>5.58510638297872</v>
      </c>
      <c r="J13" s="13" t="n">
        <f aca="false">IF(AND(ISNUMBER(D13),ISNUMBER(E13)),100*D13/(D13+E13),"")</f>
        <v>45.3846153846154</v>
      </c>
    </row>
    <row r="14" customFormat="false" ht="15" hidden="false" customHeight="false" outlineLevel="0" collapsed="false">
      <c r="A14" s="11" t="s">
        <v>39</v>
      </c>
      <c r="B14" s="11" t="n">
        <v>23</v>
      </c>
      <c r="C14" s="11" t="n">
        <v>339</v>
      </c>
      <c r="D14" s="11" t="n">
        <v>240</v>
      </c>
      <c r="E14" s="11" t="n">
        <v>339</v>
      </c>
      <c r="F14" s="13" t="n">
        <f aca="false">IF(ISNUMBER(B14),B14/(Results!$C$5*PI()*(Results!$C$6/2)^2),"")</f>
        <v>28.9229723742309</v>
      </c>
      <c r="G14" s="13" t="n">
        <f aca="false">IF(ISNUMBER(D14),D14/(Results!$C$5*PI()*(Results!$C$6/2)^2),"")</f>
        <v>301.804929122409</v>
      </c>
      <c r="H14" s="13" t="n">
        <f aca="false">IF(AND(ISNUMBER(F14),ISNUMBER(G14)),G14-F14,"")</f>
        <v>272.881956748178</v>
      </c>
      <c r="I14" s="13" t="n">
        <f aca="false">IF(AND(ISNUMBER(B14),ISNUMBER(C14)),100*B14/(B14+C14),"")</f>
        <v>6.35359116022099</v>
      </c>
      <c r="J14" s="13" t="n">
        <f aca="false">IF(AND(ISNUMBER(D14),ISNUMBER(E14)),100*D14/(D14+E14),"")</f>
        <v>41.4507772020725</v>
      </c>
    </row>
    <row r="15" customFormat="false" ht="15" hidden="false" customHeight="false" outlineLevel="0" collapsed="false">
      <c r="A15" s="11" t="s">
        <v>40</v>
      </c>
      <c r="B15" s="11" t="n">
        <v>27</v>
      </c>
      <c r="C15" s="11" t="n">
        <v>366</v>
      </c>
      <c r="D15" s="11" t="n">
        <v>243</v>
      </c>
      <c r="E15" s="11" t="n">
        <v>391</v>
      </c>
      <c r="F15" s="13" t="n">
        <f aca="false">IF(ISNUMBER(B15),B15/(Results!$C$5*PI()*(Results!$C$6/2)^2),"")</f>
        <v>33.953054526271</v>
      </c>
      <c r="G15" s="13" t="n">
        <f aca="false">IF(ISNUMBER(D15),D15/(Results!$C$5*PI()*(Results!$C$6/2)^2),"")</f>
        <v>305.577490736439</v>
      </c>
      <c r="H15" s="13" t="n">
        <f aca="false">IF(AND(ISNUMBER(F15),ISNUMBER(G15)),G15-F15,"")</f>
        <v>271.624436210168</v>
      </c>
      <c r="I15" s="13" t="n">
        <f aca="false">IF(AND(ISNUMBER(B15),ISNUMBER(C15)),100*B15/(B15+C15),"")</f>
        <v>6.87022900763359</v>
      </c>
      <c r="J15" s="13" t="n">
        <f aca="false">IF(AND(ISNUMBER(D15),ISNUMBER(E15)),100*D15/(D15+E15),"")</f>
        <v>38.3280757097792</v>
      </c>
    </row>
    <row r="16" customFormat="false" ht="15" hidden="false" customHeight="false" outlineLevel="0" collapsed="false">
      <c r="A16" s="11" t="s">
        <v>41</v>
      </c>
      <c r="B16" s="11" t="n">
        <v>20</v>
      </c>
      <c r="C16" s="11" t="n">
        <v>324</v>
      </c>
      <c r="D16" s="11" t="n">
        <v>208</v>
      </c>
      <c r="E16" s="11" t="n">
        <v>348</v>
      </c>
      <c r="F16" s="13" t="n">
        <f aca="false">IF(ISNUMBER(B16),B16/(Results!$C$5*PI()*(Results!$C$6/2)^2),"")</f>
        <v>25.1504107602007</v>
      </c>
      <c r="G16" s="13" t="n">
        <f aca="false">IF(ISNUMBER(D16),D16/(Results!$C$5*PI()*(Results!$C$6/2)^2),"")</f>
        <v>261.564271906088</v>
      </c>
      <c r="H16" s="13" t="n">
        <f aca="false">IF(AND(ISNUMBER(F16),ISNUMBER(G16)),G16-F16,"")</f>
        <v>236.413861145887</v>
      </c>
      <c r="I16" s="13" t="n">
        <f aca="false">IF(AND(ISNUMBER(B16),ISNUMBER(C16)),100*B16/(B16+C16),"")</f>
        <v>5.81395348837209</v>
      </c>
      <c r="J16" s="13" t="n">
        <f aca="false">IF(AND(ISNUMBER(D16),ISNUMBER(E16)),100*D16/(D16+E16),"")</f>
        <v>37.410071942446</v>
      </c>
    </row>
    <row r="17" customFormat="false" ht="15" hidden="false" customHeight="false" outlineLevel="0" collapsed="false">
      <c r="A17" s="11" t="s">
        <v>42</v>
      </c>
      <c r="B17" s="11" t="n">
        <v>21</v>
      </c>
      <c r="C17" s="11" t="n">
        <v>312</v>
      </c>
      <c r="D17" s="11" t="n">
        <v>238</v>
      </c>
      <c r="E17" s="11" t="n">
        <v>351</v>
      </c>
      <c r="F17" s="13" t="n">
        <f aca="false">IF(ISNUMBER(B17),B17/(Results!$C$5*PI()*(Results!$C$6/2)^2),"")</f>
        <v>26.4079312982108</v>
      </c>
      <c r="G17" s="13" t="n">
        <f aca="false">IF(ISNUMBER(D17),D17/(Results!$C$5*PI()*(Results!$C$6/2)^2),"")</f>
        <v>299.289888046389</v>
      </c>
      <c r="H17" s="13" t="n">
        <f aca="false">IF(AND(ISNUMBER(F17),ISNUMBER(G17)),G17-F17,"")</f>
        <v>272.881956748178</v>
      </c>
      <c r="I17" s="13" t="n">
        <f aca="false">IF(AND(ISNUMBER(B17),ISNUMBER(C17)),100*B17/(B17+C17),"")</f>
        <v>6.30630630630631</v>
      </c>
      <c r="J17" s="13" t="n">
        <f aca="false">IF(AND(ISNUMBER(D17),ISNUMBER(E17)),100*D17/(D17+E17),"")</f>
        <v>40.4074702886248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3" t="str">
        <f aca="false">IF(ISNUMBER(B18),B18/(Results!$C$5*PI()*(Results!$C$6/2)^2),"")</f>
        <v/>
      </c>
      <c r="G18" s="13" t="str">
        <f aca="false">IF(ISNUMBER(D18),D18/(Results!$C$5*PI()*(Results!$C$6/2)^2),"")</f>
        <v/>
      </c>
      <c r="H18" s="13" t="str">
        <f aca="false">IF(AND(ISNUMBER(F18),ISNUMBER(G18)),G18-F18,"")</f>
        <v/>
      </c>
      <c r="I18" s="13" t="str">
        <f aca="false">IF(AND(ISNUMBER(B18),ISNUMBER(C18)),100*B18/(B18+C18),"")</f>
        <v/>
      </c>
      <c r="J18" s="13" t="str">
        <f aca="false">IF(AND(ISNUMBER(D18),ISNUMBER(E18)),100*D18/(D18+E18),"")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3" t="str">
        <f aca="false">IF(ISNUMBER(B19),B19/(Results!$C$5*PI()*(Results!$C$6/2)^2),"")</f>
        <v/>
      </c>
      <c r="G19" s="13" t="str">
        <f aca="false">IF(ISNUMBER(D19),D19/(Results!$C$5*PI()*(Results!$C$6/2)^2),"")</f>
        <v/>
      </c>
      <c r="H19" s="13" t="str">
        <f aca="false">IF(AND(ISNUMBER(F19),ISNUMBER(G19)),G19-F19,"")</f>
        <v/>
      </c>
      <c r="I19" s="13" t="str">
        <f aca="false">IF(AND(ISNUMBER(B19),ISNUMBER(C19)),100*B19/(B19+C19),"")</f>
        <v/>
      </c>
      <c r="J19" s="13" t="str">
        <f aca="false">IF(AND(ISNUMBER(D19),ISNUMBER(E19)),100*D19/(D19+E19),"")</f>
        <v/>
      </c>
    </row>
    <row r="22" customFormat="false" ht="15" hidden="false" customHeight="false" outlineLevel="0" collapsed="false">
      <c r="A22" s="9" t="s">
        <v>43</v>
      </c>
    </row>
    <row r="23" customFormat="false" ht="31.5" hidden="false" customHeight="true" outlineLevel="0" collapsed="false">
      <c r="A23" s="10" t="s">
        <v>27</v>
      </c>
      <c r="B23" s="10" t="s">
        <v>28</v>
      </c>
      <c r="C23" s="10" t="s">
        <v>29</v>
      </c>
      <c r="D23" s="10" t="s">
        <v>30</v>
      </c>
      <c r="E23" s="10" t="s">
        <v>31</v>
      </c>
      <c r="F23" s="10" t="s">
        <v>32</v>
      </c>
      <c r="G23" s="10" t="s">
        <v>33</v>
      </c>
      <c r="H23" s="10" t="s">
        <v>34</v>
      </c>
      <c r="I23" s="10" t="s">
        <v>35</v>
      </c>
      <c r="J23" s="10" t="s">
        <v>36</v>
      </c>
    </row>
    <row r="24" customFormat="false" ht="15" hidden="false" customHeight="false" outlineLevel="0" collapsed="false">
      <c r="A24" s="12" t="s">
        <v>37</v>
      </c>
      <c r="B24" s="12" t="n">
        <v>8</v>
      </c>
      <c r="C24" s="12" t="n">
        <v>480</v>
      </c>
      <c r="D24" s="12" t="n">
        <v>95</v>
      </c>
      <c r="E24" s="12" t="n">
        <v>440</v>
      </c>
    </row>
    <row r="25" customFormat="false" ht="15" hidden="false" customHeight="false" outlineLevel="0" collapsed="false">
      <c r="A25" s="11" t="s">
        <v>37</v>
      </c>
      <c r="B25" s="11" t="n">
        <v>73</v>
      </c>
      <c r="C25" s="11" t="n">
        <v>344</v>
      </c>
      <c r="D25" s="11" t="n">
        <v>146</v>
      </c>
      <c r="E25" s="11" t="n">
        <v>385</v>
      </c>
      <c r="F25" s="13" t="n">
        <f aca="false">IF(ISNUMBER(B25),B25/(Results!$C$5*PI()*(Results!$C$6/2)^2),"")</f>
        <v>91.7989992747327</v>
      </c>
      <c r="G25" s="13" t="n">
        <f aca="false">IF(ISNUMBER(D25),D25/(Results!$C$5*PI()*(Results!$C$6/2)^2),"")</f>
        <v>183.597998549465</v>
      </c>
      <c r="H25" s="13" t="n">
        <f aca="false">IF(AND(ISNUMBER(F25),ISNUMBER(G25)),G25-F25,"")</f>
        <v>91.7989992747327</v>
      </c>
      <c r="I25" s="13" t="n">
        <f aca="false">IF(AND(ISNUMBER(B25),ISNUMBER(C25)),100*B25/(B25+C25),"")</f>
        <v>17.5059952038369</v>
      </c>
      <c r="J25" s="13" t="n">
        <f aca="false">IF(AND(ISNUMBER(D25),ISNUMBER(E25)),100*D25/(D25+E25),"")</f>
        <v>27.4952919020716</v>
      </c>
    </row>
    <row r="26" customFormat="false" ht="15" hidden="false" customHeight="false" outlineLevel="0" collapsed="false">
      <c r="A26" s="11" t="s">
        <v>38</v>
      </c>
      <c r="B26" s="11" t="n">
        <v>88</v>
      </c>
      <c r="C26" s="11" t="n">
        <v>348</v>
      </c>
      <c r="D26" s="11" t="n">
        <v>160</v>
      </c>
      <c r="E26" s="11" t="n">
        <v>368</v>
      </c>
      <c r="F26" s="13" t="n">
        <f aca="false">IF(ISNUMBER(B26),B26/(Results!$C$5*PI()*(Results!$C$6/2)^2),"")</f>
        <v>110.661807344883</v>
      </c>
      <c r="G26" s="13" t="n">
        <f aca="false">IF(ISNUMBER(D26),D26/(Results!$C$5*PI()*(Results!$C$6/2)^2),"")</f>
        <v>201.203286081606</v>
      </c>
      <c r="H26" s="13" t="n">
        <f aca="false">IF(AND(ISNUMBER(F26),ISNUMBER(G26)),G26-F26,"")</f>
        <v>90.5414787367227</v>
      </c>
      <c r="I26" s="13" t="n">
        <f aca="false">IF(AND(ISNUMBER(B26),ISNUMBER(C26)),100*B26/(B26+C26),"")</f>
        <v>20.1834862385321</v>
      </c>
      <c r="J26" s="13" t="n">
        <f aca="false">IF(AND(ISNUMBER(D26),ISNUMBER(E26)),100*D26/(D26+E26),"")</f>
        <v>30.3030303030303</v>
      </c>
    </row>
    <row r="27" customFormat="false" ht="15" hidden="false" customHeight="false" outlineLevel="0" collapsed="false">
      <c r="A27" s="11" t="s">
        <v>39</v>
      </c>
      <c r="B27" s="11" t="n">
        <v>90</v>
      </c>
      <c r="C27" s="11" t="n">
        <v>382</v>
      </c>
      <c r="D27" s="11" t="n">
        <v>166</v>
      </c>
      <c r="E27" s="11" t="n">
        <v>374</v>
      </c>
      <c r="F27" s="13" t="n">
        <f aca="false">IF(ISNUMBER(B27),B27/(Results!$C$5*PI()*(Results!$C$6/2)^2),"")</f>
        <v>113.176848420903</v>
      </c>
      <c r="G27" s="13" t="n">
        <f aca="false">IF(ISNUMBER(D27),D27/(Results!$C$5*PI()*(Results!$C$6/2)^2),"")</f>
        <v>208.748409309666</v>
      </c>
      <c r="H27" s="13" t="n">
        <f aca="false">IF(AND(ISNUMBER(F27),ISNUMBER(G27)),G27-F27,"")</f>
        <v>95.5715608887628</v>
      </c>
      <c r="I27" s="13" t="n">
        <f aca="false">IF(AND(ISNUMBER(B27),ISNUMBER(C27)),100*B27/(B27+C27),"")</f>
        <v>19.0677966101695</v>
      </c>
      <c r="J27" s="13" t="n">
        <f aca="false">IF(AND(ISNUMBER(D27),ISNUMBER(E27)),100*D27/(D27+E27),"")</f>
        <v>30.7407407407407</v>
      </c>
    </row>
    <row r="28" customFormat="false" ht="15" hidden="false" customHeight="false" outlineLevel="0" collapsed="false">
      <c r="A28" s="11" t="s">
        <v>40</v>
      </c>
      <c r="B28" s="11" t="n">
        <v>65</v>
      </c>
      <c r="C28" s="11" t="n">
        <v>372</v>
      </c>
      <c r="D28" s="11" t="n">
        <v>168</v>
      </c>
      <c r="E28" s="11" t="n">
        <v>325</v>
      </c>
      <c r="F28" s="13" t="n">
        <f aca="false">IF(ISNUMBER(B28),B28/(Results!$C$5*PI()*(Results!$C$6/2)^2),"")</f>
        <v>81.7388349706524</v>
      </c>
      <c r="G28" s="13" t="n">
        <f aca="false">IF(ISNUMBER(D28),D28/(Results!$C$5*PI()*(Results!$C$6/2)^2),"")</f>
        <v>211.263450385686</v>
      </c>
      <c r="H28" s="13" t="n">
        <f aca="false">IF(AND(ISNUMBER(F28),ISNUMBER(G28)),G28-F28,"")</f>
        <v>129.524615415034</v>
      </c>
      <c r="I28" s="13" t="n">
        <f aca="false">IF(AND(ISNUMBER(B28),ISNUMBER(C28)),100*B28/(B28+C28),"")</f>
        <v>14.8741418764302</v>
      </c>
      <c r="J28" s="13" t="n">
        <f aca="false">IF(AND(ISNUMBER(D28),ISNUMBER(E28)),100*D28/(D28+E28),"")</f>
        <v>34.0770791075051</v>
      </c>
    </row>
    <row r="29" customFormat="false" ht="15" hidden="false" customHeight="false" outlineLevel="0" collapsed="false">
      <c r="A29" s="11" t="s">
        <v>41</v>
      </c>
      <c r="B29" s="11" t="n">
        <v>75</v>
      </c>
      <c r="C29" s="11" t="n">
        <v>351</v>
      </c>
      <c r="D29" s="11" t="n">
        <v>163</v>
      </c>
      <c r="E29" s="11" t="n">
        <v>363</v>
      </c>
      <c r="F29" s="13" t="n">
        <f aca="false">IF(ISNUMBER(B29),B29/(Results!$C$5*PI()*(Results!$C$6/2)^2),"")</f>
        <v>94.3140403507528</v>
      </c>
      <c r="G29" s="13" t="n">
        <f aca="false">IF(ISNUMBER(D29),D29/(Results!$C$5*PI()*(Results!$C$6/2)^2),"")</f>
        <v>204.975847695636</v>
      </c>
      <c r="H29" s="13" t="n">
        <f aca="false">IF(AND(ISNUMBER(F29),ISNUMBER(G29)),G29-F29,"")</f>
        <v>110.661807344883</v>
      </c>
      <c r="I29" s="13" t="n">
        <f aca="false">IF(AND(ISNUMBER(B29),ISNUMBER(C29)),100*B29/(B29+C29),"")</f>
        <v>17.6056338028169</v>
      </c>
      <c r="J29" s="13" t="n">
        <f aca="false">IF(AND(ISNUMBER(D29),ISNUMBER(E29)),100*D29/(D29+E29),"")</f>
        <v>30.9885931558935</v>
      </c>
    </row>
    <row r="30" customFormat="false" ht="15" hidden="false" customHeight="false" outlineLevel="0" collapsed="false">
      <c r="A30" s="11" t="s">
        <v>42</v>
      </c>
      <c r="B30" s="11" t="n">
        <v>74</v>
      </c>
      <c r="C30" s="11" t="n">
        <v>368</v>
      </c>
      <c r="D30" s="11" t="n">
        <v>145</v>
      </c>
      <c r="E30" s="11" t="n">
        <v>372</v>
      </c>
      <c r="F30" s="13" t="n">
        <f aca="false">IF(ISNUMBER(B30),B30/(Results!$C$5*PI()*(Results!$C$6/2)^2),"")</f>
        <v>93.0565198127428</v>
      </c>
      <c r="G30" s="13" t="n">
        <f aca="false">IF(ISNUMBER(D30),D30/(Results!$C$5*PI()*(Results!$C$6/2)^2),"")</f>
        <v>182.340478011455</v>
      </c>
      <c r="H30" s="13" t="n">
        <f aca="false">IF(AND(ISNUMBER(F30),ISNUMBER(G30)),G30-F30,"")</f>
        <v>89.2839581987126</v>
      </c>
      <c r="I30" s="13" t="n">
        <f aca="false">IF(AND(ISNUMBER(B30),ISNUMBER(C30)),100*B30/(B30+C30),"")</f>
        <v>16.7420814479638</v>
      </c>
      <c r="J30" s="13" t="n">
        <f aca="false">IF(AND(ISNUMBER(D30),ISNUMBER(E30)),100*D30/(D30+E30),"")</f>
        <v>28.0464216634429</v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3" t="str">
        <f aca="false">IF(ISNUMBER(B31),B31/(Results!$C$5*PI()*(Results!$C$6/2)^2),"")</f>
        <v/>
      </c>
      <c r="G31" s="13" t="str">
        <f aca="false">IF(ISNUMBER(D31),D31/(Results!$C$5*PI()*(Results!$C$6/2)^2),"")</f>
        <v/>
      </c>
      <c r="H31" s="13" t="str">
        <f aca="false">IF(AND(ISNUMBER(F31),ISNUMBER(G31)),G31-F31,"")</f>
        <v/>
      </c>
      <c r="I31" s="13" t="str">
        <f aca="false">IF(AND(ISNUMBER(B31),ISNUMBER(C31)),100*B31/(B31+C31),"")</f>
        <v/>
      </c>
      <c r="J31" s="13" t="str">
        <f aca="false">IF(AND(ISNUMBER(D31),ISNUMBER(E31)),100*D31/(D31+E31),"")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3" t="str">
        <f aca="false">IF(ISNUMBER(B32),B32/(Results!$C$5*PI()*(Results!$C$6/2)^2),"")</f>
        <v/>
      </c>
      <c r="G32" s="13" t="str">
        <f aca="false">IF(ISNUMBER(D32),D32/(Results!$C$5*PI()*(Results!$C$6/2)^2),"")</f>
        <v/>
      </c>
      <c r="H32" s="13" t="str">
        <f aca="false">IF(AND(ISNUMBER(F32),ISNUMBER(G32)),G32-F32,"")</f>
        <v/>
      </c>
      <c r="I32" s="13" t="str">
        <f aca="false">IF(AND(ISNUMBER(B32),ISNUMBER(C32)),100*B32/(B32+C32),"")</f>
        <v/>
      </c>
      <c r="J32" s="13" t="str">
        <f aca="false">IF(AND(ISNUMBER(D32),ISNUMBER(E32)),100*D32/(D32+E32),"")</f>
        <v/>
      </c>
    </row>
    <row r="35" customFormat="false" ht="15" hidden="false" customHeight="false" outlineLevel="0" collapsed="false">
      <c r="A35" s="9" t="s">
        <v>44</v>
      </c>
    </row>
    <row r="36" customFormat="false" ht="31.5" hidden="false" customHeight="true" outlineLevel="0" collapsed="false">
      <c r="A36" s="10" t="s">
        <v>27</v>
      </c>
      <c r="B36" s="10" t="s">
        <v>28</v>
      </c>
      <c r="C36" s="10" t="s">
        <v>29</v>
      </c>
      <c r="D36" s="10" t="s">
        <v>30</v>
      </c>
      <c r="E36" s="10" t="s">
        <v>31</v>
      </c>
      <c r="F36" s="10" t="s">
        <v>32</v>
      </c>
      <c r="G36" s="10" t="s">
        <v>33</v>
      </c>
      <c r="H36" s="10" t="s">
        <v>34</v>
      </c>
      <c r="I36" s="10" t="s">
        <v>35</v>
      </c>
      <c r="J36" s="10" t="s">
        <v>36</v>
      </c>
    </row>
    <row r="37" customFormat="false" ht="15" hidden="false" customHeight="false" outlineLevel="0" collapsed="false">
      <c r="A37" s="12" t="s">
        <v>37</v>
      </c>
      <c r="B37" s="12" t="n">
        <v>8</v>
      </c>
      <c r="C37" s="12" t="n">
        <v>480</v>
      </c>
      <c r="D37" s="12" t="n">
        <v>95</v>
      </c>
      <c r="E37" s="12" t="n">
        <v>440</v>
      </c>
    </row>
    <row r="38" customFormat="false" ht="15" hidden="false" customHeight="false" outlineLevel="0" collapsed="false">
      <c r="A38" s="11" t="s">
        <v>37</v>
      </c>
      <c r="B38" s="11" t="n">
        <v>2</v>
      </c>
      <c r="C38" s="11" t="n">
        <v>362</v>
      </c>
      <c r="D38" s="11" t="n">
        <v>86</v>
      </c>
      <c r="E38" s="11" t="n">
        <v>376</v>
      </c>
      <c r="F38" s="13" t="n">
        <f aca="false">IF(ISNUMBER(B38),B38/(Results!$C$5*PI()*(Results!$C$6/2)^2),"")</f>
        <v>2.51504107602007</v>
      </c>
      <c r="G38" s="13" t="n">
        <f aca="false">IF(ISNUMBER(D38),D38/(Results!$C$5*PI()*(Results!$C$6/2)^2),"")</f>
        <v>108.146766268863</v>
      </c>
      <c r="H38" s="13" t="n">
        <f aca="false">IF(AND(ISNUMBER(F38),ISNUMBER(G38)),G38-F38,"")</f>
        <v>105.631725192843</v>
      </c>
      <c r="I38" s="13" t="n">
        <f aca="false">IF(AND(ISNUMBER(B38),ISNUMBER(C38)),100*B38/(B38+C38),"")</f>
        <v>0.54945054945055</v>
      </c>
      <c r="J38" s="13" t="n">
        <f aca="false">IF(AND(ISNUMBER(D38),ISNUMBER(E38)),100*D38/(D38+E38),"")</f>
        <v>18.6147186147186</v>
      </c>
    </row>
    <row r="39" customFormat="false" ht="15" hidden="false" customHeight="false" outlineLevel="0" collapsed="false">
      <c r="A39" s="11" t="s">
        <v>38</v>
      </c>
      <c r="B39" s="11" t="n">
        <v>1</v>
      </c>
      <c r="C39" s="11" t="n">
        <v>364</v>
      </c>
      <c r="D39" s="11" t="n">
        <v>82</v>
      </c>
      <c r="E39" s="11" t="n">
        <v>345</v>
      </c>
      <c r="F39" s="13" t="n">
        <f aca="false">IF(ISNUMBER(B39),B39/(Results!$C$5*PI()*(Results!$C$6/2)^2),"")</f>
        <v>1.25752053801004</v>
      </c>
      <c r="G39" s="13" t="n">
        <f aca="false">IF(ISNUMBER(D39),D39/(Results!$C$5*PI()*(Results!$C$6/2)^2),"")</f>
        <v>103.116684116823</v>
      </c>
      <c r="H39" s="13" t="n">
        <f aca="false">IF(AND(ISNUMBER(F39),ISNUMBER(G39)),G39-F39,"")</f>
        <v>101.859163578813</v>
      </c>
      <c r="I39" s="13" t="n">
        <f aca="false">IF(AND(ISNUMBER(B39),ISNUMBER(C39)),100*B39/(B39+C39),"")</f>
        <v>0.273972602739726</v>
      </c>
      <c r="J39" s="13" t="n">
        <f aca="false">IF(AND(ISNUMBER(D39),ISNUMBER(E39)),100*D39/(D39+E39),"")</f>
        <v>19.2037470725995</v>
      </c>
    </row>
    <row r="40" customFormat="false" ht="15" hidden="false" customHeight="false" outlineLevel="0" collapsed="false">
      <c r="A40" s="11" t="s">
        <v>39</v>
      </c>
      <c r="B40" s="11" t="n">
        <v>2</v>
      </c>
      <c r="C40" s="11" t="n">
        <v>368</v>
      </c>
      <c r="D40" s="11" t="n">
        <v>103</v>
      </c>
      <c r="E40" s="11" t="n">
        <v>346</v>
      </c>
      <c r="F40" s="13" t="n">
        <f aca="false">IF(ISNUMBER(B40),B40/(Results!$C$5*PI()*(Results!$C$6/2)^2),"")</f>
        <v>2.51504107602007</v>
      </c>
      <c r="G40" s="13" t="n">
        <f aca="false">IF(ISNUMBER(D40),D40/(Results!$C$5*PI()*(Results!$C$6/2)^2),"")</f>
        <v>129.524615415034</v>
      </c>
      <c r="H40" s="13" t="n">
        <f aca="false">IF(AND(ISNUMBER(F40),ISNUMBER(G40)),G40-F40,"")</f>
        <v>127.009574339014</v>
      </c>
      <c r="I40" s="13" t="n">
        <f aca="false">IF(AND(ISNUMBER(B40),ISNUMBER(C40)),100*B40/(B40+C40),"")</f>
        <v>0.540540540540541</v>
      </c>
      <c r="J40" s="13" t="n">
        <f aca="false">IF(AND(ISNUMBER(D40),ISNUMBER(E40)),100*D40/(D40+E40),"")</f>
        <v>22.9398663697105</v>
      </c>
    </row>
    <row r="41" customFormat="false" ht="15" hidden="false" customHeight="false" outlineLevel="0" collapsed="false">
      <c r="A41" s="11" t="s">
        <v>40</v>
      </c>
      <c r="B41" s="11" t="n">
        <v>1</v>
      </c>
      <c r="C41" s="11" t="n">
        <v>390</v>
      </c>
      <c r="D41" s="11" t="n">
        <v>113</v>
      </c>
      <c r="E41" s="11" t="n">
        <v>361</v>
      </c>
      <c r="F41" s="13" t="n">
        <f aca="false">IF(ISNUMBER(B41),B41/(Results!$C$5*PI()*(Results!$C$6/2)^2),"")</f>
        <v>1.25752053801004</v>
      </c>
      <c r="G41" s="13" t="n">
        <f aca="false">IF(ISNUMBER(D41),D41/(Results!$C$5*PI()*(Results!$C$6/2)^2),"")</f>
        <v>142.099820795134</v>
      </c>
      <c r="H41" s="13" t="n">
        <f aca="false">IF(AND(ISNUMBER(F41),ISNUMBER(G41)),G41-F41,"")</f>
        <v>140.842300257124</v>
      </c>
      <c r="I41" s="13" t="n">
        <f aca="false">IF(AND(ISNUMBER(B41),ISNUMBER(C41)),100*B41/(B41+C41),"")</f>
        <v>0.255754475703325</v>
      </c>
      <c r="J41" s="13" t="n">
        <f aca="false">IF(AND(ISNUMBER(D41),ISNUMBER(E41)),100*D41/(D41+E41),"")</f>
        <v>23.8396624472574</v>
      </c>
    </row>
    <row r="42" customFormat="false" ht="15" hidden="false" customHeight="false" outlineLevel="0" collapsed="false">
      <c r="A42" s="11" t="s">
        <v>41</v>
      </c>
      <c r="B42" s="11" t="n">
        <v>3</v>
      </c>
      <c r="C42" s="11" t="n">
        <v>352</v>
      </c>
      <c r="D42" s="11" t="n">
        <v>91</v>
      </c>
      <c r="E42" s="11" t="n">
        <v>336</v>
      </c>
      <c r="F42" s="13" t="n">
        <f aca="false">IF(ISNUMBER(B42),B42/(Results!$C$5*PI()*(Results!$C$6/2)^2),"")</f>
        <v>3.77256161403011</v>
      </c>
      <c r="G42" s="13" t="n">
        <f aca="false">IF(ISNUMBER(D42),D42/(Results!$C$5*PI()*(Results!$C$6/2)^2),"")</f>
        <v>114.434368958913</v>
      </c>
      <c r="H42" s="13" t="n">
        <f aca="false">IF(AND(ISNUMBER(F42),ISNUMBER(G42)),G42-F42,"")</f>
        <v>110.661807344883</v>
      </c>
      <c r="I42" s="13" t="n">
        <f aca="false">IF(AND(ISNUMBER(B42),ISNUMBER(C42)),100*B42/(B42+C42),"")</f>
        <v>0.845070422535211</v>
      </c>
      <c r="J42" s="13" t="n">
        <f aca="false">IF(AND(ISNUMBER(D42),ISNUMBER(E42)),100*D42/(D42+E42),"")</f>
        <v>21.3114754098361</v>
      </c>
    </row>
    <row r="43" customFormat="false" ht="15" hidden="false" customHeight="false" outlineLevel="0" collapsed="false">
      <c r="A43" s="11" t="s">
        <v>42</v>
      </c>
      <c r="B43" s="11" t="n">
        <v>5</v>
      </c>
      <c r="C43" s="11" t="n">
        <v>361</v>
      </c>
      <c r="D43" s="11" t="n">
        <v>81</v>
      </c>
      <c r="E43" s="11" t="n">
        <v>345</v>
      </c>
      <c r="F43" s="13" t="n">
        <f aca="false">IF(ISNUMBER(B43),B43/(Results!$C$5*PI()*(Results!$C$6/2)^2),"")</f>
        <v>6.28760269005019</v>
      </c>
      <c r="G43" s="13" t="n">
        <f aca="false">IF(ISNUMBER(D43),D43/(Results!$C$5*PI()*(Results!$C$6/2)^2),"")</f>
        <v>101.859163578813</v>
      </c>
      <c r="H43" s="13" t="n">
        <f aca="false">IF(AND(ISNUMBER(F43),ISNUMBER(G43)),G43-F43,"")</f>
        <v>95.5715608887628</v>
      </c>
      <c r="I43" s="13" t="n">
        <f aca="false">IF(AND(ISNUMBER(B43),ISNUMBER(C43)),100*B43/(B43+C43),"")</f>
        <v>1.36612021857924</v>
      </c>
      <c r="J43" s="13" t="n">
        <f aca="false">IF(AND(ISNUMBER(D43),ISNUMBER(E43)),100*D43/(D43+E43),"")</f>
        <v>19.0140845070423</v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3" t="str">
        <f aca="false">IF(ISNUMBER(B44),B44/(Results!$C$5*PI()*(Results!$C$6/2)^2),"")</f>
        <v/>
      </c>
      <c r="G44" s="13" t="str">
        <f aca="false">IF(ISNUMBER(D44),D44/(Results!$C$5*PI()*(Results!$C$6/2)^2),"")</f>
        <v/>
      </c>
      <c r="H44" s="13" t="str">
        <f aca="false">IF(AND(ISNUMBER(F44),ISNUMBER(G44)),G44-F44,"")</f>
        <v/>
      </c>
      <c r="I44" s="13" t="str">
        <f aca="false">IF(AND(ISNUMBER(B44),ISNUMBER(C44)),100*B44/(B44+C44),"")</f>
        <v/>
      </c>
      <c r="J44" s="13" t="str">
        <f aca="false">IF(AND(ISNUMBER(D44),ISNUMBER(E44)),100*D44/(D44+E44),"")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3" t="str">
        <f aca="false">IF(ISNUMBER(B45),B45/(Results!$C$5*PI()*(Results!$C$6/2)^2),"")</f>
        <v/>
      </c>
      <c r="G45" s="13" t="str">
        <f aca="false">IF(ISNUMBER(D45),D45/(Results!$C$5*PI()*(Results!$C$6/2)^2),"")</f>
        <v/>
      </c>
      <c r="H45" s="13" t="str">
        <f aca="false">IF(AND(ISNUMBER(F45),ISNUMBER(G45)),G45-F45,"")</f>
        <v/>
      </c>
      <c r="I45" s="13" t="str">
        <f aca="false">IF(AND(ISNUMBER(B45),ISNUMBER(C45)),100*B45/(B45+C45),"")</f>
        <v/>
      </c>
      <c r="J45" s="13" t="str">
        <f aca="false">IF(AND(ISNUMBER(D45),ISNUMBER(E45)),100*D45/(D45+E45),"")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E19 B25:E32 B38:E45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45</v>
      </c>
    </row>
    <row r="2" customFormat="false" ht="15" hidden="false" customHeight="false" outlineLevel="0" collapsed="false">
      <c r="B2" s="8" t="s">
        <v>46</v>
      </c>
    </row>
    <row r="4" customFormat="false" ht="15" hidden="false" customHeight="false" outlineLevel="0" collapsed="false">
      <c r="B4" s="9" t="s">
        <v>47</v>
      </c>
    </row>
    <row r="5" customFormat="false" ht="15" hidden="false" customHeight="false" outlineLevel="0" collapsed="false">
      <c r="B5" s="14" t="s">
        <v>48</v>
      </c>
      <c r="C5" s="11" t="n">
        <v>5</v>
      </c>
      <c r="D5" s="8"/>
    </row>
    <row r="6" customFormat="false" ht="15" hidden="false" customHeight="false" outlineLevel="0" collapsed="false">
      <c r="B6" s="14" t="s">
        <v>49</v>
      </c>
      <c r="C6" s="11" t="n">
        <v>0.45</v>
      </c>
      <c r="D6" s="8" t="s">
        <v>50</v>
      </c>
    </row>
    <row r="8" customFormat="false" ht="15" hidden="false" customHeight="false" outlineLevel="0" collapsed="false">
      <c r="B8" s="9" t="s">
        <v>51</v>
      </c>
    </row>
    <row r="9" customFormat="false" ht="30" hidden="false" customHeight="true" outlineLevel="0" collapsed="false">
      <c r="B9" s="10" t="s">
        <v>52</v>
      </c>
      <c r="C9" s="10" t="s">
        <v>53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58</v>
      </c>
      <c r="I9" s="10" t="s">
        <v>59</v>
      </c>
      <c r="J9" s="10" t="s">
        <v>60</v>
      </c>
      <c r="K9" s="10" t="s">
        <v>61</v>
      </c>
    </row>
    <row r="10" customFormat="false" ht="15" hidden="false" customHeight="false" outlineLevel="0" collapsed="false">
      <c r="B10" s="15" t="str">
        <f aca="false">IFERROR(IF('Enter data'!$A$6="","",'Enter data'!$A$6),"")</f>
        <v>Sp1</v>
      </c>
      <c r="C10" s="16" t="n">
        <f aca="false">IFERROR(COUNT('Enter data'!$H$12:$H$19),"")</f>
        <v>6</v>
      </c>
      <c r="D10" s="17" t="n">
        <f aca="false">IFERROR(AVERAGE('Enter data'!$F$12:$F$19),"")</f>
        <v>28.9229723742309</v>
      </c>
      <c r="E10" s="17" t="n">
        <f aca="false">IFERROR(AVERAGE('Enter data'!$G$12:$G$19),"")</f>
        <v>302.643276147749</v>
      </c>
      <c r="F10" s="17" t="n">
        <f aca="false">IFERROR(AVERAGE('Enter data'!$H$12:$H$19),"")</f>
        <v>273.720303773518</v>
      </c>
      <c r="G10" s="17" t="n">
        <f aca="false">IFERROR(STDEV('Enter data'!$H$12:$H$19),"")</f>
        <v>38.2142815184046</v>
      </c>
      <c r="H10" s="18" t="n">
        <f aca="false">IFERROR(F10/(G10/SQRT(C10)),"")</f>
        <v>17.5451441148204</v>
      </c>
      <c r="I10" s="19" t="n">
        <f aca="false">IFERROR(TDIST(ABS(H10),C10-1,2),"")</f>
        <v>1.10286126513358E-005</v>
      </c>
      <c r="J10" s="17" t="n">
        <f aca="false">IFERROR(AVERAGE('Enter data'!$I$12:$I$19),"")</f>
        <v>6.25469518618089</v>
      </c>
      <c r="K10" s="17" t="n">
        <f aca="false">IFERROR(AVERAGE('Enter data'!$J$12:$J$19),"")</f>
        <v>40.3777874688754</v>
      </c>
    </row>
    <row r="11" customFormat="false" ht="15" hidden="false" customHeight="false" outlineLevel="0" collapsed="false">
      <c r="B11" s="15" t="str">
        <f aca="false">IFERROR(IF('Enter data'!$B$6="","",'Enter data'!$B$6),"")</f>
        <v>Sp2</v>
      </c>
      <c r="C11" s="16" t="n">
        <f aca="false">IFERROR(COUNT('Enter data'!$H$25:$H$32),"")</f>
        <v>6</v>
      </c>
      <c r="D11" s="17" t="n">
        <f aca="false">IFERROR(AVERAGE('Enter data'!$F$25:$F$32),"")</f>
        <v>97.4578416957779</v>
      </c>
      <c r="E11" s="17" t="n">
        <f aca="false">IFERROR(AVERAGE('Enter data'!$G$25:$G$32),"")</f>
        <v>198.688245005586</v>
      </c>
      <c r="F11" s="17" t="n">
        <f aca="false">IFERROR(AVERAGE('Enter data'!$H$25:$H$32),"")</f>
        <v>101.230403309808</v>
      </c>
      <c r="G11" s="17" t="n">
        <f aca="false">IFERROR(STDEV('Enter data'!$H$25:$H$32),"")</f>
        <v>15.9214217937276</v>
      </c>
      <c r="H11" s="18" t="n">
        <f aca="false">IFERROR(F11/(G11/SQRT(C11)),"")</f>
        <v>15.5741640274154</v>
      </c>
      <c r="I11" s="19" t="n">
        <f aca="false">IFERROR(TDIST(ABS(H11),C11-1,2),"")</f>
        <v>1.98282818375059E-005</v>
      </c>
      <c r="J11" s="17" t="n">
        <f aca="false">IFERROR(AVERAGE('Enter data'!$I$25:$I$32),"")</f>
        <v>17.6631891966249</v>
      </c>
      <c r="K11" s="17" t="n">
        <f aca="false">IFERROR(AVERAGE('Enter data'!$J$25:$J$32),"")</f>
        <v>30.275192812114</v>
      </c>
    </row>
    <row r="12" customFormat="false" ht="15" hidden="false" customHeight="false" outlineLevel="0" collapsed="false">
      <c r="B12" s="15" t="str">
        <f aca="false">IFERROR(IF('Enter data'!$C$6="","",'Enter data'!$C$6),"")</f>
        <v>Sp3</v>
      </c>
      <c r="C12" s="16" t="n">
        <f aca="false">IFERROR(COUNT('Enter data'!$H$38:$H$45),"")</f>
        <v>6</v>
      </c>
      <c r="D12" s="17" t="n">
        <f aca="false">IFERROR(AVERAGE('Enter data'!$F$38:$F$45),"")</f>
        <v>2.93421458869009</v>
      </c>
      <c r="E12" s="17" t="n">
        <f aca="false">IFERROR(AVERAGE('Enter data'!$G$38:$G$45),"")</f>
        <v>116.530236522263</v>
      </c>
      <c r="F12" s="17" t="n">
        <f aca="false">IFERROR(AVERAGE('Enter data'!$H$38:$H$45),"")</f>
        <v>113.596021933573</v>
      </c>
      <c r="G12" s="17" t="n">
        <f aca="false">IFERROR(STDEV('Enter data'!$H$38:$H$45),"")</f>
        <v>17.0701947759267</v>
      </c>
      <c r="H12" s="18" t="n">
        <f aca="false">IFERROR(F12/(G12/SQRT(C12)),"")</f>
        <v>16.3004754309931</v>
      </c>
      <c r="I12" s="19" t="n">
        <f aca="false">IFERROR(TDIST(ABS(H12),C12-1,2),"")</f>
        <v>1.58470214302638E-005</v>
      </c>
      <c r="J12" s="17" t="n">
        <f aca="false">IFERROR(AVERAGE('Enter data'!$I$38:$I$45),"")</f>
        <v>0.638484801591431</v>
      </c>
      <c r="K12" s="17" t="n">
        <f aca="false">IFERROR(AVERAGE('Enter data'!$J$38:$J$45),"")</f>
        <v>20.8205924035274</v>
      </c>
    </row>
    <row r="15" customFormat="false" ht="15" hidden="false" customHeight="false" outlineLevel="0" collapsed="false">
      <c r="B15" s="9" t="s">
        <v>62</v>
      </c>
    </row>
    <row r="16" customFormat="false" ht="30" hidden="false" customHeight="true" outlineLevel="0" collapsed="false">
      <c r="B16" s="10" t="s">
        <v>63</v>
      </c>
      <c r="C16" s="10" t="s">
        <v>64</v>
      </c>
      <c r="D16" s="10" t="s">
        <v>65</v>
      </c>
      <c r="E16" s="10" t="s">
        <v>66</v>
      </c>
      <c r="F16" s="10" t="s">
        <v>67</v>
      </c>
      <c r="G16" s="10" t="s">
        <v>68</v>
      </c>
      <c r="H16" s="10" t="s">
        <v>69</v>
      </c>
    </row>
    <row r="17" customFormat="false" ht="15" hidden="false" customHeight="false" outlineLevel="0" collapsed="false">
      <c r="B17" s="15" t="str">
        <f aca="false">IFERROR('Enter data'!$A$6,"")</f>
        <v>Sp1</v>
      </c>
      <c r="C17" s="16" t="n">
        <f aca="false">IFERROR(COUNT('Enter data'!$G$12:$G$19),"")</f>
        <v>6</v>
      </c>
      <c r="D17" s="20" t="n">
        <f aca="false">IFERROR(AVERAGE('Enter data'!$G$12:$G$19),"")</f>
        <v>302.643276147749</v>
      </c>
      <c r="E17" s="20" t="n">
        <f aca="false">IFERROR(STDEV('Enter data'!$G$12:$G$19),"")</f>
        <v>37.5547653729422</v>
      </c>
      <c r="F17" s="20" t="n">
        <f aca="false">IFERROR(STDEV('Enter data'!$G$12:$G$19)/SQRT(COUNT('Enter data'!$G$12:$G$19)),"")</f>
        <v>15.3316687622752</v>
      </c>
      <c r="G17" s="20" t="n">
        <f aca="false">IFERROR(MIN('Enter data'!$G$12:$G$19),"")</f>
        <v>261.564271906088</v>
      </c>
      <c r="H17" s="20" t="n">
        <f aca="false">IFERROR(MAX('Enter data'!$G$12:$G$19),"")</f>
        <v>370.968558712961</v>
      </c>
    </row>
    <row r="18" customFormat="false" ht="15" hidden="false" customHeight="false" outlineLevel="0" collapsed="false">
      <c r="B18" s="15" t="str">
        <f aca="false">IFERROR('Enter data'!$B$6,"")</f>
        <v>Sp2</v>
      </c>
      <c r="C18" s="16" t="n">
        <f aca="false">IFERROR(COUNT('Enter data'!$G$25:$G$32),"")</f>
        <v>6</v>
      </c>
      <c r="D18" s="20" t="n">
        <f aca="false">IFERROR(AVERAGE('Enter data'!$G$25:$G$32),"")</f>
        <v>198.688245005586</v>
      </c>
      <c r="E18" s="20" t="n">
        <f aca="false">IFERROR(STDEV('Enter data'!$G$25:$G$32),"")</f>
        <v>12.6504316067052</v>
      </c>
      <c r="F18" s="20" t="n">
        <f aca="false">IFERROR(STDEV('Enter data'!$G$25:$G$32)/SQRT(COUNT('Enter data'!$G$25:$G$32)),"")</f>
        <v>5.16451707706742</v>
      </c>
      <c r="G18" s="20" t="n">
        <f aca="false">IFERROR(MIN('Enter data'!$G$25:$G$32),"")</f>
        <v>182.340478011455</v>
      </c>
      <c r="H18" s="20" t="n">
        <f aca="false">IFERROR(MAX('Enter data'!$G$25:$G$32),"")</f>
        <v>211.263450385686</v>
      </c>
    </row>
    <row r="19" customFormat="false" ht="15" hidden="false" customHeight="false" outlineLevel="0" collapsed="false">
      <c r="B19" s="15" t="str">
        <f aca="false">IFERROR('Enter data'!$C$6,"")</f>
        <v>Sp3</v>
      </c>
      <c r="C19" s="16" t="n">
        <f aca="false">IFERROR(COUNT('Enter data'!$G$38:$G$45),"")</f>
        <v>6</v>
      </c>
      <c r="D19" s="20" t="n">
        <f aca="false">IFERROR(AVERAGE('Enter data'!$G$38:$G$45),"")</f>
        <v>116.530236522263</v>
      </c>
      <c r="E19" s="20" t="n">
        <f aca="false">IFERROR(STDEV('Enter data'!$G$38:$G$45),"")</f>
        <v>16.0779135864987</v>
      </c>
      <c r="F19" s="20" t="n">
        <f aca="false">IFERROR(STDEV('Enter data'!$G$38:$G$45)/SQRT(COUNT('Enter data'!$G$38:$G$45)),"")</f>
        <v>6.56378073591383</v>
      </c>
      <c r="G19" s="20" t="n">
        <f aca="false">IFERROR(MIN('Enter data'!$G$38:$G$45),"")</f>
        <v>101.859163578813</v>
      </c>
      <c r="H19" s="20" t="n">
        <f aca="false">IFERROR(MAX('Enter data'!$G$38:$G$45),"")</f>
        <v>142.099820795134</v>
      </c>
    </row>
    <row r="22" customFormat="false" ht="15" hidden="false" customHeight="false" outlineLevel="0" collapsed="false">
      <c r="B22" s="9" t="s">
        <v>70</v>
      </c>
    </row>
    <row r="23" customFormat="false" ht="15" hidden="false" customHeight="false" outlineLevel="0" collapsed="false">
      <c r="B23" s="14" t="s">
        <v>71</v>
      </c>
      <c r="C23" s="21" t="n">
        <f aca="false">IFERROR(SUM($C$17:$C$19),"")</f>
        <v>18</v>
      </c>
    </row>
    <row r="24" customFormat="false" ht="15" hidden="false" customHeight="false" outlineLevel="0" collapsed="false">
      <c r="B24" s="14" t="s">
        <v>72</v>
      </c>
      <c r="C24" s="22" t="n">
        <f aca="false">IFERROR(SUMPRODUCT($C$17:$C$19,$D$17:$D$19)/$C$23,"")</f>
        <v>205.953919225199</v>
      </c>
    </row>
    <row r="25" customFormat="false" ht="15" hidden="false" customHeight="false" outlineLevel="0" collapsed="false">
      <c r="B25" s="14" t="s">
        <v>73</v>
      </c>
      <c r="C25" s="22" t="n">
        <f aca="false">IFERROR(SUMPRODUCT($C$17:$C$19,($D$17:$D$19-$C$24)^2),"")</f>
        <v>104389.300752703</v>
      </c>
    </row>
    <row r="26" customFormat="false" ht="15" hidden="false" customHeight="false" outlineLevel="0" collapsed="false">
      <c r="B26" s="14" t="s">
        <v>74</v>
      </c>
      <c r="C26" s="22" t="n">
        <f aca="false">IFERROR(SUMPRODUCT($C$17:$C$19-1,$E$17:$E$19^2),"")</f>
        <v>9144.46563673794</v>
      </c>
    </row>
    <row r="27" customFormat="false" ht="15" hidden="false" customHeight="false" outlineLevel="0" collapsed="false">
      <c r="B27" s="14" t="s">
        <v>75</v>
      </c>
      <c r="C27" s="23" t="n">
        <f aca="false">IFERROR(($C$25/(3-1))/($C$26/($C$23-3)),"")</f>
        <v>85.6167857966337</v>
      </c>
    </row>
    <row r="28" customFormat="false" ht="15" hidden="false" customHeight="false" outlineLevel="0" collapsed="false">
      <c r="B28" s="14" t="s">
        <v>76</v>
      </c>
      <c r="C28" s="24" t="n">
        <f aca="false">IFERROR(FDIST($C$27,3-1,$C$23-3),"")</f>
        <v>6.24093487907071E-009</v>
      </c>
    </row>
    <row r="29" customFormat="false" ht="30" hidden="false" customHeight="true" outlineLevel="0" collapsed="false">
      <c r="B29" s="10" t="s">
        <v>77</v>
      </c>
      <c r="C29" s="10" t="s">
        <v>78</v>
      </c>
      <c r="D29" s="10" t="s">
        <v>79</v>
      </c>
      <c r="E29" s="10" t="s">
        <v>80</v>
      </c>
    </row>
    <row r="30" customFormat="false" ht="15" hidden="false" customHeight="false" outlineLevel="0" collapsed="false">
      <c r="B30" s="15" t="str">
        <f aca="false">IFERROR('Enter data'!$A$6&amp;" vs "&amp;'Enter data'!$B$6,"")</f>
        <v>Sp1 vs Sp2</v>
      </c>
      <c r="C30" s="17" t="n">
        <f aca="false">IFERROR($D$17-$D$18,"")</f>
        <v>103.955031142163</v>
      </c>
      <c r="D30" s="19" t="n">
        <f aca="false">IFERROR(TTEST('Enter data'!$G$12:$G$19,'Enter data'!$G$25:$G$32,2,3),"")</f>
        <v>0.00062014904966973</v>
      </c>
      <c r="E30" s="19" t="n">
        <f aca="false">IFERROR(MIN(1,3*D30),"")</f>
        <v>0.00186044714900919</v>
      </c>
    </row>
    <row r="31" customFormat="false" ht="15" hidden="false" customHeight="false" outlineLevel="0" collapsed="false">
      <c r="B31" s="15" t="str">
        <f aca="false">IFERROR('Enter data'!$A$6&amp;" vs "&amp;'Enter data'!$C$6,"")</f>
        <v>Sp1 vs Sp3</v>
      </c>
      <c r="C31" s="17" t="n">
        <f aca="false">IFERROR($D$17-$D$19,"")</f>
        <v>186.113039625486</v>
      </c>
      <c r="D31" s="19" t="n">
        <f aca="false">IFERROR(TTEST('Enter data'!$G$12:$G$19,'Enter data'!$G$38:$G$45,2,3),"")</f>
        <v>1.31567492649445E-005</v>
      </c>
      <c r="E31" s="19" t="n">
        <f aca="false">IFERROR(MIN(1,3*D31),"")</f>
        <v>3.94702477948335E-005</v>
      </c>
    </row>
    <row r="32" customFormat="false" ht="15" hidden="false" customHeight="false" outlineLevel="0" collapsed="false">
      <c r="B32" s="15" t="str">
        <f aca="false">IFERROR('Enter data'!$B$6&amp;" vs "&amp;'Enter data'!$C$6,"")</f>
        <v>Sp2 vs Sp3</v>
      </c>
      <c r="C32" s="17" t="n">
        <f aca="false">IFERROR($D$18-$D$19,"")</f>
        <v>82.1580084833224</v>
      </c>
      <c r="D32" s="19" t="n">
        <f aca="false">IFERROR(TTEST('Enter data'!$G$25:$G$32,'Enter data'!$G$38:$G$45,2,3),"")</f>
        <v>2.79035118366154E-006</v>
      </c>
      <c r="E32" s="19" t="n">
        <f aca="false">IFERROR(MIN(1,3*D32),"")</f>
        <v>8.37105355098462E-006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2026-10-01T00:29:47Z</dcterms:modified>
  <cp:revision>0</cp:revision>
  <dc:subject/>
  <dc:title>BOT-01 Stomatal density and index from leaf impressions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