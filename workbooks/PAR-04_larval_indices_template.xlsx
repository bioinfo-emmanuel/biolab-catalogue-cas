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<sst xmlns="http://schemas.openxmlformats.org/spreadsheetml/2006/main" count="69" uniqueCount="61">
  <si>
    <t xml:space="preserve">PAR-04  Mosquito larval survey: house, container and Breteau indices</t>
  </si>
  <si>
    <t xml:space="preserve">Excel version of the card. It does the same calculations as the R script par04_larval_indices.R.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</si>
  <si>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</si>
  <si>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</si>
  <si>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</si>
  <si>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</si>
  <si>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</si>
  <si>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</si>
  <si>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</si>
  <si>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</si>
  <si>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World Health Organization definitions: house index = houses with at least one positive container / houses inspected x 100; container index = positive containers / containers holding water x 100; Breteau index = positive containers per 100 houses.</t>
  </si>
  <si>
    <t xml:space="preserve">Enter one row per water-holding or dry container. Enter 1 or 0 for 'has water' and 'positive' (larvae or pupae present). Use a house code that is the same for every container in that house.</t>
  </si>
  <si>
    <t xml:space="preserve">Differences from the R script on the card</t>
  </si>
  <si>
    <t xml:space="preserve">The R script compares areas with Fisher's exact test. Here container positivity is compared with a chi-square test (approximate when counts are small).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</si>
  <si>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</si>
  <si>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</si>
  <si>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</si>
  <si>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</si>
  <si>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Area names and container types</t>
  </si>
  <si>
    <t xml:space="preserve">Area 1</t>
  </si>
  <si>
    <t xml:space="preserve">Area 2</t>
  </si>
  <si>
    <t xml:space="preserve">Type 1</t>
  </si>
  <si>
    <t xml:space="preserve">Type 2</t>
  </si>
  <si>
    <t xml:space="preserve">Type 3</t>
  </si>
  <si>
    <t xml:space="preserve">Type 4</t>
  </si>
  <si>
    <t xml:space="preserve">Type 5</t>
  </si>
  <si>
    <t xml:space="preserve">Type 6</t>
  </si>
  <si>
    <t xml:space="preserve">2. Containers in area 1</t>
  </si>
  <si>
    <t xml:space="preserve">House</t>
  </si>
  <si>
    <t xml:space="preserve">Container type</t>
  </si>
  <si>
    <t xml:space="preserve">Holds water (1 or 0)</t>
  </si>
  <si>
    <t xml:space="preserve">Larvae or pupae present (1 or 0)</t>
  </si>
  <si>
    <t xml:space="preserve">First container of this house</t>
  </si>
  <si>
    <t xml:space="preserve">First positive container of this house</t>
  </si>
  <si>
    <t xml:space="preserve">H1</t>
  </si>
  <si>
    <t xml:space="preserve">bucket</t>
  </si>
  <si>
    <t xml:space="preserve">3. Containers in area 2</t>
  </si>
  <si>
    <t xml:space="preserve">Results</t>
  </si>
  <si>
    <t xml:space="preserve">Everything on this sheet is calculated. Change only the yellow settings.</t>
  </si>
  <si>
    <t xml:space="preserve">Indices by area</t>
  </si>
  <si>
    <t xml:space="preserve">Area</t>
  </si>
  <si>
    <t xml:space="preserve">Houses inspected</t>
  </si>
  <si>
    <t xml:space="preserve">Containers with water</t>
  </si>
  <si>
    <t xml:space="preserve">Positive containers</t>
  </si>
  <si>
    <t xml:space="preserve">House index</t>
  </si>
  <si>
    <t xml:space="preserve">Container index</t>
  </si>
  <si>
    <t xml:space="preserve">Breteau index</t>
  </si>
  <si>
    <t xml:space="preserve">Container index 95% lower</t>
  </si>
  <si>
    <t xml:space="preserve">Container index 95% upper</t>
  </si>
  <si>
    <t xml:space="preserve">Container positivity, area 1 against area 2 (chi-square)</t>
  </si>
  <si>
    <t xml:space="preserve">Chi-square (1 df)</t>
  </si>
  <si>
    <t xml:space="preserve">p value (approximate)</t>
  </si>
  <si>
    <t xml:space="preserve">Container types (both areas)</t>
  </si>
  <si>
    <t xml:space="preserve">Type</t>
  </si>
  <si>
    <t xml:space="preserve">With water</t>
  </si>
  <si>
    <t xml:space="preserve">Positive</t>
  </si>
  <si>
    <t xml:space="preserve">Positive (%)</t>
  </si>
  <si>
    <t xml:space="preserve">Definitions check</t>
  </si>
  <si>
    <t xml:space="preserve">8 positive houses of 40: house index</t>
  </si>
  <si>
    <t xml:space="preserve">10 positive of 50 wet containers: container index</t>
  </si>
  <si>
    <t xml:space="preserve">10 positive containers in 40 houses: Breteau index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</si>
</sst>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;\-0.000;;@"/>
    <numFmt numFmtId="166" formatCode="General"/>
    <numFmt numFmtId="167" formatCode="0"/>
    <numFmt numFmtId="168" formatCode="0.0"/>
    <numFmt numFmtId="169" formatCode="0.000"/>
    <numFmt numFmtId="170" formatCode="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23.8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3" t="s">
        <v>12</v>
      </c>
    </row>
    <row r="18" customFormat="false" ht="23.8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/>
    </row>
    <row r="20" customFormat="false" ht="15" hidden="false" customHeight="false" outlineLevel="0" collapsed="false">
      <c r="B20" s="6" t="s">
        <v>14</v>
      </c>
    </row>
    <row r="21" customFormat="false" ht="15" hidden="false" customHeight="false" outlineLevel="0" collapsed="false">
      <c r="B21" s="2"/>
    </row>
    <row r="22" customFormat="false" ht="22.35" hidden="false" customHeight="false" outlineLevel="0" collapsed="false">
      <c r="B22" s="6" t="s">
        <v>15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16</v>
      </c>
    </row>
    <row r="2" customFormat="false" ht="15" hidden="false" customHeight="false" outlineLevel="0" collapsed="false">
      <c r="A2" s="8" t="s">
        <v>17</v>
      </c>
    </row>
    <row r="4" customFormat="false" ht="15" hidden="false" customHeight="false" outlineLevel="0" collapsed="false">
      <c r="A4" s="9" t="s">
        <v>18</v>
      </c>
    </row>
    <row r="5" customFormat="false" ht="31.5" hidden="false" customHeight="true" outlineLevel="0" collapsed="false">
      <c r="A5" s="10" t="s">
        <v>19</v>
      </c>
      <c r="B5" s="10" t="s">
        <v>20</v>
      </c>
      <c r="C5" s="10" t="s">
        <v>21</v>
      </c>
      <c r="D5" s="10" t="s">
        <v>22</v>
      </c>
      <c r="E5" s="10" t="s">
        <v>23</v>
      </c>
      <c r="F5" s="10" t="s">
        <v>24</v>
      </c>
      <c r="G5" s="10" t="s">
        <v>25</v>
      </c>
      <c r="H5" s="10" t="s">
        <v>26</v>
      </c>
    </row>
    <row r="6" customFormat="false" ht="15" hidden="false" customHeight="false" outlineLevel="0" collapsed="false">
      <c r="A6" s="11"/>
      <c r="B6" s="11"/>
      <c r="C6" s="11"/>
      <c r="D6" s="11"/>
      <c r="E6" s="11"/>
      <c r="F6" s="11"/>
      <c r="G6" s="11"/>
      <c r="H6" s="11"/>
    </row>
    <row r="9" customFormat="false" ht="15" hidden="false" customHeight="false" outlineLevel="0" collapsed="false">
      <c r="A9" s="9" t="s">
        <v>27</v>
      </c>
    </row>
    <row r="10" customFormat="false" ht="31.5" hidden="false" customHeight="true" outlineLevel="0" collapsed="false">
      <c r="A10" s="10" t="s">
        <v>28</v>
      </c>
      <c r="B10" s="10" t="s">
        <v>29</v>
      </c>
      <c r="C10" s="10" t="s">
        <v>30</v>
      </c>
      <c r="D10" s="10" t="s">
        <v>31</v>
      </c>
      <c r="E10" s="10" t="s">
        <v>32</v>
      </c>
      <c r="F10" s="10" t="s">
        <v>33</v>
      </c>
    </row>
    <row r="11" customFormat="false" ht="15" hidden="false" customHeight="false" outlineLevel="0" collapsed="false">
      <c r="A11" s="12" t="s">
        <v>34</v>
      </c>
      <c r="B11" s="12" t="s">
        <v>35</v>
      </c>
      <c r="C11" s="12" t="n">
        <v>1</v>
      </c>
      <c r="D11" s="12" t="n">
        <v>0</v>
      </c>
    </row>
    <row r="12" customFormat="false" ht="15" hidden="false" customHeight="false" outlineLevel="0" collapsed="false">
      <c r="A12" s="11"/>
      <c r="B12" s="11"/>
      <c r="C12" s="11"/>
      <c r="D12" s="11"/>
      <c r="E12" s="13" t="n">
        <f aca="false">IF(A12&lt;&gt;"",IF(COUNTIF(A$12:A12,A12)=1,1,0),0)</f>
        <v>0</v>
      </c>
      <c r="F12" s="13" t="n">
        <f aca="false">IF(AND(A12&lt;&gt;"",D12=1,C12=1),IF(COUNTIFS(A$12:A12,A12,D$12:D12,1,C$12:C12,1)=1,1,0),0)</f>
        <v>0</v>
      </c>
    </row>
    <row r="13" customFormat="false" ht="15" hidden="false" customHeight="false" outlineLevel="0" collapsed="false">
      <c r="A13" s="11"/>
      <c r="B13" s="11"/>
      <c r="C13" s="11"/>
      <c r="D13" s="11"/>
      <c r="E13" s="13" t="n">
        <f aca="false">IF(A13&lt;&gt;"",IF(COUNTIF(A$12:A13,A13)=1,1,0),0)</f>
        <v>0</v>
      </c>
      <c r="F13" s="13" t="n">
        <f aca="false">IF(AND(A13&lt;&gt;"",D13=1,C13=1),IF(COUNTIFS(A$12:A13,A13,D$12:D13,1,C$12:C13,1)=1,1,0),0)</f>
        <v>0</v>
      </c>
    </row>
    <row r="14" customFormat="false" ht="15" hidden="false" customHeight="false" outlineLevel="0" collapsed="false">
      <c r="A14" s="11"/>
      <c r="B14" s="11"/>
      <c r="C14" s="11"/>
      <c r="D14" s="11"/>
      <c r="E14" s="13" t="n">
        <f aca="false">IF(A14&lt;&gt;"",IF(COUNTIF(A$12:A14,A14)=1,1,0),0)</f>
        <v>0</v>
      </c>
      <c r="F14" s="13" t="n">
        <f aca="false">IF(AND(A14&lt;&gt;"",D14=1,C14=1),IF(COUNTIFS(A$12:A14,A14,D$12:D14,1,C$12:C14,1)=1,1,0),0)</f>
        <v>0</v>
      </c>
    </row>
    <row r="15" customFormat="false" ht="15" hidden="false" customHeight="false" outlineLevel="0" collapsed="false">
      <c r="A15" s="11"/>
      <c r="B15" s="11"/>
      <c r="C15" s="11"/>
      <c r="D15" s="11"/>
      <c r="E15" s="13" t="n">
        <f aca="false">IF(A15&lt;&gt;"",IF(COUNTIF(A$12:A15,A15)=1,1,0),0)</f>
        <v>0</v>
      </c>
      <c r="F15" s="13" t="n">
        <f aca="false">IF(AND(A15&lt;&gt;"",D15=1,C15=1),IF(COUNTIFS(A$12:A15,A15,D$12:D15,1,C$12:C15,1)=1,1,0),0)</f>
        <v>0</v>
      </c>
    </row>
    <row r="16" customFormat="false" ht="15" hidden="false" customHeight="false" outlineLevel="0" collapsed="false">
      <c r="A16" s="11"/>
      <c r="B16" s="11"/>
      <c r="C16" s="11"/>
      <c r="D16" s="11"/>
      <c r="E16" s="13" t="n">
        <f aca="false">IF(A16&lt;&gt;"",IF(COUNTIF(A$12:A16,A16)=1,1,0),0)</f>
        <v>0</v>
      </c>
      <c r="F16" s="13" t="n">
        <f aca="false">IF(AND(A16&lt;&gt;"",D16=1,C16=1),IF(COUNTIFS(A$12:A16,A16,D$12:D16,1,C$12:C16,1)=1,1,0),0)</f>
        <v>0</v>
      </c>
    </row>
    <row r="17" customFormat="false" ht="15" hidden="false" customHeight="false" outlineLevel="0" collapsed="false">
      <c r="A17" s="11"/>
      <c r="B17" s="11"/>
      <c r="C17" s="11"/>
      <c r="D17" s="11"/>
      <c r="E17" s="13" t="n">
        <f aca="false">IF(A17&lt;&gt;"",IF(COUNTIF(A$12:A17,A17)=1,1,0),0)</f>
        <v>0</v>
      </c>
      <c r="F17" s="13" t="n">
        <f aca="false">IF(AND(A17&lt;&gt;"",D17=1,C17=1),IF(COUNTIFS(A$12:A17,A17,D$12:D17,1,C$12:C17,1)=1,1,0),0)</f>
        <v>0</v>
      </c>
    </row>
    <row r="18" customFormat="false" ht="15" hidden="false" customHeight="false" outlineLevel="0" collapsed="false">
      <c r="A18" s="11"/>
      <c r="B18" s="11"/>
      <c r="C18" s="11"/>
      <c r="D18" s="11"/>
      <c r="E18" s="13" t="n">
        <f aca="false">IF(A18&lt;&gt;"",IF(COUNTIF(A$12:A18,A18)=1,1,0),0)</f>
        <v>0</v>
      </c>
      <c r="F18" s="13" t="n">
        <f aca="false">IF(AND(A18&lt;&gt;"",D18=1,C18=1),IF(COUNTIFS(A$12:A18,A18,D$12:D18,1,C$12:C18,1)=1,1,0),0)</f>
        <v>0</v>
      </c>
    </row>
    <row r="19" customFormat="false" ht="15" hidden="false" customHeight="false" outlineLevel="0" collapsed="false">
      <c r="A19" s="11"/>
      <c r="B19" s="11"/>
      <c r="C19" s="11"/>
      <c r="D19" s="11"/>
      <c r="E19" s="13" t="n">
        <f aca="false">IF(A19&lt;&gt;"",IF(COUNTIF(A$12:A19,A19)=1,1,0),0)</f>
        <v>0</v>
      </c>
      <c r="F19" s="13" t="n">
        <f aca="false">IF(AND(A19&lt;&gt;"",D19=1,C19=1),IF(COUNTIFS(A$12:A19,A19,D$12:D19,1,C$12:C19,1)=1,1,0),0)</f>
        <v>0</v>
      </c>
    </row>
    <row r="20" customFormat="false" ht="15" hidden="false" customHeight="false" outlineLevel="0" collapsed="false">
      <c r="A20" s="11"/>
      <c r="B20" s="11"/>
      <c r="C20" s="11"/>
      <c r="D20" s="11"/>
      <c r="E20" s="13" t="n">
        <f aca="false">IF(A20&lt;&gt;"",IF(COUNTIF(A$12:A20,A20)=1,1,0),0)</f>
        <v>0</v>
      </c>
      <c r="F20" s="13" t="n">
        <f aca="false">IF(AND(A20&lt;&gt;"",D20=1,C20=1),IF(COUNTIFS(A$12:A20,A20,D$12:D20,1,C$12:C20,1)=1,1,0),0)</f>
        <v>0</v>
      </c>
    </row>
    <row r="21" customFormat="false" ht="15" hidden="false" customHeight="false" outlineLevel="0" collapsed="false">
      <c r="A21" s="11"/>
      <c r="B21" s="11"/>
      <c r="C21" s="11"/>
      <c r="D21" s="11"/>
      <c r="E21" s="13" t="n">
        <f aca="false">IF(A21&lt;&gt;"",IF(COUNTIF(A$12:A21,A21)=1,1,0),0)</f>
        <v>0</v>
      </c>
      <c r="F21" s="13" t="n">
        <f aca="false">IF(AND(A21&lt;&gt;"",D21=1,C21=1),IF(COUNTIFS(A$12:A21,A21,D$12:D21,1,C$12:C21,1)=1,1,0),0)</f>
        <v>0</v>
      </c>
    </row>
    <row r="22" customFormat="false" ht="15" hidden="false" customHeight="false" outlineLevel="0" collapsed="false">
      <c r="A22" s="11"/>
      <c r="B22" s="11"/>
      <c r="C22" s="11"/>
      <c r="D22" s="11"/>
      <c r="E22" s="13" t="n">
        <f aca="false">IF(A22&lt;&gt;"",IF(COUNTIF(A$12:A22,A22)=1,1,0),0)</f>
        <v>0</v>
      </c>
      <c r="F22" s="13" t="n">
        <f aca="false">IF(AND(A22&lt;&gt;"",D22=1,C22=1),IF(COUNTIFS(A$12:A22,A22,D$12:D22,1,C$12:C22,1)=1,1,0),0)</f>
        <v>0</v>
      </c>
    </row>
    <row r="23" customFormat="false" ht="15" hidden="false" customHeight="false" outlineLevel="0" collapsed="false">
      <c r="A23" s="11"/>
      <c r="B23" s="11"/>
      <c r="C23" s="11"/>
      <c r="D23" s="11"/>
      <c r="E23" s="13" t="n">
        <f aca="false">IF(A23&lt;&gt;"",IF(COUNTIF(A$12:A23,A23)=1,1,0),0)</f>
        <v>0</v>
      </c>
      <c r="F23" s="13" t="n">
        <f aca="false">IF(AND(A23&lt;&gt;"",D23=1,C23=1),IF(COUNTIFS(A$12:A23,A23,D$12:D23,1,C$12:C23,1)=1,1,0),0)</f>
        <v>0</v>
      </c>
    </row>
    <row r="24" customFormat="false" ht="15" hidden="false" customHeight="false" outlineLevel="0" collapsed="false">
      <c r="A24" s="11"/>
      <c r="B24" s="11"/>
      <c r="C24" s="11"/>
      <c r="D24" s="11"/>
      <c r="E24" s="13" t="n">
        <f aca="false">IF(A24&lt;&gt;"",IF(COUNTIF(A$12:A24,A24)=1,1,0),0)</f>
        <v>0</v>
      </c>
      <c r="F24" s="13" t="n">
        <f aca="false">IF(AND(A24&lt;&gt;"",D24=1,C24=1),IF(COUNTIFS(A$12:A24,A24,D$12:D24,1,C$12:C24,1)=1,1,0),0)</f>
        <v>0</v>
      </c>
    </row>
    <row r="25" customFormat="false" ht="15" hidden="false" customHeight="false" outlineLevel="0" collapsed="false">
      <c r="A25" s="11"/>
      <c r="B25" s="11"/>
      <c r="C25" s="11"/>
      <c r="D25" s="11"/>
      <c r="E25" s="13" t="n">
        <f aca="false">IF(A25&lt;&gt;"",IF(COUNTIF(A$12:A25,A25)=1,1,0),0)</f>
        <v>0</v>
      </c>
      <c r="F25" s="13" t="n">
        <f aca="false">IF(AND(A25&lt;&gt;"",D25=1,C25=1),IF(COUNTIFS(A$12:A25,A25,D$12:D25,1,C$12:C25,1)=1,1,0),0)</f>
        <v>0</v>
      </c>
    </row>
    <row r="26" customFormat="false" ht="15" hidden="false" customHeight="false" outlineLevel="0" collapsed="false">
      <c r="A26" s="11"/>
      <c r="B26" s="11"/>
      <c r="C26" s="11"/>
      <c r="D26" s="11"/>
      <c r="E26" s="13" t="n">
        <f aca="false">IF(A26&lt;&gt;"",IF(COUNTIF(A$12:A26,A26)=1,1,0),0)</f>
        <v>0</v>
      </c>
      <c r="F26" s="13" t="n">
        <f aca="false">IF(AND(A26&lt;&gt;"",D26=1,C26=1),IF(COUNTIFS(A$12:A26,A26,D$12:D26,1,C$12:C26,1)=1,1,0),0)</f>
        <v>0</v>
      </c>
    </row>
    <row r="27" customFormat="false" ht="15" hidden="false" customHeight="false" outlineLevel="0" collapsed="false">
      <c r="A27" s="11"/>
      <c r="B27" s="11"/>
      <c r="C27" s="11"/>
      <c r="D27" s="11"/>
      <c r="E27" s="13" t="n">
        <f aca="false">IF(A27&lt;&gt;"",IF(COUNTIF(A$12:A27,A27)=1,1,0),0)</f>
        <v>0</v>
      </c>
      <c r="F27" s="13" t="n">
        <f aca="false">IF(AND(A27&lt;&gt;"",D27=1,C27=1),IF(COUNTIFS(A$12:A27,A27,D$12:D27,1,C$12:C27,1)=1,1,0),0)</f>
        <v>0</v>
      </c>
    </row>
    <row r="28" customFormat="false" ht="15" hidden="false" customHeight="false" outlineLevel="0" collapsed="false">
      <c r="A28" s="11"/>
      <c r="B28" s="11"/>
      <c r="C28" s="11"/>
      <c r="D28" s="11"/>
      <c r="E28" s="13" t="n">
        <f aca="false">IF(A28&lt;&gt;"",IF(COUNTIF(A$12:A28,A28)=1,1,0),0)</f>
        <v>0</v>
      </c>
      <c r="F28" s="13" t="n">
        <f aca="false">IF(AND(A28&lt;&gt;"",D28=1,C28=1),IF(COUNTIFS(A$12:A28,A28,D$12:D28,1,C$12:C28,1)=1,1,0),0)</f>
        <v>0</v>
      </c>
    </row>
    <row r="29" customFormat="false" ht="15" hidden="false" customHeight="false" outlineLevel="0" collapsed="false">
      <c r="A29" s="11"/>
      <c r="B29" s="11"/>
      <c r="C29" s="11"/>
      <c r="D29" s="11"/>
      <c r="E29" s="13" t="n">
        <f aca="false">IF(A29&lt;&gt;"",IF(COUNTIF(A$12:A29,A29)=1,1,0),0)</f>
        <v>0</v>
      </c>
      <c r="F29" s="13" t="n">
        <f aca="false">IF(AND(A29&lt;&gt;"",D29=1,C29=1),IF(COUNTIFS(A$12:A29,A29,D$12:D29,1,C$12:C29,1)=1,1,0),0)</f>
        <v>0</v>
      </c>
    </row>
    <row r="30" customFormat="false" ht="15" hidden="false" customHeight="false" outlineLevel="0" collapsed="false">
      <c r="A30" s="11"/>
      <c r="B30" s="11"/>
      <c r="C30" s="11"/>
      <c r="D30" s="11"/>
      <c r="E30" s="13" t="n">
        <f aca="false">IF(A30&lt;&gt;"",IF(COUNTIF(A$12:A30,A30)=1,1,0),0)</f>
        <v>0</v>
      </c>
      <c r="F30" s="13" t="n">
        <f aca="false">IF(AND(A30&lt;&gt;"",D30=1,C30=1),IF(COUNTIFS(A$12:A30,A30,D$12:D30,1,C$12:C30,1)=1,1,0),0)</f>
        <v>0</v>
      </c>
    </row>
    <row r="31" customFormat="false" ht="15" hidden="false" customHeight="false" outlineLevel="0" collapsed="false">
      <c r="A31" s="11"/>
      <c r="B31" s="11"/>
      <c r="C31" s="11"/>
      <c r="D31" s="11"/>
      <c r="E31" s="13" t="n">
        <f aca="false">IF(A31&lt;&gt;"",IF(COUNTIF(A$12:A31,A31)=1,1,0),0)</f>
        <v>0</v>
      </c>
      <c r="F31" s="13" t="n">
        <f aca="false">IF(AND(A31&lt;&gt;"",D31=1,C31=1),IF(COUNTIFS(A$12:A31,A31,D$12:D31,1,C$12:C31,1)=1,1,0),0)</f>
        <v>0</v>
      </c>
    </row>
    <row r="32" customFormat="false" ht="15" hidden="false" customHeight="false" outlineLevel="0" collapsed="false">
      <c r="A32" s="11"/>
      <c r="B32" s="11"/>
      <c r="C32" s="11"/>
      <c r="D32" s="11"/>
      <c r="E32" s="13" t="n">
        <f aca="false">IF(A32&lt;&gt;"",IF(COUNTIF(A$12:A32,A32)=1,1,0),0)</f>
        <v>0</v>
      </c>
      <c r="F32" s="13" t="n">
        <f aca="false">IF(AND(A32&lt;&gt;"",D32=1,C32=1),IF(COUNTIFS(A$12:A32,A32,D$12:D32,1,C$12:C32,1)=1,1,0),0)</f>
        <v>0</v>
      </c>
    </row>
    <row r="33" customFormat="false" ht="15" hidden="false" customHeight="false" outlineLevel="0" collapsed="false">
      <c r="A33" s="11"/>
      <c r="B33" s="11"/>
      <c r="C33" s="11"/>
      <c r="D33" s="11"/>
      <c r="E33" s="13" t="n">
        <f aca="false">IF(A33&lt;&gt;"",IF(COUNTIF(A$12:A33,A33)=1,1,0),0)</f>
        <v>0</v>
      </c>
      <c r="F33" s="13" t="n">
        <f aca="false">IF(AND(A33&lt;&gt;"",D33=1,C33=1),IF(COUNTIFS(A$12:A33,A33,D$12:D33,1,C$12:C33,1)=1,1,0),0)</f>
        <v>0</v>
      </c>
    </row>
    <row r="34" customFormat="false" ht="15" hidden="false" customHeight="false" outlineLevel="0" collapsed="false">
      <c r="A34" s="11"/>
      <c r="B34" s="11"/>
      <c r="C34" s="11"/>
      <c r="D34" s="11"/>
      <c r="E34" s="13" t="n">
        <f aca="false">IF(A34&lt;&gt;"",IF(COUNTIF(A$12:A34,A34)=1,1,0),0)</f>
        <v>0</v>
      </c>
      <c r="F34" s="13" t="n">
        <f aca="false">IF(AND(A34&lt;&gt;"",D34=1,C34=1),IF(COUNTIFS(A$12:A34,A34,D$12:D34,1,C$12:C34,1)=1,1,0),0)</f>
        <v>0</v>
      </c>
    </row>
    <row r="35" customFormat="false" ht="15" hidden="false" customHeight="false" outlineLevel="0" collapsed="false">
      <c r="A35" s="11"/>
      <c r="B35" s="11"/>
      <c r="C35" s="11"/>
      <c r="D35" s="11"/>
      <c r="E35" s="13" t="n">
        <f aca="false">IF(A35&lt;&gt;"",IF(COUNTIF(A$12:A35,A35)=1,1,0),0)</f>
        <v>0</v>
      </c>
      <c r="F35" s="13" t="n">
        <f aca="false">IF(AND(A35&lt;&gt;"",D35=1,C35=1),IF(COUNTIFS(A$12:A35,A35,D$12:D35,1,C$12:C35,1)=1,1,0),0)</f>
        <v>0</v>
      </c>
    </row>
    <row r="36" customFormat="false" ht="15" hidden="false" customHeight="false" outlineLevel="0" collapsed="false">
      <c r="A36" s="11"/>
      <c r="B36" s="11"/>
      <c r="C36" s="11"/>
      <c r="D36" s="11"/>
      <c r="E36" s="13" t="n">
        <f aca="false">IF(A36&lt;&gt;"",IF(COUNTIF(A$12:A36,A36)=1,1,0),0)</f>
        <v>0</v>
      </c>
      <c r="F36" s="13" t="n">
        <f aca="false">IF(AND(A36&lt;&gt;"",D36=1,C36=1),IF(COUNTIFS(A$12:A36,A36,D$12:D36,1,C$12:C36,1)=1,1,0),0)</f>
        <v>0</v>
      </c>
    </row>
    <row r="37" customFormat="false" ht="15" hidden="false" customHeight="false" outlineLevel="0" collapsed="false">
      <c r="A37" s="11"/>
      <c r="B37" s="11"/>
      <c r="C37" s="11"/>
      <c r="D37" s="11"/>
      <c r="E37" s="13" t="n">
        <f aca="false">IF(A37&lt;&gt;"",IF(COUNTIF(A$12:A37,A37)=1,1,0),0)</f>
        <v>0</v>
      </c>
      <c r="F37" s="13" t="n">
        <f aca="false">IF(AND(A37&lt;&gt;"",D37=1,C37=1),IF(COUNTIFS(A$12:A37,A37,D$12:D37,1,C$12:C37,1)=1,1,0),0)</f>
        <v>0</v>
      </c>
    </row>
    <row r="38" customFormat="false" ht="15" hidden="false" customHeight="false" outlineLevel="0" collapsed="false">
      <c r="A38" s="11"/>
      <c r="B38" s="11"/>
      <c r="C38" s="11"/>
      <c r="D38" s="11"/>
      <c r="E38" s="13" t="n">
        <f aca="false">IF(A38&lt;&gt;"",IF(COUNTIF(A$12:A38,A38)=1,1,0),0)</f>
        <v>0</v>
      </c>
      <c r="F38" s="13" t="n">
        <f aca="false">IF(AND(A38&lt;&gt;"",D38=1,C38=1),IF(COUNTIFS(A$12:A38,A38,D$12:D38,1,C$12:C38,1)=1,1,0),0)</f>
        <v>0</v>
      </c>
    </row>
    <row r="39" customFormat="false" ht="15" hidden="false" customHeight="false" outlineLevel="0" collapsed="false">
      <c r="A39" s="11"/>
      <c r="B39" s="11"/>
      <c r="C39" s="11"/>
      <c r="D39" s="11"/>
      <c r="E39" s="13" t="n">
        <f aca="false">IF(A39&lt;&gt;"",IF(COUNTIF(A$12:A39,A39)=1,1,0),0)</f>
        <v>0</v>
      </c>
      <c r="F39" s="13" t="n">
        <f aca="false">IF(AND(A39&lt;&gt;"",D39=1,C39=1),IF(COUNTIFS(A$12:A39,A39,D$12:D39,1,C$12:C39,1)=1,1,0),0)</f>
        <v>0</v>
      </c>
    </row>
    <row r="40" customFormat="false" ht="15" hidden="false" customHeight="false" outlineLevel="0" collapsed="false">
      <c r="A40" s="11"/>
      <c r="B40" s="11"/>
      <c r="C40" s="11"/>
      <c r="D40" s="11"/>
      <c r="E40" s="13" t="n">
        <f aca="false">IF(A40&lt;&gt;"",IF(COUNTIF(A$12:A40,A40)=1,1,0),0)</f>
        <v>0</v>
      </c>
      <c r="F40" s="13" t="n">
        <f aca="false">IF(AND(A40&lt;&gt;"",D40=1,C40=1),IF(COUNTIFS(A$12:A40,A40,D$12:D40,1,C$12:C40,1)=1,1,0),0)</f>
        <v>0</v>
      </c>
    </row>
    <row r="41" customFormat="false" ht="15" hidden="false" customHeight="false" outlineLevel="0" collapsed="false">
      <c r="A41" s="11"/>
      <c r="B41" s="11"/>
      <c r="C41" s="11"/>
      <c r="D41" s="11"/>
      <c r="E41" s="13" t="n">
        <f aca="false">IF(A41&lt;&gt;"",IF(COUNTIF(A$12:A41,A41)=1,1,0),0)</f>
        <v>0</v>
      </c>
      <c r="F41" s="13" t="n">
        <f aca="false">IF(AND(A41&lt;&gt;"",D41=1,C41=1),IF(COUNTIFS(A$12:A41,A41,D$12:D41,1,C$12:C41,1)=1,1,0),0)</f>
        <v>0</v>
      </c>
    </row>
    <row r="42" customFormat="false" ht="15" hidden="false" customHeight="false" outlineLevel="0" collapsed="false">
      <c r="A42" s="11"/>
      <c r="B42" s="11"/>
      <c r="C42" s="11"/>
      <c r="D42" s="11"/>
      <c r="E42" s="13" t="n">
        <f aca="false">IF(A42&lt;&gt;"",IF(COUNTIF(A$12:A42,A42)=1,1,0),0)</f>
        <v>0</v>
      </c>
      <c r="F42" s="13" t="n">
        <f aca="false">IF(AND(A42&lt;&gt;"",D42=1,C42=1),IF(COUNTIFS(A$12:A42,A42,D$12:D42,1,C$12:C42,1)=1,1,0),0)</f>
        <v>0</v>
      </c>
    </row>
    <row r="43" customFormat="false" ht="15" hidden="false" customHeight="false" outlineLevel="0" collapsed="false">
      <c r="A43" s="11"/>
      <c r="B43" s="11"/>
      <c r="C43" s="11"/>
      <c r="D43" s="11"/>
      <c r="E43" s="13" t="n">
        <f aca="false">IF(A43&lt;&gt;"",IF(COUNTIF(A$12:A43,A43)=1,1,0),0)</f>
        <v>0</v>
      </c>
      <c r="F43" s="13" t="n">
        <f aca="false">IF(AND(A43&lt;&gt;"",D43=1,C43=1),IF(COUNTIFS(A$12:A43,A43,D$12:D43,1,C$12:C43,1)=1,1,0),0)</f>
        <v>0</v>
      </c>
    </row>
    <row r="44" customFormat="false" ht="15" hidden="false" customHeight="false" outlineLevel="0" collapsed="false">
      <c r="A44" s="11"/>
      <c r="B44" s="11"/>
      <c r="C44" s="11"/>
      <c r="D44" s="11"/>
      <c r="E44" s="13" t="n">
        <f aca="false">IF(A44&lt;&gt;"",IF(COUNTIF(A$12:A44,A44)=1,1,0),0)</f>
        <v>0</v>
      </c>
      <c r="F44" s="13" t="n">
        <f aca="false">IF(AND(A44&lt;&gt;"",D44=1,C44=1),IF(COUNTIFS(A$12:A44,A44,D$12:D44,1,C$12:C44,1)=1,1,0),0)</f>
        <v>0</v>
      </c>
    </row>
    <row r="45" customFormat="false" ht="15" hidden="false" customHeight="false" outlineLevel="0" collapsed="false">
      <c r="A45" s="11"/>
      <c r="B45" s="11"/>
      <c r="C45" s="11"/>
      <c r="D45" s="11"/>
      <c r="E45" s="13" t="n">
        <f aca="false">IF(A45&lt;&gt;"",IF(COUNTIF(A$12:A45,A45)=1,1,0),0)</f>
        <v>0</v>
      </c>
      <c r="F45" s="13" t="n">
        <f aca="false">IF(AND(A45&lt;&gt;"",D45=1,C45=1),IF(COUNTIFS(A$12:A45,A45,D$12:D45,1,C$12:C45,1)=1,1,0),0)</f>
        <v>0</v>
      </c>
    </row>
    <row r="46" customFormat="false" ht="15" hidden="false" customHeight="false" outlineLevel="0" collapsed="false">
      <c r="A46" s="11"/>
      <c r="B46" s="11"/>
      <c r="C46" s="11"/>
      <c r="D46" s="11"/>
      <c r="E46" s="13" t="n">
        <f aca="false">IF(A46&lt;&gt;"",IF(COUNTIF(A$12:A46,A46)=1,1,0),0)</f>
        <v>0</v>
      </c>
      <c r="F46" s="13" t="n">
        <f aca="false">IF(AND(A46&lt;&gt;"",D46=1,C46=1),IF(COUNTIFS(A$12:A46,A46,D$12:D46,1,C$12:C46,1)=1,1,0),0)</f>
        <v>0</v>
      </c>
    </row>
    <row r="47" customFormat="false" ht="15" hidden="false" customHeight="false" outlineLevel="0" collapsed="false">
      <c r="A47" s="11"/>
      <c r="B47" s="11"/>
      <c r="C47" s="11"/>
      <c r="D47" s="11"/>
      <c r="E47" s="13" t="n">
        <f aca="false">IF(A47&lt;&gt;"",IF(COUNTIF(A$12:A47,A47)=1,1,0),0)</f>
        <v>0</v>
      </c>
      <c r="F47" s="13" t="n">
        <f aca="false">IF(AND(A47&lt;&gt;"",D47=1,C47=1),IF(COUNTIFS(A$12:A47,A47,D$12:D47,1,C$12:C47,1)=1,1,0),0)</f>
        <v>0</v>
      </c>
    </row>
    <row r="48" customFormat="false" ht="15" hidden="false" customHeight="false" outlineLevel="0" collapsed="false">
      <c r="A48" s="11"/>
      <c r="B48" s="11"/>
      <c r="C48" s="11"/>
      <c r="D48" s="11"/>
      <c r="E48" s="13" t="n">
        <f aca="false">IF(A48&lt;&gt;"",IF(COUNTIF(A$12:A48,A48)=1,1,0),0)</f>
        <v>0</v>
      </c>
      <c r="F48" s="13" t="n">
        <f aca="false">IF(AND(A48&lt;&gt;"",D48=1,C48=1),IF(COUNTIFS(A$12:A48,A48,D$12:D48,1,C$12:C48,1)=1,1,0),0)</f>
        <v>0</v>
      </c>
    </row>
    <row r="49" customFormat="false" ht="15" hidden="false" customHeight="false" outlineLevel="0" collapsed="false">
      <c r="A49" s="11"/>
      <c r="B49" s="11"/>
      <c r="C49" s="11"/>
      <c r="D49" s="11"/>
      <c r="E49" s="13" t="n">
        <f aca="false">IF(A49&lt;&gt;"",IF(COUNTIF(A$12:A49,A49)=1,1,0),0)</f>
        <v>0</v>
      </c>
      <c r="F49" s="13" t="n">
        <f aca="false">IF(AND(A49&lt;&gt;"",D49=1,C49=1),IF(COUNTIFS(A$12:A49,A49,D$12:D49,1,C$12:C49,1)=1,1,0),0)</f>
        <v>0</v>
      </c>
    </row>
    <row r="50" customFormat="false" ht="15" hidden="false" customHeight="false" outlineLevel="0" collapsed="false">
      <c r="A50" s="11"/>
      <c r="B50" s="11"/>
      <c r="C50" s="11"/>
      <c r="D50" s="11"/>
      <c r="E50" s="13" t="n">
        <f aca="false">IF(A50&lt;&gt;"",IF(COUNTIF(A$12:A50,A50)=1,1,0),0)</f>
        <v>0</v>
      </c>
      <c r="F50" s="13" t="n">
        <f aca="false">IF(AND(A50&lt;&gt;"",D50=1,C50=1),IF(COUNTIFS(A$12:A50,A50,D$12:D50,1,C$12:C50,1)=1,1,0),0)</f>
        <v>0</v>
      </c>
    </row>
    <row r="51" customFormat="false" ht="15" hidden="false" customHeight="false" outlineLevel="0" collapsed="false">
      <c r="A51" s="11"/>
      <c r="B51" s="11"/>
      <c r="C51" s="11"/>
      <c r="D51" s="11"/>
      <c r="E51" s="13" t="n">
        <f aca="false">IF(A51&lt;&gt;"",IF(COUNTIF(A$12:A51,A51)=1,1,0),0)</f>
        <v>0</v>
      </c>
      <c r="F51" s="13" t="n">
        <f aca="false">IF(AND(A51&lt;&gt;"",D51=1,C51=1),IF(COUNTIFS(A$12:A51,A51,D$12:D51,1,C$12:C51,1)=1,1,0),0)</f>
        <v>0</v>
      </c>
    </row>
    <row r="52" customFormat="false" ht="15" hidden="false" customHeight="false" outlineLevel="0" collapsed="false">
      <c r="A52" s="11"/>
      <c r="B52" s="11"/>
      <c r="C52" s="11"/>
      <c r="D52" s="11"/>
      <c r="E52" s="13" t="n">
        <f aca="false">IF(A52&lt;&gt;"",IF(COUNTIF(A$12:A52,A52)=1,1,0),0)</f>
        <v>0</v>
      </c>
      <c r="F52" s="13" t="n">
        <f aca="false">IF(AND(A52&lt;&gt;"",D52=1,C52=1),IF(COUNTIFS(A$12:A52,A52,D$12:D52,1,C$12:C52,1)=1,1,0),0)</f>
        <v>0</v>
      </c>
    </row>
    <row r="53" customFormat="false" ht="15" hidden="false" customHeight="false" outlineLevel="0" collapsed="false">
      <c r="A53" s="11"/>
      <c r="B53" s="11"/>
      <c r="C53" s="11"/>
      <c r="D53" s="11"/>
      <c r="E53" s="13" t="n">
        <f aca="false">IF(A53&lt;&gt;"",IF(COUNTIF(A$12:A53,A53)=1,1,0),0)</f>
        <v>0</v>
      </c>
      <c r="F53" s="13" t="n">
        <f aca="false">IF(AND(A53&lt;&gt;"",D53=1,C53=1),IF(COUNTIFS(A$12:A53,A53,D$12:D53,1,C$12:C53,1)=1,1,0),0)</f>
        <v>0</v>
      </c>
    </row>
    <row r="54" customFormat="false" ht="15" hidden="false" customHeight="false" outlineLevel="0" collapsed="false">
      <c r="A54" s="11"/>
      <c r="B54" s="11"/>
      <c r="C54" s="11"/>
      <c r="D54" s="11"/>
      <c r="E54" s="13" t="n">
        <f aca="false">IF(A54&lt;&gt;"",IF(COUNTIF(A$12:A54,A54)=1,1,0),0)</f>
        <v>0</v>
      </c>
      <c r="F54" s="13" t="n">
        <f aca="false">IF(AND(A54&lt;&gt;"",D54=1,C54=1),IF(COUNTIFS(A$12:A54,A54,D$12:D54,1,C$12:C54,1)=1,1,0),0)</f>
        <v>0</v>
      </c>
    </row>
    <row r="55" customFormat="false" ht="15" hidden="false" customHeight="false" outlineLevel="0" collapsed="false">
      <c r="A55" s="11"/>
      <c r="B55" s="11"/>
      <c r="C55" s="11"/>
      <c r="D55" s="11"/>
      <c r="E55" s="13" t="n">
        <f aca="false">IF(A55&lt;&gt;"",IF(COUNTIF(A$12:A55,A55)=1,1,0),0)</f>
        <v>0</v>
      </c>
      <c r="F55" s="13" t="n">
        <f aca="false">IF(AND(A55&lt;&gt;"",D55=1,C55=1),IF(COUNTIFS(A$12:A55,A55,D$12:D55,1,C$12:C55,1)=1,1,0),0)</f>
        <v>0</v>
      </c>
    </row>
    <row r="56" customFormat="false" ht="15" hidden="false" customHeight="false" outlineLevel="0" collapsed="false">
      <c r="A56" s="11"/>
      <c r="B56" s="11"/>
      <c r="C56" s="11"/>
      <c r="D56" s="11"/>
      <c r="E56" s="13" t="n">
        <f aca="false">IF(A56&lt;&gt;"",IF(COUNTIF(A$12:A56,A56)=1,1,0),0)</f>
        <v>0</v>
      </c>
      <c r="F56" s="13" t="n">
        <f aca="false">IF(AND(A56&lt;&gt;"",D56=1,C56=1),IF(COUNTIFS(A$12:A56,A56,D$12:D56,1,C$12:C56,1)=1,1,0),0)</f>
        <v>0</v>
      </c>
    </row>
    <row r="57" customFormat="false" ht="15" hidden="false" customHeight="false" outlineLevel="0" collapsed="false">
      <c r="A57" s="11"/>
      <c r="B57" s="11"/>
      <c r="C57" s="11"/>
      <c r="D57" s="11"/>
      <c r="E57" s="13" t="n">
        <f aca="false">IF(A57&lt;&gt;"",IF(COUNTIF(A$12:A57,A57)=1,1,0),0)</f>
        <v>0</v>
      </c>
      <c r="F57" s="13" t="n">
        <f aca="false">IF(AND(A57&lt;&gt;"",D57=1,C57=1),IF(COUNTIFS(A$12:A57,A57,D$12:D57,1,C$12:C57,1)=1,1,0),0)</f>
        <v>0</v>
      </c>
    </row>
    <row r="58" customFormat="false" ht="15" hidden="false" customHeight="false" outlineLevel="0" collapsed="false">
      <c r="A58" s="11"/>
      <c r="B58" s="11"/>
      <c r="C58" s="11"/>
      <c r="D58" s="11"/>
      <c r="E58" s="13" t="n">
        <f aca="false">IF(A58&lt;&gt;"",IF(COUNTIF(A$12:A58,A58)=1,1,0),0)</f>
        <v>0</v>
      </c>
      <c r="F58" s="13" t="n">
        <f aca="false">IF(AND(A58&lt;&gt;"",D58=1,C58=1),IF(COUNTIFS(A$12:A58,A58,D$12:D58,1,C$12:C58,1)=1,1,0),0)</f>
        <v>0</v>
      </c>
    </row>
    <row r="59" customFormat="false" ht="15" hidden="false" customHeight="false" outlineLevel="0" collapsed="false">
      <c r="A59" s="11"/>
      <c r="B59" s="11"/>
      <c r="C59" s="11"/>
      <c r="D59" s="11"/>
      <c r="E59" s="13" t="n">
        <f aca="false">IF(A59&lt;&gt;"",IF(COUNTIF(A$12:A59,A59)=1,1,0),0)</f>
        <v>0</v>
      </c>
      <c r="F59" s="13" t="n">
        <f aca="false">IF(AND(A59&lt;&gt;"",D59=1,C59=1),IF(COUNTIFS(A$12:A59,A59,D$12:D59,1,C$12:C59,1)=1,1,0),0)</f>
        <v>0</v>
      </c>
    </row>
    <row r="60" customFormat="false" ht="15" hidden="false" customHeight="false" outlineLevel="0" collapsed="false">
      <c r="A60" s="11"/>
      <c r="B60" s="11"/>
      <c r="C60" s="11"/>
      <c r="D60" s="11"/>
      <c r="E60" s="13" t="n">
        <f aca="false">IF(A60&lt;&gt;"",IF(COUNTIF(A$12:A60,A60)=1,1,0),0)</f>
        <v>0</v>
      </c>
      <c r="F60" s="13" t="n">
        <f aca="false">IF(AND(A60&lt;&gt;"",D60=1,C60=1),IF(COUNTIFS(A$12:A60,A60,D$12:D60,1,C$12:C60,1)=1,1,0),0)</f>
        <v>0</v>
      </c>
    </row>
    <row r="61" customFormat="false" ht="15" hidden="false" customHeight="false" outlineLevel="0" collapsed="false">
      <c r="A61" s="11"/>
      <c r="B61" s="11"/>
      <c r="C61" s="11"/>
      <c r="D61" s="11"/>
      <c r="E61" s="13" t="n">
        <f aca="false">IF(A61&lt;&gt;"",IF(COUNTIF(A$12:A61,A61)=1,1,0),0)</f>
        <v>0</v>
      </c>
      <c r="F61" s="13" t="n">
        <f aca="false">IF(AND(A61&lt;&gt;"",D61=1,C61=1),IF(COUNTIFS(A$12:A61,A61,D$12:D61,1,C$12:C61,1)=1,1,0),0)</f>
        <v>0</v>
      </c>
    </row>
    <row r="62" customFormat="false" ht="15" hidden="false" customHeight="false" outlineLevel="0" collapsed="false">
      <c r="A62" s="11"/>
      <c r="B62" s="11"/>
      <c r="C62" s="11"/>
      <c r="D62" s="11"/>
      <c r="E62" s="13" t="n">
        <f aca="false">IF(A62&lt;&gt;"",IF(COUNTIF(A$12:A62,A62)=1,1,0),0)</f>
        <v>0</v>
      </c>
      <c r="F62" s="13" t="n">
        <f aca="false">IF(AND(A62&lt;&gt;"",D62=1,C62=1),IF(COUNTIFS(A$12:A62,A62,D$12:D62,1,C$12:C62,1)=1,1,0),0)</f>
        <v>0</v>
      </c>
    </row>
    <row r="63" customFormat="false" ht="15" hidden="false" customHeight="false" outlineLevel="0" collapsed="false">
      <c r="A63" s="11"/>
      <c r="B63" s="11"/>
      <c r="C63" s="11"/>
      <c r="D63" s="11"/>
      <c r="E63" s="13" t="n">
        <f aca="false">IF(A63&lt;&gt;"",IF(COUNTIF(A$12:A63,A63)=1,1,0),0)</f>
        <v>0</v>
      </c>
      <c r="F63" s="13" t="n">
        <f aca="false">IF(AND(A63&lt;&gt;"",D63=1,C63=1),IF(COUNTIFS(A$12:A63,A63,D$12:D63,1,C$12:C63,1)=1,1,0),0)</f>
        <v>0</v>
      </c>
    </row>
    <row r="64" customFormat="false" ht="15" hidden="false" customHeight="false" outlineLevel="0" collapsed="false">
      <c r="A64" s="11"/>
      <c r="B64" s="11"/>
      <c r="C64" s="11"/>
      <c r="D64" s="11"/>
      <c r="E64" s="13" t="n">
        <f aca="false">IF(A64&lt;&gt;"",IF(COUNTIF(A$12:A64,A64)=1,1,0),0)</f>
        <v>0</v>
      </c>
      <c r="F64" s="13" t="n">
        <f aca="false">IF(AND(A64&lt;&gt;"",D64=1,C64=1),IF(COUNTIFS(A$12:A64,A64,D$12:D64,1,C$12:C64,1)=1,1,0),0)</f>
        <v>0</v>
      </c>
    </row>
    <row r="65" customFormat="false" ht="15" hidden="false" customHeight="false" outlineLevel="0" collapsed="false">
      <c r="A65" s="11"/>
      <c r="B65" s="11"/>
      <c r="C65" s="11"/>
      <c r="D65" s="11"/>
      <c r="E65" s="13" t="n">
        <f aca="false">IF(A65&lt;&gt;"",IF(COUNTIF(A$12:A65,A65)=1,1,0),0)</f>
        <v>0</v>
      </c>
      <c r="F65" s="13" t="n">
        <f aca="false">IF(AND(A65&lt;&gt;"",D65=1,C65=1),IF(COUNTIFS(A$12:A65,A65,D$12:D65,1,C$12:C65,1)=1,1,0),0)</f>
        <v>0</v>
      </c>
    </row>
    <row r="66" customFormat="false" ht="15" hidden="false" customHeight="false" outlineLevel="0" collapsed="false">
      <c r="A66" s="11"/>
      <c r="B66" s="11"/>
      <c r="C66" s="11"/>
      <c r="D66" s="11"/>
      <c r="E66" s="13" t="n">
        <f aca="false">IF(A66&lt;&gt;"",IF(COUNTIF(A$12:A66,A66)=1,1,0),0)</f>
        <v>0</v>
      </c>
      <c r="F66" s="13" t="n">
        <f aca="false">IF(AND(A66&lt;&gt;"",D66=1,C66=1),IF(COUNTIFS(A$12:A66,A66,D$12:D66,1,C$12:C66,1)=1,1,0),0)</f>
        <v>0</v>
      </c>
    </row>
    <row r="67" customFormat="false" ht="15" hidden="false" customHeight="false" outlineLevel="0" collapsed="false">
      <c r="A67" s="11"/>
      <c r="B67" s="11"/>
      <c r="C67" s="11"/>
      <c r="D67" s="11"/>
      <c r="E67" s="13" t="n">
        <f aca="false">IF(A67&lt;&gt;"",IF(COUNTIF(A$12:A67,A67)=1,1,0),0)</f>
        <v>0</v>
      </c>
      <c r="F67" s="13" t="n">
        <f aca="false">IF(AND(A67&lt;&gt;"",D67=1,C67=1),IF(COUNTIFS(A$12:A67,A67,D$12:D67,1,C$12:C67,1)=1,1,0),0)</f>
        <v>0</v>
      </c>
    </row>
    <row r="68" customFormat="false" ht="15" hidden="false" customHeight="false" outlineLevel="0" collapsed="false">
      <c r="A68" s="11"/>
      <c r="B68" s="11"/>
      <c r="C68" s="11"/>
      <c r="D68" s="11"/>
      <c r="E68" s="13" t="n">
        <f aca="false">IF(A68&lt;&gt;"",IF(COUNTIF(A$12:A68,A68)=1,1,0),0)</f>
        <v>0</v>
      </c>
      <c r="F68" s="13" t="n">
        <f aca="false">IF(AND(A68&lt;&gt;"",D68=1,C68=1),IF(COUNTIFS(A$12:A68,A68,D$12:D68,1,C$12:C68,1)=1,1,0),0)</f>
        <v>0</v>
      </c>
    </row>
    <row r="69" customFormat="false" ht="15" hidden="false" customHeight="false" outlineLevel="0" collapsed="false">
      <c r="A69" s="11"/>
      <c r="B69" s="11"/>
      <c r="C69" s="11"/>
      <c r="D69" s="11"/>
      <c r="E69" s="13" t="n">
        <f aca="false">IF(A69&lt;&gt;"",IF(COUNTIF(A$12:A69,A69)=1,1,0),0)</f>
        <v>0</v>
      </c>
      <c r="F69" s="13" t="n">
        <f aca="false">IF(AND(A69&lt;&gt;"",D69=1,C69=1),IF(COUNTIFS(A$12:A69,A69,D$12:D69,1,C$12:C69,1)=1,1,0),0)</f>
        <v>0</v>
      </c>
    </row>
    <row r="70" customFormat="false" ht="15" hidden="false" customHeight="false" outlineLevel="0" collapsed="false">
      <c r="A70" s="11"/>
      <c r="B70" s="11"/>
      <c r="C70" s="11"/>
      <c r="D70" s="11"/>
      <c r="E70" s="13" t="n">
        <f aca="false">IF(A70&lt;&gt;"",IF(COUNTIF(A$12:A70,A70)=1,1,0),0)</f>
        <v>0</v>
      </c>
      <c r="F70" s="13" t="n">
        <f aca="false">IF(AND(A70&lt;&gt;"",D70=1,C70=1),IF(COUNTIFS(A$12:A70,A70,D$12:D70,1,C$12:C70,1)=1,1,0),0)</f>
        <v>0</v>
      </c>
    </row>
    <row r="71" customFormat="false" ht="15" hidden="false" customHeight="false" outlineLevel="0" collapsed="false">
      <c r="A71" s="11"/>
      <c r="B71" s="11"/>
      <c r="C71" s="11"/>
      <c r="D71" s="11"/>
      <c r="E71" s="13" t="n">
        <f aca="false">IF(A71&lt;&gt;"",IF(COUNTIF(A$12:A71,A71)=1,1,0),0)</f>
        <v>0</v>
      </c>
      <c r="F71" s="13" t="n">
        <f aca="false">IF(AND(A71&lt;&gt;"",D71=1,C71=1),IF(COUNTIFS(A$12:A71,A71,D$12:D71,1,C$12:C71,1)=1,1,0),0)</f>
        <v>0</v>
      </c>
    </row>
    <row r="72" customFormat="false" ht="15" hidden="false" customHeight="false" outlineLevel="0" collapsed="false">
      <c r="A72" s="11"/>
      <c r="B72" s="11"/>
      <c r="C72" s="11"/>
      <c r="D72" s="11"/>
      <c r="E72" s="13" t="n">
        <f aca="false">IF(A72&lt;&gt;"",IF(COUNTIF(A$12:A72,A72)=1,1,0),0)</f>
        <v>0</v>
      </c>
      <c r="F72" s="13" t="n">
        <f aca="false">IF(AND(A72&lt;&gt;"",D72=1,C72=1),IF(COUNTIFS(A$12:A72,A72,D$12:D72,1,C$12:C72,1)=1,1,0),0)</f>
        <v>0</v>
      </c>
    </row>
    <row r="73" customFormat="false" ht="15" hidden="false" customHeight="false" outlineLevel="0" collapsed="false">
      <c r="A73" s="11"/>
      <c r="B73" s="11"/>
      <c r="C73" s="11"/>
      <c r="D73" s="11"/>
      <c r="E73" s="13" t="n">
        <f aca="false">IF(A73&lt;&gt;"",IF(COUNTIF(A$12:A73,A73)=1,1,0),0)</f>
        <v>0</v>
      </c>
      <c r="F73" s="13" t="n">
        <f aca="false">IF(AND(A73&lt;&gt;"",D73=1,C73=1),IF(COUNTIFS(A$12:A73,A73,D$12:D73,1,C$12:C73,1)=1,1,0),0)</f>
        <v>0</v>
      </c>
    </row>
    <row r="74" customFormat="false" ht="15" hidden="false" customHeight="false" outlineLevel="0" collapsed="false">
      <c r="A74" s="11"/>
      <c r="B74" s="11"/>
      <c r="C74" s="11"/>
      <c r="D74" s="11"/>
      <c r="E74" s="13" t="n">
        <f aca="false">IF(A74&lt;&gt;"",IF(COUNTIF(A$12:A74,A74)=1,1,0),0)</f>
        <v>0</v>
      </c>
      <c r="F74" s="13" t="n">
        <f aca="false">IF(AND(A74&lt;&gt;"",D74=1,C74=1),IF(COUNTIFS(A$12:A74,A74,D$12:D74,1,C$12:C74,1)=1,1,0),0)</f>
        <v>0</v>
      </c>
    </row>
    <row r="75" customFormat="false" ht="15" hidden="false" customHeight="false" outlineLevel="0" collapsed="false">
      <c r="A75" s="11"/>
      <c r="B75" s="11"/>
      <c r="C75" s="11"/>
      <c r="D75" s="11"/>
      <c r="E75" s="13" t="n">
        <f aca="false">IF(A75&lt;&gt;"",IF(COUNTIF(A$12:A75,A75)=1,1,0),0)</f>
        <v>0</v>
      </c>
      <c r="F75" s="13" t="n">
        <f aca="false">IF(AND(A75&lt;&gt;"",D75=1,C75=1),IF(COUNTIFS(A$12:A75,A75,D$12:D75,1,C$12:C75,1)=1,1,0),0)</f>
        <v>0</v>
      </c>
    </row>
    <row r="76" customFormat="false" ht="15" hidden="false" customHeight="false" outlineLevel="0" collapsed="false">
      <c r="A76" s="11"/>
      <c r="B76" s="11"/>
      <c r="C76" s="11"/>
      <c r="D76" s="11"/>
      <c r="E76" s="13" t="n">
        <f aca="false">IF(A76&lt;&gt;"",IF(COUNTIF(A$12:A76,A76)=1,1,0),0)</f>
        <v>0</v>
      </c>
      <c r="F76" s="13" t="n">
        <f aca="false">IF(AND(A76&lt;&gt;"",D76=1,C76=1),IF(COUNTIFS(A$12:A76,A76,D$12:D76,1,C$12:C76,1)=1,1,0),0)</f>
        <v>0</v>
      </c>
    </row>
    <row r="77" customFormat="false" ht="15" hidden="false" customHeight="false" outlineLevel="0" collapsed="false">
      <c r="A77" s="11"/>
      <c r="B77" s="11"/>
      <c r="C77" s="11"/>
      <c r="D77" s="11"/>
      <c r="E77" s="13" t="n">
        <f aca="false">IF(A77&lt;&gt;"",IF(COUNTIF(A$12:A77,A77)=1,1,0),0)</f>
        <v>0</v>
      </c>
      <c r="F77" s="13" t="n">
        <f aca="false">IF(AND(A77&lt;&gt;"",D77=1,C77=1),IF(COUNTIFS(A$12:A77,A77,D$12:D77,1,C$12:C77,1)=1,1,0),0)</f>
        <v>0</v>
      </c>
    </row>
    <row r="78" customFormat="false" ht="15" hidden="false" customHeight="false" outlineLevel="0" collapsed="false">
      <c r="A78" s="11"/>
      <c r="B78" s="11"/>
      <c r="C78" s="11"/>
      <c r="D78" s="11"/>
      <c r="E78" s="13" t="n">
        <f aca="false">IF(A78&lt;&gt;"",IF(COUNTIF(A$12:A78,A78)=1,1,0),0)</f>
        <v>0</v>
      </c>
      <c r="F78" s="13" t="n">
        <f aca="false">IF(AND(A78&lt;&gt;"",D78=1,C78=1),IF(COUNTIFS(A$12:A78,A78,D$12:D78,1,C$12:C78,1)=1,1,0),0)</f>
        <v>0</v>
      </c>
    </row>
    <row r="79" customFormat="false" ht="15" hidden="false" customHeight="false" outlineLevel="0" collapsed="false">
      <c r="A79" s="11"/>
      <c r="B79" s="11"/>
      <c r="C79" s="11"/>
      <c r="D79" s="11"/>
      <c r="E79" s="13" t="n">
        <f aca="false">IF(A79&lt;&gt;"",IF(COUNTIF(A$12:A79,A79)=1,1,0),0)</f>
        <v>0</v>
      </c>
      <c r="F79" s="13" t="n">
        <f aca="false">IF(AND(A79&lt;&gt;"",D79=1,C79=1),IF(COUNTIFS(A$12:A79,A79,D$12:D79,1,C$12:C79,1)=1,1,0),0)</f>
        <v>0</v>
      </c>
    </row>
    <row r="80" customFormat="false" ht="15" hidden="false" customHeight="false" outlineLevel="0" collapsed="false">
      <c r="A80" s="11"/>
      <c r="B80" s="11"/>
      <c r="C80" s="11"/>
      <c r="D80" s="11"/>
      <c r="E80" s="13" t="n">
        <f aca="false">IF(A80&lt;&gt;"",IF(COUNTIF(A$12:A80,A80)=1,1,0),0)</f>
        <v>0</v>
      </c>
      <c r="F80" s="13" t="n">
        <f aca="false">IF(AND(A80&lt;&gt;"",D80=1,C80=1),IF(COUNTIFS(A$12:A80,A80,D$12:D80,1,C$12:C80,1)=1,1,0),0)</f>
        <v>0</v>
      </c>
    </row>
    <row r="81" customFormat="false" ht="15" hidden="false" customHeight="false" outlineLevel="0" collapsed="false">
      <c r="A81" s="11"/>
      <c r="B81" s="11"/>
      <c r="C81" s="11"/>
      <c r="D81" s="11"/>
      <c r="E81" s="13" t="n">
        <f aca="false">IF(A81&lt;&gt;"",IF(COUNTIF(A$12:A81,A81)=1,1,0),0)</f>
        <v>0</v>
      </c>
      <c r="F81" s="13" t="n">
        <f aca="false">IF(AND(A81&lt;&gt;"",D81=1,C81=1),IF(COUNTIFS(A$12:A81,A81,D$12:D81,1,C$12:C81,1)=1,1,0),0)</f>
        <v>0</v>
      </c>
    </row>
    <row r="82" customFormat="false" ht="15" hidden="false" customHeight="false" outlineLevel="0" collapsed="false">
      <c r="A82" s="11"/>
      <c r="B82" s="11"/>
      <c r="C82" s="11"/>
      <c r="D82" s="11"/>
      <c r="E82" s="13" t="n">
        <f aca="false">IF(A82&lt;&gt;"",IF(COUNTIF(A$12:A82,A82)=1,1,0),0)</f>
        <v>0</v>
      </c>
      <c r="F82" s="13" t="n">
        <f aca="false">IF(AND(A82&lt;&gt;"",D82=1,C82=1),IF(COUNTIFS(A$12:A82,A82,D$12:D82,1,C$12:C82,1)=1,1,0),0)</f>
        <v>0</v>
      </c>
    </row>
    <row r="83" customFormat="false" ht="15" hidden="false" customHeight="false" outlineLevel="0" collapsed="false">
      <c r="A83" s="11"/>
      <c r="B83" s="11"/>
      <c r="C83" s="11"/>
      <c r="D83" s="11"/>
      <c r="E83" s="13" t="n">
        <f aca="false">IF(A83&lt;&gt;"",IF(COUNTIF(A$12:A83,A83)=1,1,0),0)</f>
        <v>0</v>
      </c>
      <c r="F83" s="13" t="n">
        <f aca="false">IF(AND(A83&lt;&gt;"",D83=1,C83=1),IF(COUNTIFS(A$12:A83,A83,D$12:D83,1,C$12:C83,1)=1,1,0),0)</f>
        <v>0</v>
      </c>
    </row>
    <row r="84" customFormat="false" ht="15" hidden="false" customHeight="false" outlineLevel="0" collapsed="false">
      <c r="A84" s="11"/>
      <c r="B84" s="11"/>
      <c r="C84" s="11"/>
      <c r="D84" s="11"/>
      <c r="E84" s="13" t="n">
        <f aca="false">IF(A84&lt;&gt;"",IF(COUNTIF(A$12:A84,A84)=1,1,0),0)</f>
        <v>0</v>
      </c>
      <c r="F84" s="13" t="n">
        <f aca="false">IF(AND(A84&lt;&gt;"",D84=1,C84=1),IF(COUNTIFS(A$12:A84,A84,D$12:D84,1,C$12:C84,1)=1,1,0),0)</f>
        <v>0</v>
      </c>
    </row>
    <row r="85" customFormat="false" ht="15" hidden="false" customHeight="false" outlineLevel="0" collapsed="false">
      <c r="A85" s="11"/>
      <c r="B85" s="11"/>
      <c r="C85" s="11"/>
      <c r="D85" s="11"/>
      <c r="E85" s="13" t="n">
        <f aca="false">IF(A85&lt;&gt;"",IF(COUNTIF(A$12:A85,A85)=1,1,0),0)</f>
        <v>0</v>
      </c>
      <c r="F85" s="13" t="n">
        <f aca="false">IF(AND(A85&lt;&gt;"",D85=1,C85=1),IF(COUNTIFS(A$12:A85,A85,D$12:D85,1,C$12:C85,1)=1,1,0),0)</f>
        <v>0</v>
      </c>
    </row>
    <row r="86" customFormat="false" ht="15" hidden="false" customHeight="false" outlineLevel="0" collapsed="false">
      <c r="A86" s="11"/>
      <c r="B86" s="11"/>
      <c r="C86" s="11"/>
      <c r="D86" s="11"/>
      <c r="E86" s="13" t="n">
        <f aca="false">IF(A86&lt;&gt;"",IF(COUNTIF(A$12:A86,A86)=1,1,0),0)</f>
        <v>0</v>
      </c>
      <c r="F86" s="13" t="n">
        <f aca="false">IF(AND(A86&lt;&gt;"",D86=1,C86=1),IF(COUNTIFS(A$12:A86,A86,D$12:D86,1,C$12:C86,1)=1,1,0),0)</f>
        <v>0</v>
      </c>
    </row>
    <row r="87" customFormat="false" ht="15" hidden="false" customHeight="false" outlineLevel="0" collapsed="false">
      <c r="A87" s="11"/>
      <c r="B87" s="11"/>
      <c r="C87" s="11"/>
      <c r="D87" s="11"/>
      <c r="E87" s="13" t="n">
        <f aca="false">IF(A87&lt;&gt;"",IF(COUNTIF(A$12:A87,A87)=1,1,0),0)</f>
        <v>0</v>
      </c>
      <c r="F87" s="13" t="n">
        <f aca="false">IF(AND(A87&lt;&gt;"",D87=1,C87=1),IF(COUNTIFS(A$12:A87,A87,D$12:D87,1,C$12:C87,1)=1,1,0),0)</f>
        <v>0</v>
      </c>
    </row>
    <row r="88" customFormat="false" ht="15" hidden="false" customHeight="false" outlineLevel="0" collapsed="false">
      <c r="A88" s="11"/>
      <c r="B88" s="11"/>
      <c r="C88" s="11"/>
      <c r="D88" s="11"/>
      <c r="E88" s="13" t="n">
        <f aca="false">IF(A88&lt;&gt;"",IF(COUNTIF(A$12:A88,A88)=1,1,0),0)</f>
        <v>0</v>
      </c>
      <c r="F88" s="13" t="n">
        <f aca="false">IF(AND(A88&lt;&gt;"",D88=1,C88=1),IF(COUNTIFS(A$12:A88,A88,D$12:D88,1,C$12:C88,1)=1,1,0),0)</f>
        <v>0</v>
      </c>
    </row>
    <row r="89" customFormat="false" ht="15" hidden="false" customHeight="false" outlineLevel="0" collapsed="false">
      <c r="A89" s="11"/>
      <c r="B89" s="11"/>
      <c r="C89" s="11"/>
      <c r="D89" s="11"/>
      <c r="E89" s="13" t="n">
        <f aca="false">IF(A89&lt;&gt;"",IF(COUNTIF(A$12:A89,A89)=1,1,0),0)</f>
        <v>0</v>
      </c>
      <c r="F89" s="13" t="n">
        <f aca="false">IF(AND(A89&lt;&gt;"",D89=1,C89=1),IF(COUNTIFS(A$12:A89,A89,D$12:D89,1,C$12:C89,1)=1,1,0),0)</f>
        <v>0</v>
      </c>
    </row>
    <row r="90" customFormat="false" ht="15" hidden="false" customHeight="false" outlineLevel="0" collapsed="false">
      <c r="A90" s="11"/>
      <c r="B90" s="11"/>
      <c r="C90" s="11"/>
      <c r="D90" s="11"/>
      <c r="E90" s="13" t="n">
        <f aca="false">IF(A90&lt;&gt;"",IF(COUNTIF(A$12:A90,A90)=1,1,0),0)</f>
        <v>0</v>
      </c>
      <c r="F90" s="13" t="n">
        <f aca="false">IF(AND(A90&lt;&gt;"",D90=1,C90=1),IF(COUNTIFS(A$12:A90,A90,D$12:D90,1,C$12:C90,1)=1,1,0),0)</f>
        <v>0</v>
      </c>
    </row>
    <row r="91" customFormat="false" ht="15" hidden="false" customHeight="false" outlineLevel="0" collapsed="false">
      <c r="A91" s="11"/>
      <c r="B91" s="11"/>
      <c r="C91" s="11"/>
      <c r="D91" s="11"/>
      <c r="E91" s="13" t="n">
        <f aca="false">IF(A91&lt;&gt;"",IF(COUNTIF(A$12:A91,A91)=1,1,0),0)</f>
        <v>0</v>
      </c>
      <c r="F91" s="13" t="n">
        <f aca="false">IF(AND(A91&lt;&gt;"",D91=1,C91=1),IF(COUNTIFS(A$12:A91,A91,D$12:D91,1,C$12:C91,1)=1,1,0),0)</f>
        <v>0</v>
      </c>
    </row>
    <row r="92" customFormat="false" ht="15" hidden="false" customHeight="false" outlineLevel="0" collapsed="false">
      <c r="A92" s="11"/>
      <c r="B92" s="11"/>
      <c r="C92" s="11"/>
      <c r="D92" s="11"/>
      <c r="E92" s="13" t="n">
        <f aca="false">IF(A92&lt;&gt;"",IF(COUNTIF(A$12:A92,A92)=1,1,0),0)</f>
        <v>0</v>
      </c>
      <c r="F92" s="13" t="n">
        <f aca="false">IF(AND(A92&lt;&gt;"",D92=1,C92=1),IF(COUNTIFS(A$12:A92,A92,D$12:D92,1,C$12:C92,1)=1,1,0),0)</f>
        <v>0</v>
      </c>
    </row>
    <row r="93" customFormat="false" ht="15" hidden="false" customHeight="false" outlineLevel="0" collapsed="false">
      <c r="A93" s="11"/>
      <c r="B93" s="11"/>
      <c r="C93" s="11"/>
      <c r="D93" s="11"/>
      <c r="E93" s="13" t="n">
        <f aca="false">IF(A93&lt;&gt;"",IF(COUNTIF(A$12:A93,A93)=1,1,0),0)</f>
        <v>0</v>
      </c>
      <c r="F93" s="13" t="n">
        <f aca="false">IF(AND(A93&lt;&gt;"",D93=1,C93=1),IF(COUNTIFS(A$12:A93,A93,D$12:D93,1,C$12:C93,1)=1,1,0),0)</f>
        <v>0</v>
      </c>
    </row>
    <row r="94" customFormat="false" ht="15" hidden="false" customHeight="false" outlineLevel="0" collapsed="false">
      <c r="A94" s="11"/>
      <c r="B94" s="11"/>
      <c r="C94" s="11"/>
      <c r="D94" s="11"/>
      <c r="E94" s="13" t="n">
        <f aca="false">IF(A94&lt;&gt;"",IF(COUNTIF(A$12:A94,A94)=1,1,0),0)</f>
        <v>0</v>
      </c>
      <c r="F94" s="13" t="n">
        <f aca="false">IF(AND(A94&lt;&gt;"",D94=1,C94=1),IF(COUNTIFS(A$12:A94,A94,D$12:D94,1,C$12:C94,1)=1,1,0),0)</f>
        <v>0</v>
      </c>
    </row>
    <row r="95" customFormat="false" ht="15" hidden="false" customHeight="false" outlineLevel="0" collapsed="false">
      <c r="A95" s="11"/>
      <c r="B95" s="11"/>
      <c r="C95" s="11"/>
      <c r="D95" s="11"/>
      <c r="E95" s="13" t="n">
        <f aca="false">IF(A95&lt;&gt;"",IF(COUNTIF(A$12:A95,A95)=1,1,0),0)</f>
        <v>0</v>
      </c>
      <c r="F95" s="13" t="n">
        <f aca="false">IF(AND(A95&lt;&gt;"",D95=1,C95=1),IF(COUNTIFS(A$12:A95,A95,D$12:D95,1,C$12:C95,1)=1,1,0),0)</f>
        <v>0</v>
      </c>
    </row>
    <row r="96" customFormat="false" ht="15" hidden="false" customHeight="false" outlineLevel="0" collapsed="false">
      <c r="A96" s="11"/>
      <c r="B96" s="11"/>
      <c r="C96" s="11"/>
      <c r="D96" s="11"/>
      <c r="E96" s="13" t="n">
        <f aca="false">IF(A96&lt;&gt;"",IF(COUNTIF(A$12:A96,A96)=1,1,0),0)</f>
        <v>0</v>
      </c>
      <c r="F96" s="13" t="n">
        <f aca="false">IF(AND(A96&lt;&gt;"",D96=1,C96=1),IF(COUNTIFS(A$12:A96,A96,D$12:D96,1,C$12:C96,1)=1,1,0),0)</f>
        <v>0</v>
      </c>
    </row>
    <row r="97" customFormat="false" ht="15" hidden="false" customHeight="false" outlineLevel="0" collapsed="false">
      <c r="A97" s="11"/>
      <c r="B97" s="11"/>
      <c r="C97" s="11"/>
      <c r="D97" s="11"/>
      <c r="E97" s="13" t="n">
        <f aca="false">IF(A97&lt;&gt;"",IF(COUNTIF(A$12:A97,A97)=1,1,0),0)</f>
        <v>0</v>
      </c>
      <c r="F97" s="13" t="n">
        <f aca="false">IF(AND(A97&lt;&gt;"",D97=1,C97=1),IF(COUNTIFS(A$12:A97,A97,D$12:D97,1,C$12:C97,1)=1,1,0),0)</f>
        <v>0</v>
      </c>
    </row>
    <row r="98" customFormat="false" ht="15" hidden="false" customHeight="false" outlineLevel="0" collapsed="false">
      <c r="A98" s="11"/>
      <c r="B98" s="11"/>
      <c r="C98" s="11"/>
      <c r="D98" s="11"/>
      <c r="E98" s="13" t="n">
        <f aca="false">IF(A98&lt;&gt;"",IF(COUNTIF(A$12:A98,A98)=1,1,0),0)</f>
        <v>0</v>
      </c>
      <c r="F98" s="13" t="n">
        <f aca="false">IF(AND(A98&lt;&gt;"",D98=1,C98=1),IF(COUNTIFS(A$12:A98,A98,D$12:D98,1,C$12:C98,1)=1,1,0),0)</f>
        <v>0</v>
      </c>
    </row>
    <row r="99" customFormat="false" ht="15" hidden="false" customHeight="false" outlineLevel="0" collapsed="false">
      <c r="A99" s="11"/>
      <c r="B99" s="11"/>
      <c r="C99" s="11"/>
      <c r="D99" s="11"/>
      <c r="E99" s="13" t="n">
        <f aca="false">IF(A99&lt;&gt;"",IF(COUNTIF(A$12:A99,A99)=1,1,0),0)</f>
        <v>0</v>
      </c>
      <c r="F99" s="13" t="n">
        <f aca="false">IF(AND(A99&lt;&gt;"",D99=1,C99=1),IF(COUNTIFS(A$12:A99,A99,D$12:D99,1,C$12:C99,1)=1,1,0),0)</f>
        <v>0</v>
      </c>
    </row>
    <row r="100" customFormat="false" ht="15" hidden="false" customHeight="false" outlineLevel="0" collapsed="false">
      <c r="A100" s="11"/>
      <c r="B100" s="11"/>
      <c r="C100" s="11"/>
      <c r="D100" s="11"/>
      <c r="E100" s="13" t="n">
        <f aca="false">IF(A100&lt;&gt;"",IF(COUNTIF(A$12:A100,A100)=1,1,0),0)</f>
        <v>0</v>
      </c>
      <c r="F100" s="13" t="n">
        <f aca="false">IF(AND(A100&lt;&gt;"",D100=1,C100=1),IF(COUNTIFS(A$12:A100,A100,D$12:D100,1,C$12:C100,1)=1,1,0),0)</f>
        <v>0</v>
      </c>
    </row>
    <row r="101" customFormat="false" ht="15" hidden="false" customHeight="false" outlineLevel="0" collapsed="false">
      <c r="A101" s="11"/>
      <c r="B101" s="11"/>
      <c r="C101" s="11"/>
      <c r="D101" s="11"/>
      <c r="E101" s="13" t="n">
        <f aca="false">IF(A101&lt;&gt;"",IF(COUNTIF(A$12:A101,A101)=1,1,0),0)</f>
        <v>0</v>
      </c>
      <c r="F101" s="13" t="n">
        <f aca="false">IF(AND(A101&lt;&gt;"",D101=1,C101=1),IF(COUNTIFS(A$12:A101,A101,D$12:D101,1,C$12:C101,1)=1,1,0),0)</f>
        <v>0</v>
      </c>
    </row>
    <row r="102" customFormat="false" ht="15" hidden="false" customHeight="false" outlineLevel="0" collapsed="false">
      <c r="A102" s="11"/>
      <c r="B102" s="11"/>
      <c r="C102" s="11"/>
      <c r="D102" s="11"/>
      <c r="E102" s="13" t="n">
        <f aca="false">IF(A102&lt;&gt;"",IF(COUNTIF(A$12:A102,A102)=1,1,0),0)</f>
        <v>0</v>
      </c>
      <c r="F102" s="13" t="n">
        <f aca="false">IF(AND(A102&lt;&gt;"",D102=1,C102=1),IF(COUNTIFS(A$12:A102,A102,D$12:D102,1,C$12:C102,1)=1,1,0),0)</f>
        <v>0</v>
      </c>
    </row>
    <row r="103" customFormat="false" ht="15" hidden="false" customHeight="false" outlineLevel="0" collapsed="false">
      <c r="A103" s="11"/>
      <c r="B103" s="11"/>
      <c r="C103" s="11"/>
      <c r="D103" s="11"/>
      <c r="E103" s="13" t="n">
        <f aca="false">IF(A103&lt;&gt;"",IF(COUNTIF(A$12:A103,A103)=1,1,0),0)</f>
        <v>0</v>
      </c>
      <c r="F103" s="13" t="n">
        <f aca="false">IF(AND(A103&lt;&gt;"",D103=1,C103=1),IF(COUNTIFS(A$12:A103,A103,D$12:D103,1,C$12:C103,1)=1,1,0),0)</f>
        <v>0</v>
      </c>
    </row>
    <row r="104" customFormat="false" ht="15" hidden="false" customHeight="false" outlineLevel="0" collapsed="false">
      <c r="A104" s="11"/>
      <c r="B104" s="11"/>
      <c r="C104" s="11"/>
      <c r="D104" s="11"/>
      <c r="E104" s="13" t="n">
        <f aca="false">IF(A104&lt;&gt;"",IF(COUNTIF(A$12:A104,A104)=1,1,0),0)</f>
        <v>0</v>
      </c>
      <c r="F104" s="13" t="n">
        <f aca="false">IF(AND(A104&lt;&gt;"",D104=1,C104=1),IF(COUNTIFS(A$12:A104,A104,D$12:D104,1,C$12:C104,1)=1,1,0),0)</f>
        <v>0</v>
      </c>
    </row>
    <row r="105" customFormat="false" ht="15" hidden="false" customHeight="false" outlineLevel="0" collapsed="false">
      <c r="A105" s="11"/>
      <c r="B105" s="11"/>
      <c r="C105" s="11"/>
      <c r="D105" s="11"/>
      <c r="E105" s="13" t="n">
        <f aca="false">IF(A105&lt;&gt;"",IF(COUNTIF(A$12:A105,A105)=1,1,0),0)</f>
        <v>0</v>
      </c>
      <c r="F105" s="13" t="n">
        <f aca="false">IF(AND(A105&lt;&gt;"",D105=1,C105=1),IF(COUNTIFS(A$12:A105,A105,D$12:D105,1,C$12:C105,1)=1,1,0),0)</f>
        <v>0</v>
      </c>
    </row>
    <row r="106" customFormat="false" ht="15" hidden="false" customHeight="false" outlineLevel="0" collapsed="false">
      <c r="A106" s="11"/>
      <c r="B106" s="11"/>
      <c r="C106" s="11"/>
      <c r="D106" s="11"/>
      <c r="E106" s="13" t="n">
        <f aca="false">IF(A106&lt;&gt;"",IF(COUNTIF(A$12:A106,A106)=1,1,0),0)</f>
        <v>0</v>
      </c>
      <c r="F106" s="13" t="n">
        <f aca="false">IF(AND(A106&lt;&gt;"",D106=1,C106=1),IF(COUNTIFS(A$12:A106,A106,D$12:D106,1,C$12:C106,1)=1,1,0),0)</f>
        <v>0</v>
      </c>
    </row>
    <row r="107" customFormat="false" ht="15" hidden="false" customHeight="false" outlineLevel="0" collapsed="false">
      <c r="A107" s="11"/>
      <c r="B107" s="11"/>
      <c r="C107" s="11"/>
      <c r="D107" s="11"/>
      <c r="E107" s="13" t="n">
        <f aca="false">IF(A107&lt;&gt;"",IF(COUNTIF(A$12:A107,A107)=1,1,0),0)</f>
        <v>0</v>
      </c>
      <c r="F107" s="13" t="n">
        <f aca="false">IF(AND(A107&lt;&gt;"",D107=1,C107=1),IF(COUNTIFS(A$12:A107,A107,D$12:D107,1,C$12:C107,1)=1,1,0),0)</f>
        <v>0</v>
      </c>
    </row>
    <row r="108" customFormat="false" ht="15" hidden="false" customHeight="false" outlineLevel="0" collapsed="false">
      <c r="A108" s="11"/>
      <c r="B108" s="11"/>
      <c r="C108" s="11"/>
      <c r="D108" s="11"/>
      <c r="E108" s="13" t="n">
        <f aca="false">IF(A108&lt;&gt;"",IF(COUNTIF(A$12:A108,A108)=1,1,0),0)</f>
        <v>0</v>
      </c>
      <c r="F108" s="13" t="n">
        <f aca="false">IF(AND(A108&lt;&gt;"",D108=1,C108=1),IF(COUNTIFS(A$12:A108,A108,D$12:D108,1,C$12:C108,1)=1,1,0),0)</f>
        <v>0</v>
      </c>
    </row>
    <row r="109" customFormat="false" ht="15" hidden="false" customHeight="false" outlineLevel="0" collapsed="false">
      <c r="A109" s="11"/>
      <c r="B109" s="11"/>
      <c r="C109" s="11"/>
      <c r="D109" s="11"/>
      <c r="E109" s="13" t="n">
        <f aca="false">IF(A109&lt;&gt;"",IF(COUNTIF(A$12:A109,A109)=1,1,0),0)</f>
        <v>0</v>
      </c>
      <c r="F109" s="13" t="n">
        <f aca="false">IF(AND(A109&lt;&gt;"",D109=1,C109=1),IF(COUNTIFS(A$12:A109,A109,D$12:D109,1,C$12:C109,1)=1,1,0),0)</f>
        <v>0</v>
      </c>
    </row>
    <row r="110" customFormat="false" ht="15" hidden="false" customHeight="false" outlineLevel="0" collapsed="false">
      <c r="A110" s="11"/>
      <c r="B110" s="11"/>
      <c r="C110" s="11"/>
      <c r="D110" s="11"/>
      <c r="E110" s="13" t="n">
        <f aca="false">IF(A110&lt;&gt;"",IF(COUNTIF(A$12:A110,A110)=1,1,0),0)</f>
        <v>0</v>
      </c>
      <c r="F110" s="13" t="n">
        <f aca="false">IF(AND(A110&lt;&gt;"",D110=1,C110=1),IF(COUNTIFS(A$12:A110,A110,D$12:D110,1,C$12:C110,1)=1,1,0),0)</f>
        <v>0</v>
      </c>
    </row>
    <row r="111" customFormat="false" ht="15" hidden="false" customHeight="false" outlineLevel="0" collapsed="false">
      <c r="A111" s="11"/>
      <c r="B111" s="11"/>
      <c r="C111" s="11"/>
      <c r="D111" s="11"/>
      <c r="E111" s="13" t="n">
        <f aca="false">IF(A111&lt;&gt;"",IF(COUNTIF(A$12:A111,A111)=1,1,0),0)</f>
        <v>0</v>
      </c>
      <c r="F111" s="13" t="n">
        <f aca="false">IF(AND(A111&lt;&gt;"",D111=1,C111=1),IF(COUNTIFS(A$12:A111,A111,D$12:D111,1,C$12:C111,1)=1,1,0),0)</f>
        <v>0</v>
      </c>
    </row>
    <row r="112" customFormat="false" ht="15" hidden="false" customHeight="false" outlineLevel="0" collapsed="false">
      <c r="A112" s="11"/>
      <c r="B112" s="11"/>
      <c r="C112" s="11"/>
      <c r="D112" s="11"/>
      <c r="E112" s="13" t="n">
        <f aca="false">IF(A112&lt;&gt;"",IF(COUNTIF(A$12:A112,A112)=1,1,0),0)</f>
        <v>0</v>
      </c>
      <c r="F112" s="13" t="n">
        <f aca="false">IF(AND(A112&lt;&gt;"",D112=1,C112=1),IF(COUNTIFS(A$12:A112,A112,D$12:D112,1,C$12:C112,1)=1,1,0),0)</f>
        <v>0</v>
      </c>
    </row>
    <row r="113" customFormat="false" ht="15" hidden="false" customHeight="false" outlineLevel="0" collapsed="false">
      <c r="A113" s="11"/>
      <c r="B113" s="11"/>
      <c r="C113" s="11"/>
      <c r="D113" s="11"/>
      <c r="E113" s="13" t="n">
        <f aca="false">IF(A113&lt;&gt;"",IF(COUNTIF(A$12:A113,A113)=1,1,0),0)</f>
        <v>0</v>
      </c>
      <c r="F113" s="13" t="n">
        <f aca="false">IF(AND(A113&lt;&gt;"",D113=1,C113=1),IF(COUNTIFS(A$12:A113,A113,D$12:D113,1,C$12:C113,1)=1,1,0),0)</f>
        <v>0</v>
      </c>
    </row>
    <row r="114" customFormat="false" ht="15" hidden="false" customHeight="false" outlineLevel="0" collapsed="false">
      <c r="A114" s="11"/>
      <c r="B114" s="11"/>
      <c r="C114" s="11"/>
      <c r="D114" s="11"/>
      <c r="E114" s="13" t="n">
        <f aca="false">IF(A114&lt;&gt;"",IF(COUNTIF(A$12:A114,A114)=1,1,0),0)</f>
        <v>0</v>
      </c>
      <c r="F114" s="13" t="n">
        <f aca="false">IF(AND(A114&lt;&gt;"",D114=1,C114=1),IF(COUNTIFS(A$12:A114,A114,D$12:D114,1,C$12:C114,1)=1,1,0),0)</f>
        <v>0</v>
      </c>
    </row>
    <row r="115" customFormat="false" ht="15" hidden="false" customHeight="false" outlineLevel="0" collapsed="false">
      <c r="A115" s="11"/>
      <c r="B115" s="11"/>
      <c r="C115" s="11"/>
      <c r="D115" s="11"/>
      <c r="E115" s="13" t="n">
        <f aca="false">IF(A115&lt;&gt;"",IF(COUNTIF(A$12:A115,A115)=1,1,0),0)</f>
        <v>0</v>
      </c>
      <c r="F115" s="13" t="n">
        <f aca="false">IF(AND(A115&lt;&gt;"",D115=1,C115=1),IF(COUNTIFS(A$12:A115,A115,D$12:D115,1,C$12:C115,1)=1,1,0),0)</f>
        <v>0</v>
      </c>
    </row>
    <row r="116" customFormat="false" ht="15" hidden="false" customHeight="false" outlineLevel="0" collapsed="false">
      <c r="A116" s="11"/>
      <c r="B116" s="11"/>
      <c r="C116" s="11"/>
      <c r="D116" s="11"/>
      <c r="E116" s="13" t="n">
        <f aca="false">IF(A116&lt;&gt;"",IF(COUNTIF(A$12:A116,A116)=1,1,0),0)</f>
        <v>0</v>
      </c>
      <c r="F116" s="13" t="n">
        <f aca="false">IF(AND(A116&lt;&gt;"",D116=1,C116=1),IF(COUNTIFS(A$12:A116,A116,D$12:D116,1,C$12:C116,1)=1,1,0),0)</f>
        <v>0</v>
      </c>
    </row>
    <row r="117" customFormat="false" ht="15" hidden="false" customHeight="false" outlineLevel="0" collapsed="false">
      <c r="A117" s="11"/>
      <c r="B117" s="11"/>
      <c r="C117" s="11"/>
      <c r="D117" s="11"/>
      <c r="E117" s="13" t="n">
        <f aca="false">IF(A117&lt;&gt;"",IF(COUNTIF(A$12:A117,A117)=1,1,0),0)</f>
        <v>0</v>
      </c>
      <c r="F117" s="13" t="n">
        <f aca="false">IF(AND(A117&lt;&gt;"",D117=1,C117=1),IF(COUNTIFS(A$12:A117,A117,D$12:D117,1,C$12:C117,1)=1,1,0),0)</f>
        <v>0</v>
      </c>
    </row>
    <row r="118" customFormat="false" ht="15" hidden="false" customHeight="false" outlineLevel="0" collapsed="false">
      <c r="A118" s="11"/>
      <c r="B118" s="11"/>
      <c r="C118" s="11"/>
      <c r="D118" s="11"/>
      <c r="E118" s="13" t="n">
        <f aca="false">IF(A118&lt;&gt;"",IF(COUNTIF(A$12:A118,A118)=1,1,0),0)</f>
        <v>0</v>
      </c>
      <c r="F118" s="13" t="n">
        <f aca="false">IF(AND(A118&lt;&gt;"",D118=1,C118=1),IF(COUNTIFS(A$12:A118,A118,D$12:D118,1,C$12:C118,1)=1,1,0),0)</f>
        <v>0</v>
      </c>
    </row>
    <row r="119" customFormat="false" ht="15" hidden="false" customHeight="false" outlineLevel="0" collapsed="false">
      <c r="A119" s="11"/>
      <c r="B119" s="11"/>
      <c r="C119" s="11"/>
      <c r="D119" s="11"/>
      <c r="E119" s="13" t="n">
        <f aca="false">IF(A119&lt;&gt;"",IF(COUNTIF(A$12:A119,A119)=1,1,0),0)</f>
        <v>0</v>
      </c>
      <c r="F119" s="13" t="n">
        <f aca="false">IF(AND(A119&lt;&gt;"",D119=1,C119=1),IF(COUNTIFS(A$12:A119,A119,D$12:D119,1,C$12:C119,1)=1,1,0),0)</f>
        <v>0</v>
      </c>
    </row>
    <row r="120" customFormat="false" ht="15" hidden="false" customHeight="false" outlineLevel="0" collapsed="false">
      <c r="A120" s="11"/>
      <c r="B120" s="11"/>
      <c r="C120" s="11"/>
      <c r="D120" s="11"/>
      <c r="E120" s="13" t="n">
        <f aca="false">IF(A120&lt;&gt;"",IF(COUNTIF(A$12:A120,A120)=1,1,0),0)</f>
        <v>0</v>
      </c>
      <c r="F120" s="13" t="n">
        <f aca="false">IF(AND(A120&lt;&gt;"",D120=1,C120=1),IF(COUNTIFS(A$12:A120,A120,D$12:D120,1,C$12:C120,1)=1,1,0),0)</f>
        <v>0</v>
      </c>
    </row>
    <row r="121" customFormat="false" ht="15" hidden="false" customHeight="false" outlineLevel="0" collapsed="false">
      <c r="A121" s="11"/>
      <c r="B121" s="11"/>
      <c r="C121" s="11"/>
      <c r="D121" s="11"/>
      <c r="E121" s="13" t="n">
        <f aca="false">IF(A121&lt;&gt;"",IF(COUNTIF(A$12:A121,A121)=1,1,0),0)</f>
        <v>0</v>
      </c>
      <c r="F121" s="13" t="n">
        <f aca="false">IF(AND(A121&lt;&gt;"",D121=1,C121=1),IF(COUNTIFS(A$12:A121,A121,D$12:D121,1,C$12:C121,1)=1,1,0),0)</f>
        <v>0</v>
      </c>
    </row>
    <row r="122" customFormat="false" ht="15" hidden="false" customHeight="false" outlineLevel="0" collapsed="false">
      <c r="A122" s="11"/>
      <c r="B122" s="11"/>
      <c r="C122" s="11"/>
      <c r="D122" s="11"/>
      <c r="E122" s="13" t="n">
        <f aca="false">IF(A122&lt;&gt;"",IF(COUNTIF(A$12:A122,A122)=1,1,0),0)</f>
        <v>0</v>
      </c>
      <c r="F122" s="13" t="n">
        <f aca="false">IF(AND(A122&lt;&gt;"",D122=1,C122=1),IF(COUNTIFS(A$12:A122,A122,D$12:D122,1,C$12:C122,1)=1,1,0),0)</f>
        <v>0</v>
      </c>
    </row>
    <row r="123" customFormat="false" ht="15" hidden="false" customHeight="false" outlineLevel="0" collapsed="false">
      <c r="A123" s="11"/>
      <c r="B123" s="11"/>
      <c r="C123" s="11"/>
      <c r="D123" s="11"/>
      <c r="E123" s="13" t="n">
        <f aca="false">IF(A123&lt;&gt;"",IF(COUNTIF(A$12:A123,A123)=1,1,0),0)</f>
        <v>0</v>
      </c>
      <c r="F123" s="13" t="n">
        <f aca="false">IF(AND(A123&lt;&gt;"",D123=1,C123=1),IF(COUNTIFS(A$12:A123,A123,D$12:D123,1,C$12:C123,1)=1,1,0),0)</f>
        <v>0</v>
      </c>
    </row>
    <row r="124" customFormat="false" ht="15" hidden="false" customHeight="false" outlineLevel="0" collapsed="false">
      <c r="A124" s="11"/>
      <c r="B124" s="11"/>
      <c r="C124" s="11"/>
      <c r="D124" s="11"/>
      <c r="E124" s="13" t="n">
        <f aca="false">IF(A124&lt;&gt;"",IF(COUNTIF(A$12:A124,A124)=1,1,0),0)</f>
        <v>0</v>
      </c>
      <c r="F124" s="13" t="n">
        <f aca="false">IF(AND(A124&lt;&gt;"",D124=1,C124=1),IF(COUNTIFS(A$12:A124,A124,D$12:D124,1,C$12:C124,1)=1,1,0),0)</f>
        <v>0</v>
      </c>
    </row>
    <row r="125" customFormat="false" ht="15" hidden="false" customHeight="false" outlineLevel="0" collapsed="false">
      <c r="A125" s="11"/>
      <c r="B125" s="11"/>
      <c r="C125" s="11"/>
      <c r="D125" s="11"/>
      <c r="E125" s="13" t="n">
        <f aca="false">IF(A125&lt;&gt;"",IF(COUNTIF(A$12:A125,A125)=1,1,0),0)</f>
        <v>0</v>
      </c>
      <c r="F125" s="13" t="n">
        <f aca="false">IF(AND(A125&lt;&gt;"",D125=1,C125=1),IF(COUNTIFS(A$12:A125,A125,D$12:D125,1,C$12:C125,1)=1,1,0),0)</f>
        <v>0</v>
      </c>
    </row>
    <row r="126" customFormat="false" ht="15" hidden="false" customHeight="false" outlineLevel="0" collapsed="false">
      <c r="A126" s="11"/>
      <c r="B126" s="11"/>
      <c r="C126" s="11"/>
      <c r="D126" s="11"/>
      <c r="E126" s="13" t="n">
        <f aca="false">IF(A126&lt;&gt;"",IF(COUNTIF(A$12:A126,A126)=1,1,0),0)</f>
        <v>0</v>
      </c>
      <c r="F126" s="13" t="n">
        <f aca="false">IF(AND(A126&lt;&gt;"",D126=1,C126=1),IF(COUNTIFS(A$12:A126,A126,D$12:D126,1,C$12:C126,1)=1,1,0),0)</f>
        <v>0</v>
      </c>
    </row>
    <row r="127" customFormat="false" ht="15" hidden="false" customHeight="false" outlineLevel="0" collapsed="false">
      <c r="A127" s="11"/>
      <c r="B127" s="11"/>
      <c r="C127" s="11"/>
      <c r="D127" s="11"/>
      <c r="E127" s="13" t="n">
        <f aca="false">IF(A127&lt;&gt;"",IF(COUNTIF(A$12:A127,A127)=1,1,0),0)</f>
        <v>0</v>
      </c>
      <c r="F127" s="13" t="n">
        <f aca="false">IF(AND(A127&lt;&gt;"",D127=1,C127=1),IF(COUNTIFS(A$12:A127,A127,D$12:D127,1,C$12:C127,1)=1,1,0),0)</f>
        <v>0</v>
      </c>
    </row>
    <row r="128" customFormat="false" ht="15" hidden="false" customHeight="false" outlineLevel="0" collapsed="false">
      <c r="A128" s="11"/>
      <c r="B128" s="11"/>
      <c r="C128" s="11"/>
      <c r="D128" s="11"/>
      <c r="E128" s="13" t="n">
        <f aca="false">IF(A128&lt;&gt;"",IF(COUNTIF(A$12:A128,A128)=1,1,0),0)</f>
        <v>0</v>
      </c>
      <c r="F128" s="13" t="n">
        <f aca="false">IF(AND(A128&lt;&gt;"",D128=1,C128=1),IF(COUNTIFS(A$12:A128,A128,D$12:D128,1,C$12:C128,1)=1,1,0),0)</f>
        <v>0</v>
      </c>
    </row>
    <row r="129" customFormat="false" ht="15" hidden="false" customHeight="false" outlineLevel="0" collapsed="false">
      <c r="A129" s="11"/>
      <c r="B129" s="11"/>
      <c r="C129" s="11"/>
      <c r="D129" s="11"/>
      <c r="E129" s="13" t="n">
        <f aca="false">IF(A129&lt;&gt;"",IF(COUNTIF(A$12:A129,A129)=1,1,0),0)</f>
        <v>0</v>
      </c>
      <c r="F129" s="13" t="n">
        <f aca="false">IF(AND(A129&lt;&gt;"",D129=1,C129=1),IF(COUNTIFS(A$12:A129,A129,D$12:D129,1,C$12:C129,1)=1,1,0),0)</f>
        <v>0</v>
      </c>
    </row>
    <row r="130" customFormat="false" ht="15" hidden="false" customHeight="false" outlineLevel="0" collapsed="false">
      <c r="A130" s="11"/>
      <c r="B130" s="11"/>
      <c r="C130" s="11"/>
      <c r="D130" s="11"/>
      <c r="E130" s="13" t="n">
        <f aca="false">IF(A130&lt;&gt;"",IF(COUNTIF(A$12:A130,A130)=1,1,0),0)</f>
        <v>0</v>
      </c>
      <c r="F130" s="13" t="n">
        <f aca="false">IF(AND(A130&lt;&gt;"",D130=1,C130=1),IF(COUNTIFS(A$12:A130,A130,D$12:D130,1,C$12:C130,1)=1,1,0),0)</f>
        <v>0</v>
      </c>
    </row>
    <row r="131" customFormat="false" ht="15" hidden="false" customHeight="false" outlineLevel="0" collapsed="false">
      <c r="A131" s="11"/>
      <c r="B131" s="11"/>
      <c r="C131" s="11"/>
      <c r="D131" s="11"/>
      <c r="E131" s="13" t="n">
        <f aca="false">IF(A131&lt;&gt;"",IF(COUNTIF(A$12:A131,A131)=1,1,0),0)</f>
        <v>0</v>
      </c>
      <c r="F131" s="13" t="n">
        <f aca="false">IF(AND(A131&lt;&gt;"",D131=1,C131=1),IF(COUNTIFS(A$12:A131,A131,D$12:D131,1,C$12:C131,1)=1,1,0),0)</f>
        <v>0</v>
      </c>
    </row>
    <row r="132" customFormat="false" ht="15" hidden="false" customHeight="false" outlineLevel="0" collapsed="false">
      <c r="A132" s="11"/>
      <c r="B132" s="11"/>
      <c r="C132" s="11"/>
      <c r="D132" s="11"/>
      <c r="E132" s="13" t="n">
        <f aca="false">IF(A132&lt;&gt;"",IF(COUNTIF(A$12:A132,A132)=1,1,0),0)</f>
        <v>0</v>
      </c>
      <c r="F132" s="13" t="n">
        <f aca="false">IF(AND(A132&lt;&gt;"",D132=1,C132=1),IF(COUNTIFS(A$12:A132,A132,D$12:D132,1,C$12:C132,1)=1,1,0),0)</f>
        <v>0</v>
      </c>
    </row>
    <row r="133" customFormat="false" ht="15" hidden="false" customHeight="false" outlineLevel="0" collapsed="false">
      <c r="A133" s="11"/>
      <c r="B133" s="11"/>
      <c r="C133" s="11"/>
      <c r="D133" s="11"/>
      <c r="E133" s="13" t="n">
        <f aca="false">IF(A133&lt;&gt;"",IF(COUNTIF(A$12:A133,A133)=1,1,0),0)</f>
        <v>0</v>
      </c>
      <c r="F133" s="13" t="n">
        <f aca="false">IF(AND(A133&lt;&gt;"",D133=1,C133=1),IF(COUNTIFS(A$12:A133,A133,D$12:D133,1,C$12:C133,1)=1,1,0),0)</f>
        <v>0</v>
      </c>
    </row>
    <row r="134" customFormat="false" ht="15" hidden="false" customHeight="false" outlineLevel="0" collapsed="false">
      <c r="A134" s="11"/>
      <c r="B134" s="11"/>
      <c r="C134" s="11"/>
      <c r="D134" s="11"/>
      <c r="E134" s="13" t="n">
        <f aca="false">IF(A134&lt;&gt;"",IF(COUNTIF(A$12:A134,A134)=1,1,0),0)</f>
        <v>0</v>
      </c>
      <c r="F134" s="13" t="n">
        <f aca="false">IF(AND(A134&lt;&gt;"",D134=1,C134=1),IF(COUNTIFS(A$12:A134,A134,D$12:D134,1,C$12:C134,1)=1,1,0),0)</f>
        <v>0</v>
      </c>
    </row>
    <row r="135" customFormat="false" ht="15" hidden="false" customHeight="false" outlineLevel="0" collapsed="false">
      <c r="A135" s="11"/>
      <c r="B135" s="11"/>
      <c r="C135" s="11"/>
      <c r="D135" s="11"/>
      <c r="E135" s="13" t="n">
        <f aca="false">IF(A135&lt;&gt;"",IF(COUNTIF(A$12:A135,A135)=1,1,0),0)</f>
        <v>0</v>
      </c>
      <c r="F135" s="13" t="n">
        <f aca="false">IF(AND(A135&lt;&gt;"",D135=1,C135=1),IF(COUNTIFS(A$12:A135,A135,D$12:D135,1,C$12:C135,1)=1,1,0),0)</f>
        <v>0</v>
      </c>
    </row>
    <row r="136" customFormat="false" ht="15" hidden="false" customHeight="false" outlineLevel="0" collapsed="false">
      <c r="A136" s="11"/>
      <c r="B136" s="11"/>
      <c r="C136" s="11"/>
      <c r="D136" s="11"/>
      <c r="E136" s="13" t="n">
        <f aca="false">IF(A136&lt;&gt;"",IF(COUNTIF(A$12:A136,A136)=1,1,0),0)</f>
        <v>0</v>
      </c>
      <c r="F136" s="13" t="n">
        <f aca="false">IF(AND(A136&lt;&gt;"",D136=1,C136=1),IF(COUNTIFS(A$12:A136,A136,D$12:D136,1,C$12:C136,1)=1,1,0),0)</f>
        <v>0</v>
      </c>
    </row>
    <row r="137" customFormat="false" ht="15" hidden="false" customHeight="false" outlineLevel="0" collapsed="false">
      <c r="A137" s="11"/>
      <c r="B137" s="11"/>
      <c r="C137" s="11"/>
      <c r="D137" s="11"/>
      <c r="E137" s="13" t="n">
        <f aca="false">IF(A137&lt;&gt;"",IF(COUNTIF(A$12:A137,A137)=1,1,0),0)</f>
        <v>0</v>
      </c>
      <c r="F137" s="13" t="n">
        <f aca="false">IF(AND(A137&lt;&gt;"",D137=1,C137=1),IF(COUNTIFS(A$12:A137,A137,D$12:D137,1,C$12:C137,1)=1,1,0),0)</f>
        <v>0</v>
      </c>
    </row>
    <row r="138" customFormat="false" ht="15" hidden="false" customHeight="false" outlineLevel="0" collapsed="false">
      <c r="A138" s="11"/>
      <c r="B138" s="11"/>
      <c r="C138" s="11"/>
      <c r="D138" s="11"/>
      <c r="E138" s="13" t="n">
        <f aca="false">IF(A138&lt;&gt;"",IF(COUNTIF(A$12:A138,A138)=1,1,0),0)</f>
        <v>0</v>
      </c>
      <c r="F138" s="13" t="n">
        <f aca="false">IF(AND(A138&lt;&gt;"",D138=1,C138=1),IF(COUNTIFS(A$12:A138,A138,D$12:D138,1,C$12:C138,1)=1,1,0),0)</f>
        <v>0</v>
      </c>
    </row>
    <row r="139" customFormat="false" ht="15" hidden="false" customHeight="false" outlineLevel="0" collapsed="false">
      <c r="A139" s="11"/>
      <c r="B139" s="11"/>
      <c r="C139" s="11"/>
      <c r="D139" s="11"/>
      <c r="E139" s="13" t="n">
        <f aca="false">IF(A139&lt;&gt;"",IF(COUNTIF(A$12:A139,A139)=1,1,0),0)</f>
        <v>0</v>
      </c>
      <c r="F139" s="13" t="n">
        <f aca="false">IF(AND(A139&lt;&gt;"",D139=1,C139=1),IF(COUNTIFS(A$12:A139,A139,D$12:D139,1,C$12:C139,1)=1,1,0),0)</f>
        <v>0</v>
      </c>
    </row>
    <row r="140" customFormat="false" ht="15" hidden="false" customHeight="false" outlineLevel="0" collapsed="false">
      <c r="A140" s="11"/>
      <c r="B140" s="11"/>
      <c r="C140" s="11"/>
      <c r="D140" s="11"/>
      <c r="E140" s="13" t="n">
        <f aca="false">IF(A140&lt;&gt;"",IF(COUNTIF(A$12:A140,A140)=1,1,0),0)</f>
        <v>0</v>
      </c>
      <c r="F140" s="13" t="n">
        <f aca="false">IF(AND(A140&lt;&gt;"",D140=1,C140=1),IF(COUNTIFS(A$12:A140,A140,D$12:D140,1,C$12:C140,1)=1,1,0),0)</f>
        <v>0</v>
      </c>
    </row>
    <row r="141" customFormat="false" ht="15" hidden="false" customHeight="false" outlineLevel="0" collapsed="false">
      <c r="A141" s="11"/>
      <c r="B141" s="11"/>
      <c r="C141" s="11"/>
      <c r="D141" s="11"/>
      <c r="E141" s="13" t="n">
        <f aca="false">IF(A141&lt;&gt;"",IF(COUNTIF(A$12:A141,A141)=1,1,0),0)</f>
        <v>0</v>
      </c>
      <c r="F141" s="13" t="n">
        <f aca="false">IF(AND(A141&lt;&gt;"",D141=1,C141=1),IF(COUNTIFS(A$12:A141,A141,D$12:D141,1,C$12:C141,1)=1,1,0),0)</f>
        <v>0</v>
      </c>
    </row>
    <row r="142" customFormat="false" ht="15" hidden="false" customHeight="false" outlineLevel="0" collapsed="false">
      <c r="A142" s="11"/>
      <c r="B142" s="11"/>
      <c r="C142" s="11"/>
      <c r="D142" s="11"/>
      <c r="E142" s="13" t="n">
        <f aca="false">IF(A142&lt;&gt;"",IF(COUNTIF(A$12:A142,A142)=1,1,0),0)</f>
        <v>0</v>
      </c>
      <c r="F142" s="13" t="n">
        <f aca="false">IF(AND(A142&lt;&gt;"",D142=1,C142=1),IF(COUNTIFS(A$12:A142,A142,D$12:D142,1,C$12:C142,1)=1,1,0),0)</f>
        <v>0</v>
      </c>
    </row>
    <row r="143" customFormat="false" ht="15" hidden="false" customHeight="false" outlineLevel="0" collapsed="false">
      <c r="A143" s="11"/>
      <c r="B143" s="11"/>
      <c r="C143" s="11"/>
      <c r="D143" s="11"/>
      <c r="E143" s="13" t="n">
        <f aca="false">IF(A143&lt;&gt;"",IF(COUNTIF(A$12:A143,A143)=1,1,0),0)</f>
        <v>0</v>
      </c>
      <c r="F143" s="13" t="n">
        <f aca="false">IF(AND(A143&lt;&gt;"",D143=1,C143=1),IF(COUNTIFS(A$12:A143,A143,D$12:D143,1,C$12:C143,1)=1,1,0),0)</f>
        <v>0</v>
      </c>
    </row>
    <row r="144" customFormat="false" ht="15" hidden="false" customHeight="false" outlineLevel="0" collapsed="false">
      <c r="A144" s="11"/>
      <c r="B144" s="11"/>
      <c r="C144" s="11"/>
      <c r="D144" s="11"/>
      <c r="E144" s="13" t="n">
        <f aca="false">IF(A144&lt;&gt;"",IF(COUNTIF(A$12:A144,A144)=1,1,0),0)</f>
        <v>0</v>
      </c>
      <c r="F144" s="13" t="n">
        <f aca="false">IF(AND(A144&lt;&gt;"",D144=1,C144=1),IF(COUNTIFS(A$12:A144,A144,D$12:D144,1,C$12:C144,1)=1,1,0),0)</f>
        <v>0</v>
      </c>
    </row>
    <row r="145" customFormat="false" ht="15" hidden="false" customHeight="false" outlineLevel="0" collapsed="false">
      <c r="A145" s="11"/>
      <c r="B145" s="11"/>
      <c r="C145" s="11"/>
      <c r="D145" s="11"/>
      <c r="E145" s="13" t="n">
        <f aca="false">IF(A145&lt;&gt;"",IF(COUNTIF(A$12:A145,A145)=1,1,0),0)</f>
        <v>0</v>
      </c>
      <c r="F145" s="13" t="n">
        <f aca="false">IF(AND(A145&lt;&gt;"",D145=1,C145=1),IF(COUNTIFS(A$12:A145,A145,D$12:D145,1,C$12:C145,1)=1,1,0),0)</f>
        <v>0</v>
      </c>
    </row>
    <row r="146" customFormat="false" ht="15" hidden="false" customHeight="false" outlineLevel="0" collapsed="false">
      <c r="A146" s="11"/>
      <c r="B146" s="11"/>
      <c r="C146" s="11"/>
      <c r="D146" s="11"/>
      <c r="E146" s="13" t="n">
        <f aca="false">IF(A146&lt;&gt;"",IF(COUNTIF(A$12:A146,A146)=1,1,0),0)</f>
        <v>0</v>
      </c>
      <c r="F146" s="13" t="n">
        <f aca="false">IF(AND(A146&lt;&gt;"",D146=1,C146=1),IF(COUNTIFS(A$12:A146,A146,D$12:D146,1,C$12:C146,1)=1,1,0),0)</f>
        <v>0</v>
      </c>
    </row>
    <row r="147" customFormat="false" ht="15" hidden="false" customHeight="false" outlineLevel="0" collapsed="false">
      <c r="A147" s="11"/>
      <c r="B147" s="11"/>
      <c r="C147" s="11"/>
      <c r="D147" s="11"/>
      <c r="E147" s="13" t="n">
        <f aca="false">IF(A147&lt;&gt;"",IF(COUNTIF(A$12:A147,A147)=1,1,0),0)</f>
        <v>0</v>
      </c>
      <c r="F147" s="13" t="n">
        <f aca="false">IF(AND(A147&lt;&gt;"",D147=1,C147=1),IF(COUNTIFS(A$12:A147,A147,D$12:D147,1,C$12:C147,1)=1,1,0),0)</f>
        <v>0</v>
      </c>
    </row>
    <row r="148" customFormat="false" ht="15" hidden="false" customHeight="false" outlineLevel="0" collapsed="false">
      <c r="A148" s="11"/>
      <c r="B148" s="11"/>
      <c r="C148" s="11"/>
      <c r="D148" s="11"/>
      <c r="E148" s="13" t="n">
        <f aca="false">IF(A148&lt;&gt;"",IF(COUNTIF(A$12:A148,A148)=1,1,0),0)</f>
        <v>0</v>
      </c>
      <c r="F148" s="13" t="n">
        <f aca="false">IF(AND(A148&lt;&gt;"",D148=1,C148=1),IF(COUNTIFS(A$12:A148,A148,D$12:D148,1,C$12:C148,1)=1,1,0),0)</f>
        <v>0</v>
      </c>
    </row>
    <row r="149" customFormat="false" ht="15" hidden="false" customHeight="false" outlineLevel="0" collapsed="false">
      <c r="A149" s="11"/>
      <c r="B149" s="11"/>
      <c r="C149" s="11"/>
      <c r="D149" s="11"/>
      <c r="E149" s="13" t="n">
        <f aca="false">IF(A149&lt;&gt;"",IF(COUNTIF(A$12:A149,A149)=1,1,0),0)</f>
        <v>0</v>
      </c>
      <c r="F149" s="13" t="n">
        <f aca="false">IF(AND(A149&lt;&gt;"",D149=1,C149=1),IF(COUNTIFS(A$12:A149,A149,D$12:D149,1,C$12:C149,1)=1,1,0),0)</f>
        <v>0</v>
      </c>
    </row>
    <row r="150" customFormat="false" ht="15" hidden="false" customHeight="false" outlineLevel="0" collapsed="false">
      <c r="A150" s="11"/>
      <c r="B150" s="11"/>
      <c r="C150" s="11"/>
      <c r="D150" s="11"/>
      <c r="E150" s="13" t="n">
        <f aca="false">IF(A150&lt;&gt;"",IF(COUNTIF(A$12:A150,A150)=1,1,0),0)</f>
        <v>0</v>
      </c>
      <c r="F150" s="13" t="n">
        <f aca="false">IF(AND(A150&lt;&gt;"",D150=1,C150=1),IF(COUNTIFS(A$12:A150,A150,D$12:D150,1,C$12:C150,1)=1,1,0),0)</f>
        <v>0</v>
      </c>
    </row>
    <row r="151" customFormat="false" ht="15" hidden="false" customHeight="false" outlineLevel="0" collapsed="false">
      <c r="A151" s="11"/>
      <c r="B151" s="11"/>
      <c r="C151" s="11"/>
      <c r="D151" s="11"/>
      <c r="E151" s="13" t="n">
        <f aca="false">IF(A151&lt;&gt;"",IF(COUNTIF(A$12:A151,A151)=1,1,0),0)</f>
        <v>0</v>
      </c>
      <c r="F151" s="13" t="n">
        <f aca="false">IF(AND(A151&lt;&gt;"",D151=1,C151=1),IF(COUNTIFS(A$12:A151,A151,D$12:D151,1,C$12:C151,1)=1,1,0),0)</f>
        <v>0</v>
      </c>
    </row>
    <row r="152" customFormat="false" ht="15" hidden="false" customHeight="false" outlineLevel="0" collapsed="false">
      <c r="A152" s="11"/>
      <c r="B152" s="11"/>
      <c r="C152" s="11"/>
      <c r="D152" s="11"/>
      <c r="E152" s="13" t="n">
        <f aca="false">IF(A152&lt;&gt;"",IF(COUNTIF(A$12:A152,A152)=1,1,0),0)</f>
        <v>0</v>
      </c>
      <c r="F152" s="13" t="n">
        <f aca="false">IF(AND(A152&lt;&gt;"",D152=1,C152=1),IF(COUNTIFS(A$12:A152,A152,D$12:D152,1,C$12:C152,1)=1,1,0),0)</f>
        <v>0</v>
      </c>
    </row>
    <row r="153" customFormat="false" ht="15" hidden="false" customHeight="false" outlineLevel="0" collapsed="false">
      <c r="A153" s="11"/>
      <c r="B153" s="11"/>
      <c r="C153" s="11"/>
      <c r="D153" s="11"/>
      <c r="E153" s="13" t="n">
        <f aca="false">IF(A153&lt;&gt;"",IF(COUNTIF(A$12:A153,A153)=1,1,0),0)</f>
        <v>0</v>
      </c>
      <c r="F153" s="13" t="n">
        <f aca="false">IF(AND(A153&lt;&gt;"",D153=1,C153=1),IF(COUNTIFS(A$12:A153,A153,D$12:D153,1,C$12:C153,1)=1,1,0),0)</f>
        <v>0</v>
      </c>
    </row>
    <row r="154" customFormat="false" ht="15" hidden="false" customHeight="false" outlineLevel="0" collapsed="false">
      <c r="A154" s="11"/>
      <c r="B154" s="11"/>
      <c r="C154" s="11"/>
      <c r="D154" s="11"/>
      <c r="E154" s="13" t="n">
        <f aca="false">IF(A154&lt;&gt;"",IF(COUNTIF(A$12:A154,A154)=1,1,0),0)</f>
        <v>0</v>
      </c>
      <c r="F154" s="13" t="n">
        <f aca="false">IF(AND(A154&lt;&gt;"",D154=1,C154=1),IF(COUNTIFS(A$12:A154,A154,D$12:D154,1,C$12:C154,1)=1,1,0),0)</f>
        <v>0</v>
      </c>
    </row>
    <row r="155" customFormat="false" ht="15" hidden="false" customHeight="false" outlineLevel="0" collapsed="false">
      <c r="A155" s="11"/>
      <c r="B155" s="11"/>
      <c r="C155" s="11"/>
      <c r="D155" s="11"/>
      <c r="E155" s="13" t="n">
        <f aca="false">IF(A155&lt;&gt;"",IF(COUNTIF(A$12:A155,A155)=1,1,0),0)</f>
        <v>0</v>
      </c>
      <c r="F155" s="13" t="n">
        <f aca="false">IF(AND(A155&lt;&gt;"",D155=1,C155=1),IF(COUNTIFS(A$12:A155,A155,D$12:D155,1,C$12:C155,1)=1,1,0),0)</f>
        <v>0</v>
      </c>
    </row>
    <row r="156" customFormat="false" ht="15" hidden="false" customHeight="false" outlineLevel="0" collapsed="false">
      <c r="A156" s="11"/>
      <c r="B156" s="11"/>
      <c r="C156" s="11"/>
      <c r="D156" s="11"/>
      <c r="E156" s="13" t="n">
        <f aca="false">IF(A156&lt;&gt;"",IF(COUNTIF(A$12:A156,A156)=1,1,0),0)</f>
        <v>0</v>
      </c>
      <c r="F156" s="13" t="n">
        <f aca="false">IF(AND(A156&lt;&gt;"",D156=1,C156=1),IF(COUNTIFS(A$12:A156,A156,D$12:D156,1,C$12:C156,1)=1,1,0),0)</f>
        <v>0</v>
      </c>
    </row>
    <row r="157" customFormat="false" ht="15" hidden="false" customHeight="false" outlineLevel="0" collapsed="false">
      <c r="A157" s="11"/>
      <c r="B157" s="11"/>
      <c r="C157" s="11"/>
      <c r="D157" s="11"/>
      <c r="E157" s="13" t="n">
        <f aca="false">IF(A157&lt;&gt;"",IF(COUNTIF(A$12:A157,A157)=1,1,0),0)</f>
        <v>0</v>
      </c>
      <c r="F157" s="13" t="n">
        <f aca="false">IF(AND(A157&lt;&gt;"",D157=1,C157=1),IF(COUNTIFS(A$12:A157,A157,D$12:D157,1,C$12:C157,1)=1,1,0),0)</f>
        <v>0</v>
      </c>
    </row>
    <row r="158" customFormat="false" ht="15" hidden="false" customHeight="false" outlineLevel="0" collapsed="false">
      <c r="A158" s="11"/>
      <c r="B158" s="11"/>
      <c r="C158" s="11"/>
      <c r="D158" s="11"/>
      <c r="E158" s="13" t="n">
        <f aca="false">IF(A158&lt;&gt;"",IF(COUNTIF(A$12:A158,A158)=1,1,0),0)</f>
        <v>0</v>
      </c>
      <c r="F158" s="13" t="n">
        <f aca="false">IF(AND(A158&lt;&gt;"",D158=1,C158=1),IF(COUNTIFS(A$12:A158,A158,D$12:D158,1,C$12:C158,1)=1,1,0),0)</f>
        <v>0</v>
      </c>
    </row>
    <row r="159" customFormat="false" ht="15" hidden="false" customHeight="false" outlineLevel="0" collapsed="false">
      <c r="A159" s="11"/>
      <c r="B159" s="11"/>
      <c r="C159" s="11"/>
      <c r="D159" s="11"/>
      <c r="E159" s="13" t="n">
        <f aca="false">IF(A159&lt;&gt;"",IF(COUNTIF(A$12:A159,A159)=1,1,0),0)</f>
        <v>0</v>
      </c>
      <c r="F159" s="13" t="n">
        <f aca="false">IF(AND(A159&lt;&gt;"",D159=1,C159=1),IF(COUNTIFS(A$12:A159,A159,D$12:D159,1,C$12:C159,1)=1,1,0),0)</f>
        <v>0</v>
      </c>
    </row>
    <row r="160" customFormat="false" ht="15" hidden="false" customHeight="false" outlineLevel="0" collapsed="false">
      <c r="A160" s="11"/>
      <c r="B160" s="11"/>
      <c r="C160" s="11"/>
      <c r="D160" s="11"/>
      <c r="E160" s="13" t="n">
        <f aca="false">IF(A160&lt;&gt;"",IF(COUNTIF(A$12:A160,A160)=1,1,0),0)</f>
        <v>0</v>
      </c>
      <c r="F160" s="13" t="n">
        <f aca="false">IF(AND(A160&lt;&gt;"",D160=1,C160=1),IF(COUNTIFS(A$12:A160,A160,D$12:D160,1,C$12:C160,1)=1,1,0),0)</f>
        <v>0</v>
      </c>
    </row>
    <row r="161" customFormat="false" ht="15" hidden="false" customHeight="false" outlineLevel="0" collapsed="false">
      <c r="A161" s="11"/>
      <c r="B161" s="11"/>
      <c r="C161" s="11"/>
      <c r="D161" s="11"/>
      <c r="E161" s="13" t="n">
        <f aca="false">IF(A161&lt;&gt;"",IF(COUNTIF(A$12:A161,A161)=1,1,0),0)</f>
        <v>0</v>
      </c>
      <c r="F161" s="13" t="n">
        <f aca="false">IF(AND(A161&lt;&gt;"",D161=1,C161=1),IF(COUNTIFS(A$12:A161,A161,D$12:D161,1,C$12:C161,1)=1,1,0),0)</f>
        <v>0</v>
      </c>
    </row>
    <row r="164" customFormat="false" ht="15" hidden="false" customHeight="false" outlineLevel="0" collapsed="false">
      <c r="A164" s="9" t="s">
        <v>36</v>
      </c>
    </row>
    <row r="165" customFormat="false" ht="31.5" hidden="false" customHeight="true" outlineLevel="0" collapsed="false">
      <c r="A165" s="10" t="s">
        <v>28</v>
      </c>
      <c r="B165" s="10" t="s">
        <v>29</v>
      </c>
      <c r="C165" s="10" t="s">
        <v>30</v>
      </c>
      <c r="D165" s="10" t="s">
        <v>31</v>
      </c>
      <c r="E165" s="10" t="s">
        <v>32</v>
      </c>
      <c r="F165" s="10" t="s">
        <v>33</v>
      </c>
    </row>
    <row r="166" customFormat="false" ht="15" hidden="false" customHeight="false" outlineLevel="0" collapsed="false">
      <c r="A166" s="12" t="s">
        <v>34</v>
      </c>
      <c r="B166" s="12" t="s">
        <v>35</v>
      </c>
      <c r="C166" s="12" t="n">
        <v>1</v>
      </c>
      <c r="D166" s="12" t="n">
        <v>0</v>
      </c>
    </row>
    <row r="167" customFormat="false" ht="15" hidden="false" customHeight="false" outlineLevel="0" collapsed="false">
      <c r="A167" s="11"/>
      <c r="B167" s="11"/>
      <c r="C167" s="11"/>
      <c r="D167" s="11"/>
      <c r="E167" s="13" t="n">
        <f aca="false">IF(A167&lt;&gt;"",IF(COUNTIF(A$167:A167,A167)=1,1,0),0)</f>
        <v>0</v>
      </c>
      <c r="F167" s="13" t="n">
        <f aca="false">IF(AND(A167&lt;&gt;"",D167=1,C167=1),IF(COUNTIFS(A$167:A167,A167,D$167:D167,1,C$167:C167,1)=1,1,0),0)</f>
        <v>0</v>
      </c>
    </row>
    <row r="168" customFormat="false" ht="15" hidden="false" customHeight="false" outlineLevel="0" collapsed="false">
      <c r="A168" s="11"/>
      <c r="B168" s="11"/>
      <c r="C168" s="11"/>
      <c r="D168" s="11"/>
      <c r="E168" s="13" t="n">
        <f aca="false">IF(A168&lt;&gt;"",IF(COUNTIF(A$167:A168,A168)=1,1,0),0)</f>
        <v>0</v>
      </c>
      <c r="F168" s="13" t="n">
        <f aca="false">IF(AND(A168&lt;&gt;"",D168=1,C168=1),IF(COUNTIFS(A$167:A168,A168,D$167:D168,1,C$167:C168,1)=1,1,0),0)</f>
        <v>0</v>
      </c>
    </row>
    <row r="169" customFormat="false" ht="15" hidden="false" customHeight="false" outlineLevel="0" collapsed="false">
      <c r="A169" s="11"/>
      <c r="B169" s="11"/>
      <c r="C169" s="11"/>
      <c r="D169" s="11"/>
      <c r="E169" s="13" t="n">
        <f aca="false">IF(A169&lt;&gt;"",IF(COUNTIF(A$167:A169,A169)=1,1,0),0)</f>
        <v>0</v>
      </c>
      <c r="F169" s="13" t="n">
        <f aca="false">IF(AND(A169&lt;&gt;"",D169=1,C169=1),IF(COUNTIFS(A$167:A169,A169,D$167:D169,1,C$167:C169,1)=1,1,0),0)</f>
        <v>0</v>
      </c>
    </row>
    <row r="170" customFormat="false" ht="15" hidden="false" customHeight="false" outlineLevel="0" collapsed="false">
      <c r="A170" s="11"/>
      <c r="B170" s="11"/>
      <c r="C170" s="11"/>
      <c r="D170" s="11"/>
      <c r="E170" s="13" t="n">
        <f aca="false">IF(A170&lt;&gt;"",IF(COUNTIF(A$167:A170,A170)=1,1,0),0)</f>
        <v>0</v>
      </c>
      <c r="F170" s="13" t="n">
        <f aca="false">IF(AND(A170&lt;&gt;"",D170=1,C170=1),IF(COUNTIFS(A$167:A170,A170,D$167:D170,1,C$167:C170,1)=1,1,0),0)</f>
        <v>0</v>
      </c>
    </row>
    <row r="171" customFormat="false" ht="15" hidden="false" customHeight="false" outlineLevel="0" collapsed="false">
      <c r="A171" s="11"/>
      <c r="B171" s="11"/>
      <c r="C171" s="11"/>
      <c r="D171" s="11"/>
      <c r="E171" s="13" t="n">
        <f aca="false">IF(A171&lt;&gt;"",IF(COUNTIF(A$167:A171,A171)=1,1,0),0)</f>
        <v>0</v>
      </c>
      <c r="F171" s="13" t="n">
        <f aca="false">IF(AND(A171&lt;&gt;"",D171=1,C171=1),IF(COUNTIFS(A$167:A171,A171,D$167:D171,1,C$167:C171,1)=1,1,0),0)</f>
        <v>0</v>
      </c>
    </row>
    <row r="172" customFormat="false" ht="15" hidden="false" customHeight="false" outlineLevel="0" collapsed="false">
      <c r="A172" s="11"/>
      <c r="B172" s="11"/>
      <c r="C172" s="11"/>
      <c r="D172" s="11"/>
      <c r="E172" s="13" t="n">
        <f aca="false">IF(A172&lt;&gt;"",IF(COUNTIF(A$167:A172,A172)=1,1,0),0)</f>
        <v>0</v>
      </c>
      <c r="F172" s="13" t="n">
        <f aca="false">IF(AND(A172&lt;&gt;"",D172=1,C172=1),IF(COUNTIFS(A$167:A172,A172,D$167:D172,1,C$167:C172,1)=1,1,0),0)</f>
        <v>0</v>
      </c>
    </row>
    <row r="173" customFormat="false" ht="15" hidden="false" customHeight="false" outlineLevel="0" collapsed="false">
      <c r="A173" s="11"/>
      <c r="B173" s="11"/>
      <c r="C173" s="11"/>
      <c r="D173" s="11"/>
      <c r="E173" s="13" t="n">
        <f aca="false">IF(A173&lt;&gt;"",IF(COUNTIF(A$167:A173,A173)=1,1,0),0)</f>
        <v>0</v>
      </c>
      <c r="F173" s="13" t="n">
        <f aca="false">IF(AND(A173&lt;&gt;"",D173=1,C173=1),IF(COUNTIFS(A$167:A173,A173,D$167:D173,1,C$167:C173,1)=1,1,0),0)</f>
        <v>0</v>
      </c>
    </row>
    <row r="174" customFormat="false" ht="15" hidden="false" customHeight="false" outlineLevel="0" collapsed="false">
      <c r="A174" s="11"/>
      <c r="B174" s="11"/>
      <c r="C174" s="11"/>
      <c r="D174" s="11"/>
      <c r="E174" s="13" t="n">
        <f aca="false">IF(A174&lt;&gt;"",IF(COUNTIF(A$167:A174,A174)=1,1,0),0)</f>
        <v>0</v>
      </c>
      <c r="F174" s="13" t="n">
        <f aca="false">IF(AND(A174&lt;&gt;"",D174=1,C174=1),IF(COUNTIFS(A$167:A174,A174,D$167:D174,1,C$167:C174,1)=1,1,0),0)</f>
        <v>0</v>
      </c>
    </row>
    <row r="175" customFormat="false" ht="15" hidden="false" customHeight="false" outlineLevel="0" collapsed="false">
      <c r="A175" s="11"/>
      <c r="B175" s="11"/>
      <c r="C175" s="11"/>
      <c r="D175" s="11"/>
      <c r="E175" s="13" t="n">
        <f aca="false">IF(A175&lt;&gt;"",IF(COUNTIF(A$167:A175,A175)=1,1,0),0)</f>
        <v>0</v>
      </c>
      <c r="F175" s="13" t="n">
        <f aca="false">IF(AND(A175&lt;&gt;"",D175=1,C175=1),IF(COUNTIFS(A$167:A175,A175,D$167:D175,1,C$167:C175,1)=1,1,0),0)</f>
        <v>0</v>
      </c>
    </row>
    <row r="176" customFormat="false" ht="15" hidden="false" customHeight="false" outlineLevel="0" collapsed="false">
      <c r="A176" s="11"/>
      <c r="B176" s="11"/>
      <c r="C176" s="11"/>
      <c r="D176" s="11"/>
      <c r="E176" s="13" t="n">
        <f aca="false">IF(A176&lt;&gt;"",IF(COUNTIF(A$167:A176,A176)=1,1,0),0)</f>
        <v>0</v>
      </c>
      <c r="F176" s="13" t="n">
        <f aca="false">IF(AND(A176&lt;&gt;"",D176=1,C176=1),IF(COUNTIFS(A$167:A176,A176,D$167:D176,1,C$167:C176,1)=1,1,0),0)</f>
        <v>0</v>
      </c>
    </row>
    <row r="177" customFormat="false" ht="15" hidden="false" customHeight="false" outlineLevel="0" collapsed="false">
      <c r="A177" s="11"/>
      <c r="B177" s="11"/>
      <c r="C177" s="11"/>
      <c r="D177" s="11"/>
      <c r="E177" s="13" t="n">
        <f aca="false">IF(A177&lt;&gt;"",IF(COUNTIF(A$167:A177,A177)=1,1,0),0)</f>
        <v>0</v>
      </c>
      <c r="F177" s="13" t="n">
        <f aca="false">IF(AND(A177&lt;&gt;"",D177=1,C177=1),IF(COUNTIFS(A$167:A177,A177,D$167:D177,1,C$167:C177,1)=1,1,0),0)</f>
        <v>0</v>
      </c>
    </row>
    <row r="178" customFormat="false" ht="15" hidden="false" customHeight="false" outlineLevel="0" collapsed="false">
      <c r="A178" s="11"/>
      <c r="B178" s="11"/>
      <c r="C178" s="11"/>
      <c r="D178" s="11"/>
      <c r="E178" s="13" t="n">
        <f aca="false">IF(A178&lt;&gt;"",IF(COUNTIF(A$167:A178,A178)=1,1,0),0)</f>
        <v>0</v>
      </c>
      <c r="F178" s="13" t="n">
        <f aca="false">IF(AND(A178&lt;&gt;"",D178=1,C178=1),IF(COUNTIFS(A$167:A178,A178,D$167:D178,1,C$167:C178,1)=1,1,0),0)</f>
        <v>0</v>
      </c>
    </row>
    <row r="179" customFormat="false" ht="15" hidden="false" customHeight="false" outlineLevel="0" collapsed="false">
      <c r="A179" s="11"/>
      <c r="B179" s="11"/>
      <c r="C179" s="11"/>
      <c r="D179" s="11"/>
      <c r="E179" s="13" t="n">
        <f aca="false">IF(A179&lt;&gt;"",IF(COUNTIF(A$167:A179,A179)=1,1,0),0)</f>
        <v>0</v>
      </c>
      <c r="F179" s="13" t="n">
        <f aca="false">IF(AND(A179&lt;&gt;"",D179=1,C179=1),IF(COUNTIFS(A$167:A179,A179,D$167:D179,1,C$167:C179,1)=1,1,0),0)</f>
        <v>0</v>
      </c>
    </row>
    <row r="180" customFormat="false" ht="15" hidden="false" customHeight="false" outlineLevel="0" collapsed="false">
      <c r="A180" s="11"/>
      <c r="B180" s="11"/>
      <c r="C180" s="11"/>
      <c r="D180" s="11"/>
      <c r="E180" s="13" t="n">
        <f aca="false">IF(A180&lt;&gt;"",IF(COUNTIF(A$167:A180,A180)=1,1,0),0)</f>
        <v>0</v>
      </c>
      <c r="F180" s="13" t="n">
        <f aca="false">IF(AND(A180&lt;&gt;"",D180=1,C180=1),IF(COUNTIFS(A$167:A180,A180,D$167:D180,1,C$167:C180,1)=1,1,0),0)</f>
        <v>0</v>
      </c>
    </row>
    <row r="181" customFormat="false" ht="15" hidden="false" customHeight="false" outlineLevel="0" collapsed="false">
      <c r="A181" s="11"/>
      <c r="B181" s="11"/>
      <c r="C181" s="11"/>
      <c r="D181" s="11"/>
      <c r="E181" s="13" t="n">
        <f aca="false">IF(A181&lt;&gt;"",IF(COUNTIF(A$167:A181,A181)=1,1,0),0)</f>
        <v>0</v>
      </c>
      <c r="F181" s="13" t="n">
        <f aca="false">IF(AND(A181&lt;&gt;"",D181=1,C181=1),IF(COUNTIFS(A$167:A181,A181,D$167:D181,1,C$167:C181,1)=1,1,0),0)</f>
        <v>0</v>
      </c>
    </row>
    <row r="182" customFormat="false" ht="15" hidden="false" customHeight="false" outlineLevel="0" collapsed="false">
      <c r="A182" s="11"/>
      <c r="B182" s="11"/>
      <c r="C182" s="11"/>
      <c r="D182" s="11"/>
      <c r="E182" s="13" t="n">
        <f aca="false">IF(A182&lt;&gt;"",IF(COUNTIF(A$167:A182,A182)=1,1,0),0)</f>
        <v>0</v>
      </c>
      <c r="F182" s="13" t="n">
        <f aca="false">IF(AND(A182&lt;&gt;"",D182=1,C182=1),IF(COUNTIFS(A$167:A182,A182,D$167:D182,1,C$167:C182,1)=1,1,0),0)</f>
        <v>0</v>
      </c>
    </row>
    <row r="183" customFormat="false" ht="15" hidden="false" customHeight="false" outlineLevel="0" collapsed="false">
      <c r="A183" s="11"/>
      <c r="B183" s="11"/>
      <c r="C183" s="11"/>
      <c r="D183" s="11"/>
      <c r="E183" s="13" t="n">
        <f aca="false">IF(A183&lt;&gt;"",IF(COUNTIF(A$167:A183,A183)=1,1,0),0)</f>
        <v>0</v>
      </c>
      <c r="F183" s="13" t="n">
        <f aca="false">IF(AND(A183&lt;&gt;"",D183=1,C183=1),IF(COUNTIFS(A$167:A183,A183,D$167:D183,1,C$167:C183,1)=1,1,0),0)</f>
        <v>0</v>
      </c>
    </row>
    <row r="184" customFormat="false" ht="15" hidden="false" customHeight="false" outlineLevel="0" collapsed="false">
      <c r="A184" s="11"/>
      <c r="B184" s="11"/>
      <c r="C184" s="11"/>
      <c r="D184" s="11"/>
      <c r="E184" s="13" t="n">
        <f aca="false">IF(A184&lt;&gt;"",IF(COUNTIF(A$167:A184,A184)=1,1,0),0)</f>
        <v>0</v>
      </c>
      <c r="F184" s="13" t="n">
        <f aca="false">IF(AND(A184&lt;&gt;"",D184=1,C184=1),IF(COUNTIFS(A$167:A184,A184,D$167:D184,1,C$167:C184,1)=1,1,0),0)</f>
        <v>0</v>
      </c>
    </row>
    <row r="185" customFormat="false" ht="15" hidden="false" customHeight="false" outlineLevel="0" collapsed="false">
      <c r="A185" s="11"/>
      <c r="B185" s="11"/>
      <c r="C185" s="11"/>
      <c r="D185" s="11"/>
      <c r="E185" s="13" t="n">
        <f aca="false">IF(A185&lt;&gt;"",IF(COUNTIF(A$167:A185,A185)=1,1,0),0)</f>
        <v>0</v>
      </c>
      <c r="F185" s="13" t="n">
        <f aca="false">IF(AND(A185&lt;&gt;"",D185=1,C185=1),IF(COUNTIFS(A$167:A185,A185,D$167:D185,1,C$167:C185,1)=1,1,0),0)</f>
        <v>0</v>
      </c>
    </row>
    <row r="186" customFormat="false" ht="15" hidden="false" customHeight="false" outlineLevel="0" collapsed="false">
      <c r="A186" s="11"/>
      <c r="B186" s="11"/>
      <c r="C186" s="11"/>
      <c r="D186" s="11"/>
      <c r="E186" s="13" t="n">
        <f aca="false">IF(A186&lt;&gt;"",IF(COUNTIF(A$167:A186,A186)=1,1,0),0)</f>
        <v>0</v>
      </c>
      <c r="F186" s="13" t="n">
        <f aca="false">IF(AND(A186&lt;&gt;"",D186=1,C186=1),IF(COUNTIFS(A$167:A186,A186,D$167:D186,1,C$167:C186,1)=1,1,0),0)</f>
        <v>0</v>
      </c>
    </row>
    <row r="187" customFormat="false" ht="15" hidden="false" customHeight="false" outlineLevel="0" collapsed="false">
      <c r="A187" s="11"/>
      <c r="B187" s="11"/>
      <c r="C187" s="11"/>
      <c r="D187" s="11"/>
      <c r="E187" s="13" t="n">
        <f aca="false">IF(A187&lt;&gt;"",IF(COUNTIF(A$167:A187,A187)=1,1,0),0)</f>
        <v>0</v>
      </c>
      <c r="F187" s="13" t="n">
        <f aca="false">IF(AND(A187&lt;&gt;"",D187=1,C187=1),IF(COUNTIFS(A$167:A187,A187,D$167:D187,1,C$167:C187,1)=1,1,0),0)</f>
        <v>0</v>
      </c>
    </row>
    <row r="188" customFormat="false" ht="15" hidden="false" customHeight="false" outlineLevel="0" collapsed="false">
      <c r="A188" s="11"/>
      <c r="B188" s="11"/>
      <c r="C188" s="11"/>
      <c r="D188" s="11"/>
      <c r="E188" s="13" t="n">
        <f aca="false">IF(A188&lt;&gt;"",IF(COUNTIF(A$167:A188,A188)=1,1,0),0)</f>
        <v>0</v>
      </c>
      <c r="F188" s="13" t="n">
        <f aca="false">IF(AND(A188&lt;&gt;"",D188=1,C188=1),IF(COUNTIFS(A$167:A188,A188,D$167:D188,1,C$167:C188,1)=1,1,0),0)</f>
        <v>0</v>
      </c>
    </row>
    <row r="189" customFormat="false" ht="15" hidden="false" customHeight="false" outlineLevel="0" collapsed="false">
      <c r="A189" s="11"/>
      <c r="B189" s="11"/>
      <c r="C189" s="11"/>
      <c r="D189" s="11"/>
      <c r="E189" s="13" t="n">
        <f aca="false">IF(A189&lt;&gt;"",IF(COUNTIF(A$167:A189,A189)=1,1,0),0)</f>
        <v>0</v>
      </c>
      <c r="F189" s="13" t="n">
        <f aca="false">IF(AND(A189&lt;&gt;"",D189=1,C189=1),IF(COUNTIFS(A$167:A189,A189,D$167:D189,1,C$167:C189,1)=1,1,0),0)</f>
        <v>0</v>
      </c>
    </row>
    <row r="190" customFormat="false" ht="15" hidden="false" customHeight="false" outlineLevel="0" collapsed="false">
      <c r="A190" s="11"/>
      <c r="B190" s="11"/>
      <c r="C190" s="11"/>
      <c r="D190" s="11"/>
      <c r="E190" s="13" t="n">
        <f aca="false">IF(A190&lt;&gt;"",IF(COUNTIF(A$167:A190,A190)=1,1,0),0)</f>
        <v>0</v>
      </c>
      <c r="F190" s="13" t="n">
        <f aca="false">IF(AND(A190&lt;&gt;"",D190=1,C190=1),IF(COUNTIFS(A$167:A190,A190,D$167:D190,1,C$167:C190,1)=1,1,0),0)</f>
        <v>0</v>
      </c>
    </row>
    <row r="191" customFormat="false" ht="15" hidden="false" customHeight="false" outlineLevel="0" collapsed="false">
      <c r="A191" s="11"/>
      <c r="B191" s="11"/>
      <c r="C191" s="11"/>
      <c r="D191" s="11"/>
      <c r="E191" s="13" t="n">
        <f aca="false">IF(A191&lt;&gt;"",IF(COUNTIF(A$167:A191,A191)=1,1,0),0)</f>
        <v>0</v>
      </c>
      <c r="F191" s="13" t="n">
        <f aca="false">IF(AND(A191&lt;&gt;"",D191=1,C191=1),IF(COUNTIFS(A$167:A191,A191,D$167:D191,1,C$167:C191,1)=1,1,0),0)</f>
        <v>0</v>
      </c>
    </row>
    <row r="192" customFormat="false" ht="15" hidden="false" customHeight="false" outlineLevel="0" collapsed="false">
      <c r="A192" s="11"/>
      <c r="B192" s="11"/>
      <c r="C192" s="11"/>
      <c r="D192" s="11"/>
      <c r="E192" s="13" t="n">
        <f aca="false">IF(A192&lt;&gt;"",IF(COUNTIF(A$167:A192,A192)=1,1,0),0)</f>
        <v>0</v>
      </c>
      <c r="F192" s="13" t="n">
        <f aca="false">IF(AND(A192&lt;&gt;"",D192=1,C192=1),IF(COUNTIFS(A$167:A192,A192,D$167:D192,1,C$167:C192,1)=1,1,0),0)</f>
        <v>0</v>
      </c>
    </row>
    <row r="193" customFormat="false" ht="15" hidden="false" customHeight="false" outlineLevel="0" collapsed="false">
      <c r="A193" s="11"/>
      <c r="B193" s="11"/>
      <c r="C193" s="11"/>
      <c r="D193" s="11"/>
      <c r="E193" s="13" t="n">
        <f aca="false">IF(A193&lt;&gt;"",IF(COUNTIF(A$167:A193,A193)=1,1,0),0)</f>
        <v>0</v>
      </c>
      <c r="F193" s="13" t="n">
        <f aca="false">IF(AND(A193&lt;&gt;"",D193=1,C193=1),IF(COUNTIFS(A$167:A193,A193,D$167:D193,1,C$167:C193,1)=1,1,0),0)</f>
        <v>0</v>
      </c>
    </row>
    <row r="194" customFormat="false" ht="15" hidden="false" customHeight="false" outlineLevel="0" collapsed="false">
      <c r="A194" s="11"/>
      <c r="B194" s="11"/>
      <c r="C194" s="11"/>
      <c r="D194" s="11"/>
      <c r="E194" s="13" t="n">
        <f aca="false">IF(A194&lt;&gt;"",IF(COUNTIF(A$167:A194,A194)=1,1,0),0)</f>
        <v>0</v>
      </c>
      <c r="F194" s="13" t="n">
        <f aca="false">IF(AND(A194&lt;&gt;"",D194=1,C194=1),IF(COUNTIFS(A$167:A194,A194,D$167:D194,1,C$167:C194,1)=1,1,0),0)</f>
        <v>0</v>
      </c>
    </row>
    <row r="195" customFormat="false" ht="15" hidden="false" customHeight="false" outlineLevel="0" collapsed="false">
      <c r="A195" s="11"/>
      <c r="B195" s="11"/>
      <c r="C195" s="11"/>
      <c r="D195" s="11"/>
      <c r="E195" s="13" t="n">
        <f aca="false">IF(A195&lt;&gt;"",IF(COUNTIF(A$167:A195,A195)=1,1,0),0)</f>
        <v>0</v>
      </c>
      <c r="F195" s="13" t="n">
        <f aca="false">IF(AND(A195&lt;&gt;"",D195=1,C195=1),IF(COUNTIFS(A$167:A195,A195,D$167:D195,1,C$167:C195,1)=1,1,0),0)</f>
        <v>0</v>
      </c>
    </row>
    <row r="196" customFormat="false" ht="15" hidden="false" customHeight="false" outlineLevel="0" collapsed="false">
      <c r="A196" s="11"/>
      <c r="B196" s="11"/>
      <c r="C196" s="11"/>
      <c r="D196" s="11"/>
      <c r="E196" s="13" t="n">
        <f aca="false">IF(A196&lt;&gt;"",IF(COUNTIF(A$167:A196,A196)=1,1,0),0)</f>
        <v>0</v>
      </c>
      <c r="F196" s="13" t="n">
        <f aca="false">IF(AND(A196&lt;&gt;"",D196=1,C196=1),IF(COUNTIFS(A$167:A196,A196,D$167:D196,1,C$167:C196,1)=1,1,0),0)</f>
        <v>0</v>
      </c>
    </row>
    <row r="197" customFormat="false" ht="15" hidden="false" customHeight="false" outlineLevel="0" collapsed="false">
      <c r="A197" s="11"/>
      <c r="B197" s="11"/>
      <c r="C197" s="11"/>
      <c r="D197" s="11"/>
      <c r="E197" s="13" t="n">
        <f aca="false">IF(A197&lt;&gt;"",IF(COUNTIF(A$167:A197,A197)=1,1,0),0)</f>
        <v>0</v>
      </c>
      <c r="F197" s="13" t="n">
        <f aca="false">IF(AND(A197&lt;&gt;"",D197=1,C197=1),IF(COUNTIFS(A$167:A197,A197,D$167:D197,1,C$167:C197,1)=1,1,0),0)</f>
        <v>0</v>
      </c>
    </row>
    <row r="198" customFormat="false" ht="15" hidden="false" customHeight="false" outlineLevel="0" collapsed="false">
      <c r="A198" s="11"/>
      <c r="B198" s="11"/>
      <c r="C198" s="11"/>
      <c r="D198" s="11"/>
      <c r="E198" s="13" t="n">
        <f aca="false">IF(A198&lt;&gt;"",IF(COUNTIF(A$167:A198,A198)=1,1,0),0)</f>
        <v>0</v>
      </c>
      <c r="F198" s="13" t="n">
        <f aca="false">IF(AND(A198&lt;&gt;"",D198=1,C198=1),IF(COUNTIFS(A$167:A198,A198,D$167:D198,1,C$167:C198,1)=1,1,0),0)</f>
        <v>0</v>
      </c>
    </row>
    <row r="199" customFormat="false" ht="15" hidden="false" customHeight="false" outlineLevel="0" collapsed="false">
      <c r="A199" s="11"/>
      <c r="B199" s="11"/>
      <c r="C199" s="11"/>
      <c r="D199" s="11"/>
      <c r="E199" s="13" t="n">
        <f aca="false">IF(A199&lt;&gt;"",IF(COUNTIF(A$167:A199,A199)=1,1,0),0)</f>
        <v>0</v>
      </c>
      <c r="F199" s="13" t="n">
        <f aca="false">IF(AND(A199&lt;&gt;"",D199=1,C199=1),IF(COUNTIFS(A$167:A199,A199,D$167:D199,1,C$167:C199,1)=1,1,0),0)</f>
        <v>0</v>
      </c>
    </row>
    <row r="200" customFormat="false" ht="15" hidden="false" customHeight="false" outlineLevel="0" collapsed="false">
      <c r="A200" s="11"/>
      <c r="B200" s="11"/>
      <c r="C200" s="11"/>
      <c r="D200" s="11"/>
      <c r="E200" s="13" t="n">
        <f aca="false">IF(A200&lt;&gt;"",IF(COUNTIF(A$167:A200,A200)=1,1,0),0)</f>
        <v>0</v>
      </c>
      <c r="F200" s="13" t="n">
        <f aca="false">IF(AND(A200&lt;&gt;"",D200=1,C200=1),IF(COUNTIFS(A$167:A200,A200,D$167:D200,1,C$167:C200,1)=1,1,0),0)</f>
        <v>0</v>
      </c>
    </row>
    <row r="201" customFormat="false" ht="15" hidden="false" customHeight="false" outlineLevel="0" collapsed="false">
      <c r="A201" s="11"/>
      <c r="B201" s="11"/>
      <c r="C201" s="11"/>
      <c r="D201" s="11"/>
      <c r="E201" s="13" t="n">
        <f aca="false">IF(A201&lt;&gt;"",IF(COUNTIF(A$167:A201,A201)=1,1,0),0)</f>
        <v>0</v>
      </c>
      <c r="F201" s="13" t="n">
        <f aca="false">IF(AND(A201&lt;&gt;"",D201=1,C201=1),IF(COUNTIFS(A$167:A201,A201,D$167:D201,1,C$167:C201,1)=1,1,0),0)</f>
        <v>0</v>
      </c>
    </row>
    <row r="202" customFormat="false" ht="15" hidden="false" customHeight="false" outlineLevel="0" collapsed="false">
      <c r="A202" s="11"/>
      <c r="B202" s="11"/>
      <c r="C202" s="11"/>
      <c r="D202" s="11"/>
      <c r="E202" s="13" t="n">
        <f aca="false">IF(A202&lt;&gt;"",IF(COUNTIF(A$167:A202,A202)=1,1,0),0)</f>
        <v>0</v>
      </c>
      <c r="F202" s="13" t="n">
        <f aca="false">IF(AND(A202&lt;&gt;"",D202=1,C202=1),IF(COUNTIFS(A$167:A202,A202,D$167:D202,1,C$167:C202,1)=1,1,0),0)</f>
        <v>0</v>
      </c>
    </row>
    <row r="203" customFormat="false" ht="15" hidden="false" customHeight="false" outlineLevel="0" collapsed="false">
      <c r="A203" s="11"/>
      <c r="B203" s="11"/>
      <c r="C203" s="11"/>
      <c r="D203" s="11"/>
      <c r="E203" s="13" t="n">
        <f aca="false">IF(A203&lt;&gt;"",IF(COUNTIF(A$167:A203,A203)=1,1,0),0)</f>
        <v>0</v>
      </c>
      <c r="F203" s="13" t="n">
        <f aca="false">IF(AND(A203&lt;&gt;"",D203=1,C203=1),IF(COUNTIFS(A$167:A203,A203,D$167:D203,1,C$167:C203,1)=1,1,0),0)</f>
        <v>0</v>
      </c>
    </row>
    <row r="204" customFormat="false" ht="15" hidden="false" customHeight="false" outlineLevel="0" collapsed="false">
      <c r="A204" s="11"/>
      <c r="B204" s="11"/>
      <c r="C204" s="11"/>
      <c r="D204" s="11"/>
      <c r="E204" s="13" t="n">
        <f aca="false">IF(A204&lt;&gt;"",IF(COUNTIF(A$167:A204,A204)=1,1,0),0)</f>
        <v>0</v>
      </c>
      <c r="F204" s="13" t="n">
        <f aca="false">IF(AND(A204&lt;&gt;"",D204=1,C204=1),IF(COUNTIFS(A$167:A204,A204,D$167:D204,1,C$167:C204,1)=1,1,0),0)</f>
        <v>0</v>
      </c>
    </row>
    <row r="205" customFormat="false" ht="15" hidden="false" customHeight="false" outlineLevel="0" collapsed="false">
      <c r="A205" s="11"/>
      <c r="B205" s="11"/>
      <c r="C205" s="11"/>
      <c r="D205" s="11"/>
      <c r="E205" s="13" t="n">
        <f aca="false">IF(A205&lt;&gt;"",IF(COUNTIF(A$167:A205,A205)=1,1,0),0)</f>
        <v>0</v>
      </c>
      <c r="F205" s="13" t="n">
        <f aca="false">IF(AND(A205&lt;&gt;"",D205=1,C205=1),IF(COUNTIFS(A$167:A205,A205,D$167:D205,1,C$167:C205,1)=1,1,0),0)</f>
        <v>0</v>
      </c>
    </row>
    <row r="206" customFormat="false" ht="15" hidden="false" customHeight="false" outlineLevel="0" collapsed="false">
      <c r="A206" s="11"/>
      <c r="B206" s="11"/>
      <c r="C206" s="11"/>
      <c r="D206" s="11"/>
      <c r="E206" s="13" t="n">
        <f aca="false">IF(A206&lt;&gt;"",IF(COUNTIF(A$167:A206,A206)=1,1,0),0)</f>
        <v>0</v>
      </c>
      <c r="F206" s="13" t="n">
        <f aca="false">IF(AND(A206&lt;&gt;"",D206=1,C206=1),IF(COUNTIFS(A$167:A206,A206,D$167:D206,1,C$167:C206,1)=1,1,0),0)</f>
        <v>0</v>
      </c>
    </row>
    <row r="207" customFormat="false" ht="15" hidden="false" customHeight="false" outlineLevel="0" collapsed="false">
      <c r="A207" s="11"/>
      <c r="B207" s="11"/>
      <c r="C207" s="11"/>
      <c r="D207" s="11"/>
      <c r="E207" s="13" t="n">
        <f aca="false">IF(A207&lt;&gt;"",IF(COUNTIF(A$167:A207,A207)=1,1,0),0)</f>
        <v>0</v>
      </c>
      <c r="F207" s="13" t="n">
        <f aca="false">IF(AND(A207&lt;&gt;"",D207=1,C207=1),IF(COUNTIFS(A$167:A207,A207,D$167:D207,1,C$167:C207,1)=1,1,0),0)</f>
        <v>0</v>
      </c>
    </row>
    <row r="208" customFormat="false" ht="15" hidden="false" customHeight="false" outlineLevel="0" collapsed="false">
      <c r="A208" s="11"/>
      <c r="B208" s="11"/>
      <c r="C208" s="11"/>
      <c r="D208" s="11"/>
      <c r="E208" s="13" t="n">
        <f aca="false">IF(A208&lt;&gt;"",IF(COUNTIF(A$167:A208,A208)=1,1,0),0)</f>
        <v>0</v>
      </c>
      <c r="F208" s="13" t="n">
        <f aca="false">IF(AND(A208&lt;&gt;"",D208=1,C208=1),IF(COUNTIFS(A$167:A208,A208,D$167:D208,1,C$167:C208,1)=1,1,0),0)</f>
        <v>0</v>
      </c>
    </row>
    <row r="209" customFormat="false" ht="15" hidden="false" customHeight="false" outlineLevel="0" collapsed="false">
      <c r="A209" s="11"/>
      <c r="B209" s="11"/>
      <c r="C209" s="11"/>
      <c r="D209" s="11"/>
      <c r="E209" s="13" t="n">
        <f aca="false">IF(A209&lt;&gt;"",IF(COUNTIF(A$167:A209,A209)=1,1,0),0)</f>
        <v>0</v>
      </c>
      <c r="F209" s="13" t="n">
        <f aca="false">IF(AND(A209&lt;&gt;"",D209=1,C209=1),IF(COUNTIFS(A$167:A209,A209,D$167:D209,1,C$167:C209,1)=1,1,0),0)</f>
        <v>0</v>
      </c>
    </row>
    <row r="210" customFormat="false" ht="15" hidden="false" customHeight="false" outlineLevel="0" collapsed="false">
      <c r="A210" s="11"/>
      <c r="B210" s="11"/>
      <c r="C210" s="11"/>
      <c r="D210" s="11"/>
      <c r="E210" s="13" t="n">
        <f aca="false">IF(A210&lt;&gt;"",IF(COUNTIF(A$167:A210,A210)=1,1,0),0)</f>
        <v>0</v>
      </c>
      <c r="F210" s="13" t="n">
        <f aca="false">IF(AND(A210&lt;&gt;"",D210=1,C210=1),IF(COUNTIFS(A$167:A210,A210,D$167:D210,1,C$167:C210,1)=1,1,0),0)</f>
        <v>0</v>
      </c>
    </row>
    <row r="211" customFormat="false" ht="15" hidden="false" customHeight="false" outlineLevel="0" collapsed="false">
      <c r="A211" s="11"/>
      <c r="B211" s="11"/>
      <c r="C211" s="11"/>
      <c r="D211" s="11"/>
      <c r="E211" s="13" t="n">
        <f aca="false">IF(A211&lt;&gt;"",IF(COUNTIF(A$167:A211,A211)=1,1,0),0)</f>
        <v>0</v>
      </c>
      <c r="F211" s="13" t="n">
        <f aca="false">IF(AND(A211&lt;&gt;"",D211=1,C211=1),IF(COUNTIFS(A$167:A211,A211,D$167:D211,1,C$167:C211,1)=1,1,0),0)</f>
        <v>0</v>
      </c>
    </row>
    <row r="212" customFormat="false" ht="15" hidden="false" customHeight="false" outlineLevel="0" collapsed="false">
      <c r="A212" s="11"/>
      <c r="B212" s="11"/>
      <c r="C212" s="11"/>
      <c r="D212" s="11"/>
      <c r="E212" s="13" t="n">
        <f aca="false">IF(A212&lt;&gt;"",IF(COUNTIF(A$167:A212,A212)=1,1,0),0)</f>
        <v>0</v>
      </c>
      <c r="F212" s="13" t="n">
        <f aca="false">IF(AND(A212&lt;&gt;"",D212=1,C212=1),IF(COUNTIFS(A$167:A212,A212,D$167:D212,1,C$167:C212,1)=1,1,0),0)</f>
        <v>0</v>
      </c>
    </row>
    <row r="213" customFormat="false" ht="15" hidden="false" customHeight="false" outlineLevel="0" collapsed="false">
      <c r="A213" s="11"/>
      <c r="B213" s="11"/>
      <c r="C213" s="11"/>
      <c r="D213" s="11"/>
      <c r="E213" s="13" t="n">
        <f aca="false">IF(A213&lt;&gt;"",IF(COUNTIF(A$167:A213,A213)=1,1,0),0)</f>
        <v>0</v>
      </c>
      <c r="F213" s="13" t="n">
        <f aca="false">IF(AND(A213&lt;&gt;"",D213=1,C213=1),IF(COUNTIFS(A$167:A213,A213,D$167:D213,1,C$167:C213,1)=1,1,0),0)</f>
        <v>0</v>
      </c>
    </row>
    <row r="214" customFormat="false" ht="15" hidden="false" customHeight="false" outlineLevel="0" collapsed="false">
      <c r="A214" s="11"/>
      <c r="B214" s="11"/>
      <c r="C214" s="11"/>
      <c r="D214" s="11"/>
      <c r="E214" s="13" t="n">
        <f aca="false">IF(A214&lt;&gt;"",IF(COUNTIF(A$167:A214,A214)=1,1,0),0)</f>
        <v>0</v>
      </c>
      <c r="F214" s="13" t="n">
        <f aca="false">IF(AND(A214&lt;&gt;"",D214=1,C214=1),IF(COUNTIFS(A$167:A214,A214,D$167:D214,1,C$167:C214,1)=1,1,0),0)</f>
        <v>0</v>
      </c>
    </row>
    <row r="215" customFormat="false" ht="15" hidden="false" customHeight="false" outlineLevel="0" collapsed="false">
      <c r="A215" s="11"/>
      <c r="B215" s="11"/>
      <c r="C215" s="11"/>
      <c r="D215" s="11"/>
      <c r="E215" s="13" t="n">
        <f aca="false">IF(A215&lt;&gt;"",IF(COUNTIF(A$167:A215,A215)=1,1,0),0)</f>
        <v>0</v>
      </c>
      <c r="F215" s="13" t="n">
        <f aca="false">IF(AND(A215&lt;&gt;"",D215=1,C215=1),IF(COUNTIFS(A$167:A215,A215,D$167:D215,1,C$167:C215,1)=1,1,0),0)</f>
        <v>0</v>
      </c>
    </row>
    <row r="216" customFormat="false" ht="15" hidden="false" customHeight="false" outlineLevel="0" collapsed="false">
      <c r="A216" s="11"/>
      <c r="B216" s="11"/>
      <c r="C216" s="11"/>
      <c r="D216" s="11"/>
      <c r="E216" s="13" t="n">
        <f aca="false">IF(A216&lt;&gt;"",IF(COUNTIF(A$167:A216,A216)=1,1,0),0)</f>
        <v>0</v>
      </c>
      <c r="F216" s="13" t="n">
        <f aca="false">IF(AND(A216&lt;&gt;"",D216=1,C216=1),IF(COUNTIFS(A$167:A216,A216,D$167:D216,1,C$167:C216,1)=1,1,0),0)</f>
        <v>0</v>
      </c>
    </row>
    <row r="217" customFormat="false" ht="15" hidden="false" customHeight="false" outlineLevel="0" collapsed="false">
      <c r="A217" s="11"/>
      <c r="B217" s="11"/>
      <c r="C217" s="11"/>
      <c r="D217" s="11"/>
      <c r="E217" s="13" t="n">
        <f aca="false">IF(A217&lt;&gt;"",IF(COUNTIF(A$167:A217,A217)=1,1,0),0)</f>
        <v>0</v>
      </c>
      <c r="F217" s="13" t="n">
        <f aca="false">IF(AND(A217&lt;&gt;"",D217=1,C217=1),IF(COUNTIFS(A$167:A217,A217,D$167:D217,1,C$167:C217,1)=1,1,0),0)</f>
        <v>0</v>
      </c>
    </row>
    <row r="218" customFormat="false" ht="15" hidden="false" customHeight="false" outlineLevel="0" collapsed="false">
      <c r="A218" s="11"/>
      <c r="B218" s="11"/>
      <c r="C218" s="11"/>
      <c r="D218" s="11"/>
      <c r="E218" s="13" t="n">
        <f aca="false">IF(A218&lt;&gt;"",IF(COUNTIF(A$167:A218,A218)=1,1,0),0)</f>
        <v>0</v>
      </c>
      <c r="F218" s="13" t="n">
        <f aca="false">IF(AND(A218&lt;&gt;"",D218=1,C218=1),IF(COUNTIFS(A$167:A218,A218,D$167:D218,1,C$167:C218,1)=1,1,0),0)</f>
        <v>0</v>
      </c>
    </row>
    <row r="219" customFormat="false" ht="15" hidden="false" customHeight="false" outlineLevel="0" collapsed="false">
      <c r="A219" s="11"/>
      <c r="B219" s="11"/>
      <c r="C219" s="11"/>
      <c r="D219" s="11"/>
      <c r="E219" s="13" t="n">
        <f aca="false">IF(A219&lt;&gt;"",IF(COUNTIF(A$167:A219,A219)=1,1,0),0)</f>
        <v>0</v>
      </c>
      <c r="F219" s="13" t="n">
        <f aca="false">IF(AND(A219&lt;&gt;"",D219=1,C219=1),IF(COUNTIFS(A$167:A219,A219,D$167:D219,1,C$167:C219,1)=1,1,0),0)</f>
        <v>0</v>
      </c>
    </row>
    <row r="220" customFormat="false" ht="15" hidden="false" customHeight="false" outlineLevel="0" collapsed="false">
      <c r="A220" s="11"/>
      <c r="B220" s="11"/>
      <c r="C220" s="11"/>
      <c r="D220" s="11"/>
      <c r="E220" s="13" t="n">
        <f aca="false">IF(A220&lt;&gt;"",IF(COUNTIF(A$167:A220,A220)=1,1,0),0)</f>
        <v>0</v>
      </c>
      <c r="F220" s="13" t="n">
        <f aca="false">IF(AND(A220&lt;&gt;"",D220=1,C220=1),IF(COUNTIFS(A$167:A220,A220,D$167:D220,1,C$167:C220,1)=1,1,0),0)</f>
        <v>0</v>
      </c>
    </row>
    <row r="221" customFormat="false" ht="15" hidden="false" customHeight="false" outlineLevel="0" collapsed="false">
      <c r="A221" s="11"/>
      <c r="B221" s="11"/>
      <c r="C221" s="11"/>
      <c r="D221" s="11"/>
      <c r="E221" s="13" t="n">
        <f aca="false">IF(A221&lt;&gt;"",IF(COUNTIF(A$167:A221,A221)=1,1,0),0)</f>
        <v>0</v>
      </c>
      <c r="F221" s="13" t="n">
        <f aca="false">IF(AND(A221&lt;&gt;"",D221=1,C221=1),IF(COUNTIFS(A$167:A221,A221,D$167:D221,1,C$167:C221,1)=1,1,0),0)</f>
        <v>0</v>
      </c>
    </row>
    <row r="222" customFormat="false" ht="15" hidden="false" customHeight="false" outlineLevel="0" collapsed="false">
      <c r="A222" s="11"/>
      <c r="B222" s="11"/>
      <c r="C222" s="11"/>
      <c r="D222" s="11"/>
      <c r="E222" s="13" t="n">
        <f aca="false">IF(A222&lt;&gt;"",IF(COUNTIF(A$167:A222,A222)=1,1,0),0)</f>
        <v>0</v>
      </c>
      <c r="F222" s="13" t="n">
        <f aca="false">IF(AND(A222&lt;&gt;"",D222=1,C222=1),IF(COUNTIFS(A$167:A222,A222,D$167:D222,1,C$167:C222,1)=1,1,0),0)</f>
        <v>0</v>
      </c>
    </row>
    <row r="223" customFormat="false" ht="15" hidden="false" customHeight="false" outlineLevel="0" collapsed="false">
      <c r="A223" s="11"/>
      <c r="B223" s="11"/>
      <c r="C223" s="11"/>
      <c r="D223" s="11"/>
      <c r="E223" s="13" t="n">
        <f aca="false">IF(A223&lt;&gt;"",IF(COUNTIF(A$167:A223,A223)=1,1,0),0)</f>
        <v>0</v>
      </c>
      <c r="F223" s="13" t="n">
        <f aca="false">IF(AND(A223&lt;&gt;"",D223=1,C223=1),IF(COUNTIFS(A$167:A223,A223,D$167:D223,1,C$167:C223,1)=1,1,0),0)</f>
        <v>0</v>
      </c>
    </row>
    <row r="224" customFormat="false" ht="15" hidden="false" customHeight="false" outlineLevel="0" collapsed="false">
      <c r="A224" s="11"/>
      <c r="B224" s="11"/>
      <c r="C224" s="11"/>
      <c r="D224" s="11"/>
      <c r="E224" s="13" t="n">
        <f aca="false">IF(A224&lt;&gt;"",IF(COUNTIF(A$167:A224,A224)=1,1,0),0)</f>
        <v>0</v>
      </c>
      <c r="F224" s="13" t="n">
        <f aca="false">IF(AND(A224&lt;&gt;"",D224=1,C224=1),IF(COUNTIFS(A$167:A224,A224,D$167:D224,1,C$167:C224,1)=1,1,0),0)</f>
        <v>0</v>
      </c>
    </row>
    <row r="225" customFormat="false" ht="15" hidden="false" customHeight="false" outlineLevel="0" collapsed="false">
      <c r="A225" s="11"/>
      <c r="B225" s="11"/>
      <c r="C225" s="11"/>
      <c r="D225" s="11"/>
      <c r="E225" s="13" t="n">
        <f aca="false">IF(A225&lt;&gt;"",IF(COUNTIF(A$167:A225,A225)=1,1,0),0)</f>
        <v>0</v>
      </c>
      <c r="F225" s="13" t="n">
        <f aca="false">IF(AND(A225&lt;&gt;"",D225=1,C225=1),IF(COUNTIFS(A$167:A225,A225,D$167:D225,1,C$167:C225,1)=1,1,0),0)</f>
        <v>0</v>
      </c>
    </row>
    <row r="226" customFormat="false" ht="15" hidden="false" customHeight="false" outlineLevel="0" collapsed="false">
      <c r="A226" s="11"/>
      <c r="B226" s="11"/>
      <c r="C226" s="11"/>
      <c r="D226" s="11"/>
      <c r="E226" s="13" t="n">
        <f aca="false">IF(A226&lt;&gt;"",IF(COUNTIF(A$167:A226,A226)=1,1,0),0)</f>
        <v>0</v>
      </c>
      <c r="F226" s="13" t="n">
        <f aca="false">IF(AND(A226&lt;&gt;"",D226=1,C226=1),IF(COUNTIFS(A$167:A226,A226,D$167:D226,1,C$167:C226,1)=1,1,0),0)</f>
        <v>0</v>
      </c>
    </row>
    <row r="227" customFormat="false" ht="15" hidden="false" customHeight="false" outlineLevel="0" collapsed="false">
      <c r="A227" s="11"/>
      <c r="B227" s="11"/>
      <c r="C227" s="11"/>
      <c r="D227" s="11"/>
      <c r="E227" s="13" t="n">
        <f aca="false">IF(A227&lt;&gt;"",IF(COUNTIF(A$167:A227,A227)=1,1,0),0)</f>
        <v>0</v>
      </c>
      <c r="F227" s="13" t="n">
        <f aca="false">IF(AND(A227&lt;&gt;"",D227=1,C227=1),IF(COUNTIFS(A$167:A227,A227,D$167:D227,1,C$167:C227,1)=1,1,0),0)</f>
        <v>0</v>
      </c>
    </row>
    <row r="228" customFormat="false" ht="15" hidden="false" customHeight="false" outlineLevel="0" collapsed="false">
      <c r="A228" s="11"/>
      <c r="B228" s="11"/>
      <c r="C228" s="11"/>
      <c r="D228" s="11"/>
      <c r="E228" s="13" t="n">
        <f aca="false">IF(A228&lt;&gt;"",IF(COUNTIF(A$167:A228,A228)=1,1,0),0)</f>
        <v>0</v>
      </c>
      <c r="F228" s="13" t="n">
        <f aca="false">IF(AND(A228&lt;&gt;"",D228=1,C228=1),IF(COUNTIFS(A$167:A228,A228,D$167:D228,1,C$167:C228,1)=1,1,0),0)</f>
        <v>0</v>
      </c>
    </row>
    <row r="229" customFormat="false" ht="15" hidden="false" customHeight="false" outlineLevel="0" collapsed="false">
      <c r="A229" s="11"/>
      <c r="B229" s="11"/>
      <c r="C229" s="11"/>
      <c r="D229" s="11"/>
      <c r="E229" s="13" t="n">
        <f aca="false">IF(A229&lt;&gt;"",IF(COUNTIF(A$167:A229,A229)=1,1,0),0)</f>
        <v>0</v>
      </c>
      <c r="F229" s="13" t="n">
        <f aca="false">IF(AND(A229&lt;&gt;"",D229=1,C229=1),IF(COUNTIFS(A$167:A229,A229,D$167:D229,1,C$167:C229,1)=1,1,0),0)</f>
        <v>0</v>
      </c>
    </row>
    <row r="230" customFormat="false" ht="15" hidden="false" customHeight="false" outlineLevel="0" collapsed="false">
      <c r="A230" s="11"/>
      <c r="B230" s="11"/>
      <c r="C230" s="11"/>
      <c r="D230" s="11"/>
      <c r="E230" s="13" t="n">
        <f aca="false">IF(A230&lt;&gt;"",IF(COUNTIF(A$167:A230,A230)=1,1,0),0)</f>
        <v>0</v>
      </c>
      <c r="F230" s="13" t="n">
        <f aca="false">IF(AND(A230&lt;&gt;"",D230=1,C230=1),IF(COUNTIFS(A$167:A230,A230,D$167:D230,1,C$167:C230,1)=1,1,0),0)</f>
        <v>0</v>
      </c>
    </row>
    <row r="231" customFormat="false" ht="15" hidden="false" customHeight="false" outlineLevel="0" collapsed="false">
      <c r="A231" s="11"/>
      <c r="B231" s="11"/>
      <c r="C231" s="11"/>
      <c r="D231" s="11"/>
      <c r="E231" s="13" t="n">
        <f aca="false">IF(A231&lt;&gt;"",IF(COUNTIF(A$167:A231,A231)=1,1,0),0)</f>
        <v>0</v>
      </c>
      <c r="F231" s="13" t="n">
        <f aca="false">IF(AND(A231&lt;&gt;"",D231=1,C231=1),IF(COUNTIFS(A$167:A231,A231,D$167:D231,1,C$167:C231,1)=1,1,0),0)</f>
        <v>0</v>
      </c>
    </row>
    <row r="232" customFormat="false" ht="15" hidden="false" customHeight="false" outlineLevel="0" collapsed="false">
      <c r="A232" s="11"/>
      <c r="B232" s="11"/>
      <c r="C232" s="11"/>
      <c r="D232" s="11"/>
      <c r="E232" s="13" t="n">
        <f aca="false">IF(A232&lt;&gt;"",IF(COUNTIF(A$167:A232,A232)=1,1,0),0)</f>
        <v>0</v>
      </c>
      <c r="F232" s="13" t="n">
        <f aca="false">IF(AND(A232&lt;&gt;"",D232=1,C232=1),IF(COUNTIFS(A$167:A232,A232,D$167:D232,1,C$167:C232,1)=1,1,0),0)</f>
        <v>0</v>
      </c>
    </row>
    <row r="233" customFormat="false" ht="15" hidden="false" customHeight="false" outlineLevel="0" collapsed="false">
      <c r="A233" s="11"/>
      <c r="B233" s="11"/>
      <c r="C233" s="11"/>
      <c r="D233" s="11"/>
      <c r="E233" s="13" t="n">
        <f aca="false">IF(A233&lt;&gt;"",IF(COUNTIF(A$167:A233,A233)=1,1,0),0)</f>
        <v>0</v>
      </c>
      <c r="F233" s="13" t="n">
        <f aca="false">IF(AND(A233&lt;&gt;"",D233=1,C233=1),IF(COUNTIFS(A$167:A233,A233,D$167:D233,1,C$167:C233,1)=1,1,0),0)</f>
        <v>0</v>
      </c>
    </row>
    <row r="234" customFormat="false" ht="15" hidden="false" customHeight="false" outlineLevel="0" collapsed="false">
      <c r="A234" s="11"/>
      <c r="B234" s="11"/>
      <c r="C234" s="11"/>
      <c r="D234" s="11"/>
      <c r="E234" s="13" t="n">
        <f aca="false">IF(A234&lt;&gt;"",IF(COUNTIF(A$167:A234,A234)=1,1,0),0)</f>
        <v>0</v>
      </c>
      <c r="F234" s="13" t="n">
        <f aca="false">IF(AND(A234&lt;&gt;"",D234=1,C234=1),IF(COUNTIFS(A$167:A234,A234,D$167:D234,1,C$167:C234,1)=1,1,0),0)</f>
        <v>0</v>
      </c>
    </row>
    <row r="235" customFormat="false" ht="15" hidden="false" customHeight="false" outlineLevel="0" collapsed="false">
      <c r="A235" s="11"/>
      <c r="B235" s="11"/>
      <c r="C235" s="11"/>
      <c r="D235" s="11"/>
      <c r="E235" s="13" t="n">
        <f aca="false">IF(A235&lt;&gt;"",IF(COUNTIF(A$167:A235,A235)=1,1,0),0)</f>
        <v>0</v>
      </c>
      <c r="F235" s="13" t="n">
        <f aca="false">IF(AND(A235&lt;&gt;"",D235=1,C235=1),IF(COUNTIFS(A$167:A235,A235,D$167:D235,1,C$167:C235,1)=1,1,0),0)</f>
        <v>0</v>
      </c>
    </row>
    <row r="236" customFormat="false" ht="15" hidden="false" customHeight="false" outlineLevel="0" collapsed="false">
      <c r="A236" s="11"/>
      <c r="B236" s="11"/>
      <c r="C236" s="11"/>
      <c r="D236" s="11"/>
      <c r="E236" s="13" t="n">
        <f aca="false">IF(A236&lt;&gt;"",IF(COUNTIF(A$167:A236,A236)=1,1,0),0)</f>
        <v>0</v>
      </c>
      <c r="F236" s="13" t="n">
        <f aca="false">IF(AND(A236&lt;&gt;"",D236=1,C236=1),IF(COUNTIFS(A$167:A236,A236,D$167:D236,1,C$167:C236,1)=1,1,0),0)</f>
        <v>0</v>
      </c>
    </row>
    <row r="237" customFormat="false" ht="15" hidden="false" customHeight="false" outlineLevel="0" collapsed="false">
      <c r="A237" s="11"/>
      <c r="B237" s="11"/>
      <c r="C237" s="11"/>
      <c r="D237" s="11"/>
      <c r="E237" s="13" t="n">
        <f aca="false">IF(A237&lt;&gt;"",IF(COUNTIF(A$167:A237,A237)=1,1,0),0)</f>
        <v>0</v>
      </c>
      <c r="F237" s="13" t="n">
        <f aca="false">IF(AND(A237&lt;&gt;"",D237=1,C237=1),IF(COUNTIFS(A$167:A237,A237,D$167:D237,1,C$167:C237,1)=1,1,0),0)</f>
        <v>0</v>
      </c>
    </row>
    <row r="238" customFormat="false" ht="15" hidden="false" customHeight="false" outlineLevel="0" collapsed="false">
      <c r="A238" s="11"/>
      <c r="B238" s="11"/>
      <c r="C238" s="11"/>
      <c r="D238" s="11"/>
      <c r="E238" s="13" t="n">
        <f aca="false">IF(A238&lt;&gt;"",IF(COUNTIF(A$167:A238,A238)=1,1,0),0)</f>
        <v>0</v>
      </c>
      <c r="F238" s="13" t="n">
        <f aca="false">IF(AND(A238&lt;&gt;"",D238=1,C238=1),IF(COUNTIFS(A$167:A238,A238,D$167:D238,1,C$167:C238,1)=1,1,0),0)</f>
        <v>0</v>
      </c>
    </row>
    <row r="239" customFormat="false" ht="15" hidden="false" customHeight="false" outlineLevel="0" collapsed="false">
      <c r="A239" s="11"/>
      <c r="B239" s="11"/>
      <c r="C239" s="11"/>
      <c r="D239" s="11"/>
      <c r="E239" s="13" t="n">
        <f aca="false">IF(A239&lt;&gt;"",IF(COUNTIF(A$167:A239,A239)=1,1,0),0)</f>
        <v>0</v>
      </c>
      <c r="F239" s="13" t="n">
        <f aca="false">IF(AND(A239&lt;&gt;"",D239=1,C239=1),IF(COUNTIFS(A$167:A239,A239,D$167:D239,1,C$167:C239,1)=1,1,0),0)</f>
        <v>0</v>
      </c>
    </row>
    <row r="240" customFormat="false" ht="15" hidden="false" customHeight="false" outlineLevel="0" collapsed="false">
      <c r="A240" s="11"/>
      <c r="B240" s="11"/>
      <c r="C240" s="11"/>
      <c r="D240" s="11"/>
      <c r="E240" s="13" t="n">
        <f aca="false">IF(A240&lt;&gt;"",IF(COUNTIF(A$167:A240,A240)=1,1,0),0)</f>
        <v>0</v>
      </c>
      <c r="F240" s="13" t="n">
        <f aca="false">IF(AND(A240&lt;&gt;"",D240=1,C240=1),IF(COUNTIFS(A$167:A240,A240,D$167:D240,1,C$167:C240,1)=1,1,0),0)</f>
        <v>0</v>
      </c>
    </row>
    <row r="241" customFormat="false" ht="15" hidden="false" customHeight="false" outlineLevel="0" collapsed="false">
      <c r="A241" s="11"/>
      <c r="B241" s="11"/>
      <c r="C241" s="11"/>
      <c r="D241" s="11"/>
      <c r="E241" s="13" t="n">
        <f aca="false">IF(A241&lt;&gt;"",IF(COUNTIF(A$167:A241,A241)=1,1,0),0)</f>
        <v>0</v>
      </c>
      <c r="F241" s="13" t="n">
        <f aca="false">IF(AND(A241&lt;&gt;"",D241=1,C241=1),IF(COUNTIFS(A$167:A241,A241,D$167:D241,1,C$167:C241,1)=1,1,0),0)</f>
        <v>0</v>
      </c>
    </row>
    <row r="242" customFormat="false" ht="15" hidden="false" customHeight="false" outlineLevel="0" collapsed="false">
      <c r="A242" s="11"/>
      <c r="B242" s="11"/>
      <c r="C242" s="11"/>
      <c r="D242" s="11"/>
      <c r="E242" s="13" t="n">
        <f aca="false">IF(A242&lt;&gt;"",IF(COUNTIF(A$167:A242,A242)=1,1,0),0)</f>
        <v>0</v>
      </c>
      <c r="F242" s="13" t="n">
        <f aca="false">IF(AND(A242&lt;&gt;"",D242=1,C242=1),IF(COUNTIFS(A$167:A242,A242,D$167:D242,1,C$167:C242,1)=1,1,0),0)</f>
        <v>0</v>
      </c>
    </row>
    <row r="243" customFormat="false" ht="15" hidden="false" customHeight="false" outlineLevel="0" collapsed="false">
      <c r="A243" s="11"/>
      <c r="B243" s="11"/>
      <c r="C243" s="11"/>
      <c r="D243" s="11"/>
      <c r="E243" s="13" t="n">
        <f aca="false">IF(A243&lt;&gt;"",IF(COUNTIF(A$167:A243,A243)=1,1,0),0)</f>
        <v>0</v>
      </c>
      <c r="F243" s="13" t="n">
        <f aca="false">IF(AND(A243&lt;&gt;"",D243=1,C243=1),IF(COUNTIFS(A$167:A243,A243,D$167:D243,1,C$167:C243,1)=1,1,0),0)</f>
        <v>0</v>
      </c>
    </row>
    <row r="244" customFormat="false" ht="15" hidden="false" customHeight="false" outlineLevel="0" collapsed="false">
      <c r="A244" s="11"/>
      <c r="B244" s="11"/>
      <c r="C244" s="11"/>
      <c r="D244" s="11"/>
      <c r="E244" s="13" t="n">
        <f aca="false">IF(A244&lt;&gt;"",IF(COUNTIF(A$167:A244,A244)=1,1,0),0)</f>
        <v>0</v>
      </c>
      <c r="F244" s="13" t="n">
        <f aca="false">IF(AND(A244&lt;&gt;"",D244=1,C244=1),IF(COUNTIFS(A$167:A244,A244,D$167:D244,1,C$167:C244,1)=1,1,0),0)</f>
        <v>0</v>
      </c>
    </row>
    <row r="245" customFormat="false" ht="15" hidden="false" customHeight="false" outlineLevel="0" collapsed="false">
      <c r="A245" s="11"/>
      <c r="B245" s="11"/>
      <c r="C245" s="11"/>
      <c r="D245" s="11"/>
      <c r="E245" s="13" t="n">
        <f aca="false">IF(A245&lt;&gt;"",IF(COUNTIF(A$167:A245,A245)=1,1,0),0)</f>
        <v>0</v>
      </c>
      <c r="F245" s="13" t="n">
        <f aca="false">IF(AND(A245&lt;&gt;"",D245=1,C245=1),IF(COUNTIFS(A$167:A245,A245,D$167:D245,1,C$167:C245,1)=1,1,0),0)</f>
        <v>0</v>
      </c>
    </row>
    <row r="246" customFormat="false" ht="15" hidden="false" customHeight="false" outlineLevel="0" collapsed="false">
      <c r="A246" s="11"/>
      <c r="B246" s="11"/>
      <c r="C246" s="11"/>
      <c r="D246" s="11"/>
      <c r="E246" s="13" t="n">
        <f aca="false">IF(A246&lt;&gt;"",IF(COUNTIF(A$167:A246,A246)=1,1,0),0)</f>
        <v>0</v>
      </c>
      <c r="F246" s="13" t="n">
        <f aca="false">IF(AND(A246&lt;&gt;"",D246=1,C246=1),IF(COUNTIFS(A$167:A246,A246,D$167:D246,1,C$167:C246,1)=1,1,0),0)</f>
        <v>0</v>
      </c>
    </row>
    <row r="247" customFormat="false" ht="15" hidden="false" customHeight="false" outlineLevel="0" collapsed="false">
      <c r="A247" s="11"/>
      <c r="B247" s="11"/>
      <c r="C247" s="11"/>
      <c r="D247" s="11"/>
      <c r="E247" s="13" t="n">
        <f aca="false">IF(A247&lt;&gt;"",IF(COUNTIF(A$167:A247,A247)=1,1,0),0)</f>
        <v>0</v>
      </c>
      <c r="F247" s="13" t="n">
        <f aca="false">IF(AND(A247&lt;&gt;"",D247=1,C247=1),IF(COUNTIFS(A$167:A247,A247,D$167:D247,1,C$167:C247,1)=1,1,0),0)</f>
        <v>0</v>
      </c>
    </row>
    <row r="248" customFormat="false" ht="15" hidden="false" customHeight="false" outlineLevel="0" collapsed="false">
      <c r="A248" s="11"/>
      <c r="B248" s="11"/>
      <c r="C248" s="11"/>
      <c r="D248" s="11"/>
      <c r="E248" s="13" t="n">
        <f aca="false">IF(A248&lt;&gt;"",IF(COUNTIF(A$167:A248,A248)=1,1,0),0)</f>
        <v>0</v>
      </c>
      <c r="F248" s="13" t="n">
        <f aca="false">IF(AND(A248&lt;&gt;"",D248=1,C248=1),IF(COUNTIFS(A$167:A248,A248,D$167:D248,1,C$167:C248,1)=1,1,0),0)</f>
        <v>0</v>
      </c>
    </row>
    <row r="249" customFormat="false" ht="15" hidden="false" customHeight="false" outlineLevel="0" collapsed="false">
      <c r="A249" s="11"/>
      <c r="B249" s="11"/>
      <c r="C249" s="11"/>
      <c r="D249" s="11"/>
      <c r="E249" s="13" t="n">
        <f aca="false">IF(A249&lt;&gt;"",IF(COUNTIF(A$167:A249,A249)=1,1,0),0)</f>
        <v>0</v>
      </c>
      <c r="F249" s="13" t="n">
        <f aca="false">IF(AND(A249&lt;&gt;"",D249=1,C249=1),IF(COUNTIFS(A$167:A249,A249,D$167:D249,1,C$167:C249,1)=1,1,0),0)</f>
        <v>0</v>
      </c>
    </row>
    <row r="250" customFormat="false" ht="15" hidden="false" customHeight="false" outlineLevel="0" collapsed="false">
      <c r="A250" s="11"/>
      <c r="B250" s="11"/>
      <c r="C250" s="11"/>
      <c r="D250" s="11"/>
      <c r="E250" s="13" t="n">
        <f aca="false">IF(A250&lt;&gt;"",IF(COUNTIF(A$167:A250,A250)=1,1,0),0)</f>
        <v>0</v>
      </c>
      <c r="F250" s="13" t="n">
        <f aca="false">IF(AND(A250&lt;&gt;"",D250=1,C250=1),IF(COUNTIFS(A$167:A250,A250,D$167:D250,1,C$167:C250,1)=1,1,0),0)</f>
        <v>0</v>
      </c>
    </row>
    <row r="251" customFormat="false" ht="15" hidden="false" customHeight="false" outlineLevel="0" collapsed="false">
      <c r="A251" s="11"/>
      <c r="B251" s="11"/>
      <c r="C251" s="11"/>
      <c r="D251" s="11"/>
      <c r="E251" s="13" t="n">
        <f aca="false">IF(A251&lt;&gt;"",IF(COUNTIF(A$167:A251,A251)=1,1,0),0)</f>
        <v>0</v>
      </c>
      <c r="F251" s="13" t="n">
        <f aca="false">IF(AND(A251&lt;&gt;"",D251=1,C251=1),IF(COUNTIFS(A$167:A251,A251,D$167:D251,1,C$167:C251,1)=1,1,0),0)</f>
        <v>0</v>
      </c>
    </row>
    <row r="252" customFormat="false" ht="15" hidden="false" customHeight="false" outlineLevel="0" collapsed="false">
      <c r="A252" s="11"/>
      <c r="B252" s="11"/>
      <c r="C252" s="11"/>
      <c r="D252" s="11"/>
      <c r="E252" s="13" t="n">
        <f aca="false">IF(A252&lt;&gt;"",IF(COUNTIF(A$167:A252,A252)=1,1,0),0)</f>
        <v>0</v>
      </c>
      <c r="F252" s="13" t="n">
        <f aca="false">IF(AND(A252&lt;&gt;"",D252=1,C252=1),IF(COUNTIFS(A$167:A252,A252,D$167:D252,1,C$167:C252,1)=1,1,0),0)</f>
        <v>0</v>
      </c>
    </row>
    <row r="253" customFormat="false" ht="15" hidden="false" customHeight="false" outlineLevel="0" collapsed="false">
      <c r="A253" s="11"/>
      <c r="B253" s="11"/>
      <c r="C253" s="11"/>
      <c r="D253" s="11"/>
      <c r="E253" s="13" t="n">
        <f aca="false">IF(A253&lt;&gt;"",IF(COUNTIF(A$167:A253,A253)=1,1,0),0)</f>
        <v>0</v>
      </c>
      <c r="F253" s="13" t="n">
        <f aca="false">IF(AND(A253&lt;&gt;"",D253=1,C253=1),IF(COUNTIFS(A$167:A253,A253,D$167:D253,1,C$167:C253,1)=1,1,0),0)</f>
        <v>0</v>
      </c>
    </row>
    <row r="254" customFormat="false" ht="15" hidden="false" customHeight="false" outlineLevel="0" collapsed="false">
      <c r="A254" s="11"/>
      <c r="B254" s="11"/>
      <c r="C254" s="11"/>
      <c r="D254" s="11"/>
      <c r="E254" s="13" t="n">
        <f aca="false">IF(A254&lt;&gt;"",IF(COUNTIF(A$167:A254,A254)=1,1,0),0)</f>
        <v>0</v>
      </c>
      <c r="F254" s="13" t="n">
        <f aca="false">IF(AND(A254&lt;&gt;"",D254=1,C254=1),IF(COUNTIFS(A$167:A254,A254,D$167:D254,1,C$167:C254,1)=1,1,0),0)</f>
        <v>0</v>
      </c>
    </row>
    <row r="255" customFormat="false" ht="15" hidden="false" customHeight="false" outlineLevel="0" collapsed="false">
      <c r="A255" s="11"/>
      <c r="B255" s="11"/>
      <c r="C255" s="11"/>
      <c r="D255" s="11"/>
      <c r="E255" s="13" t="n">
        <f aca="false">IF(A255&lt;&gt;"",IF(COUNTIF(A$167:A255,A255)=1,1,0),0)</f>
        <v>0</v>
      </c>
      <c r="F255" s="13" t="n">
        <f aca="false">IF(AND(A255&lt;&gt;"",D255=1,C255=1),IF(COUNTIFS(A$167:A255,A255,D$167:D255,1,C$167:C255,1)=1,1,0),0)</f>
        <v>0</v>
      </c>
    </row>
    <row r="256" customFormat="false" ht="15" hidden="false" customHeight="false" outlineLevel="0" collapsed="false">
      <c r="A256" s="11"/>
      <c r="B256" s="11"/>
      <c r="C256" s="11"/>
      <c r="D256" s="11"/>
      <c r="E256" s="13" t="n">
        <f aca="false">IF(A256&lt;&gt;"",IF(COUNTIF(A$167:A256,A256)=1,1,0),0)</f>
        <v>0</v>
      </c>
      <c r="F256" s="13" t="n">
        <f aca="false">IF(AND(A256&lt;&gt;"",D256=1,C256=1),IF(COUNTIFS(A$167:A256,A256,D$167:D256,1,C$167:C256,1)=1,1,0),0)</f>
        <v>0</v>
      </c>
    </row>
    <row r="257" customFormat="false" ht="15" hidden="false" customHeight="false" outlineLevel="0" collapsed="false">
      <c r="A257" s="11"/>
      <c r="B257" s="11"/>
      <c r="C257" s="11"/>
      <c r="D257" s="11"/>
      <c r="E257" s="13" t="n">
        <f aca="false">IF(A257&lt;&gt;"",IF(COUNTIF(A$167:A257,A257)=1,1,0),0)</f>
        <v>0</v>
      </c>
      <c r="F257" s="13" t="n">
        <f aca="false">IF(AND(A257&lt;&gt;"",D257=1,C257=1),IF(COUNTIFS(A$167:A257,A257,D$167:D257,1,C$167:C257,1)=1,1,0),0)</f>
        <v>0</v>
      </c>
    </row>
    <row r="258" customFormat="false" ht="15" hidden="false" customHeight="false" outlineLevel="0" collapsed="false">
      <c r="A258" s="11"/>
      <c r="B258" s="11"/>
      <c r="C258" s="11"/>
      <c r="D258" s="11"/>
      <c r="E258" s="13" t="n">
        <f aca="false">IF(A258&lt;&gt;"",IF(COUNTIF(A$167:A258,A258)=1,1,0),0)</f>
        <v>0</v>
      </c>
      <c r="F258" s="13" t="n">
        <f aca="false">IF(AND(A258&lt;&gt;"",D258=1,C258=1),IF(COUNTIFS(A$167:A258,A258,D$167:D258,1,C$167:C258,1)=1,1,0),0)</f>
        <v>0</v>
      </c>
    </row>
    <row r="259" customFormat="false" ht="15" hidden="false" customHeight="false" outlineLevel="0" collapsed="false">
      <c r="A259" s="11"/>
      <c r="B259" s="11"/>
      <c r="C259" s="11"/>
      <c r="D259" s="11"/>
      <c r="E259" s="13" t="n">
        <f aca="false">IF(A259&lt;&gt;"",IF(COUNTIF(A$167:A259,A259)=1,1,0),0)</f>
        <v>0</v>
      </c>
      <c r="F259" s="13" t="n">
        <f aca="false">IF(AND(A259&lt;&gt;"",D259=1,C259=1),IF(COUNTIFS(A$167:A259,A259,D$167:D259,1,C$167:C259,1)=1,1,0),0)</f>
        <v>0</v>
      </c>
    </row>
    <row r="260" customFormat="false" ht="15" hidden="false" customHeight="false" outlineLevel="0" collapsed="false">
      <c r="A260" s="11"/>
      <c r="B260" s="11"/>
      <c r="C260" s="11"/>
      <c r="D260" s="11"/>
      <c r="E260" s="13" t="n">
        <f aca="false">IF(A260&lt;&gt;"",IF(COUNTIF(A$167:A260,A260)=1,1,0),0)</f>
        <v>0</v>
      </c>
      <c r="F260" s="13" t="n">
        <f aca="false">IF(AND(A260&lt;&gt;"",D260=1,C260=1),IF(COUNTIFS(A$167:A260,A260,D$167:D260,1,C$167:C260,1)=1,1,0),0)</f>
        <v>0</v>
      </c>
    </row>
    <row r="261" customFormat="false" ht="15" hidden="false" customHeight="false" outlineLevel="0" collapsed="false">
      <c r="A261" s="11"/>
      <c r="B261" s="11"/>
      <c r="C261" s="11"/>
      <c r="D261" s="11"/>
      <c r="E261" s="13" t="n">
        <f aca="false">IF(A261&lt;&gt;"",IF(COUNTIF(A$167:A261,A261)=1,1,0),0)</f>
        <v>0</v>
      </c>
      <c r="F261" s="13" t="n">
        <f aca="false">IF(AND(A261&lt;&gt;"",D261=1,C261=1),IF(COUNTIFS(A$167:A261,A261,D$167:D261,1,C$167:C261,1)=1,1,0),0)</f>
        <v>0</v>
      </c>
    </row>
    <row r="262" customFormat="false" ht="15" hidden="false" customHeight="false" outlineLevel="0" collapsed="false">
      <c r="A262" s="11"/>
      <c r="B262" s="11"/>
      <c r="C262" s="11"/>
      <c r="D262" s="11"/>
      <c r="E262" s="13" t="n">
        <f aca="false">IF(A262&lt;&gt;"",IF(COUNTIF(A$167:A262,A262)=1,1,0),0)</f>
        <v>0</v>
      </c>
      <c r="F262" s="13" t="n">
        <f aca="false">IF(AND(A262&lt;&gt;"",D262=1,C262=1),IF(COUNTIFS(A$167:A262,A262,D$167:D262,1,C$167:C262,1)=1,1,0),0)</f>
        <v>0</v>
      </c>
    </row>
    <row r="263" customFormat="false" ht="15" hidden="false" customHeight="false" outlineLevel="0" collapsed="false">
      <c r="A263" s="11"/>
      <c r="B263" s="11"/>
      <c r="C263" s="11"/>
      <c r="D263" s="11"/>
      <c r="E263" s="13" t="n">
        <f aca="false">IF(A263&lt;&gt;"",IF(COUNTIF(A$167:A263,A263)=1,1,0),0)</f>
        <v>0</v>
      </c>
      <c r="F263" s="13" t="n">
        <f aca="false">IF(AND(A263&lt;&gt;"",D263=1,C263=1),IF(COUNTIFS(A$167:A263,A263,D$167:D263,1,C$167:C263,1)=1,1,0),0)</f>
        <v>0</v>
      </c>
    </row>
    <row r="264" customFormat="false" ht="15" hidden="false" customHeight="false" outlineLevel="0" collapsed="false">
      <c r="A264" s="11"/>
      <c r="B264" s="11"/>
      <c r="C264" s="11"/>
      <c r="D264" s="11"/>
      <c r="E264" s="13" t="n">
        <f aca="false">IF(A264&lt;&gt;"",IF(COUNTIF(A$167:A264,A264)=1,1,0),0)</f>
        <v>0</v>
      </c>
      <c r="F264" s="13" t="n">
        <f aca="false">IF(AND(A264&lt;&gt;"",D264=1,C264=1),IF(COUNTIFS(A$167:A264,A264,D$167:D264,1,C$167:C264,1)=1,1,0),0)</f>
        <v>0</v>
      </c>
    </row>
    <row r="265" customFormat="false" ht="15" hidden="false" customHeight="false" outlineLevel="0" collapsed="false">
      <c r="A265" s="11"/>
      <c r="B265" s="11"/>
      <c r="C265" s="11"/>
      <c r="D265" s="11"/>
      <c r="E265" s="13" t="n">
        <f aca="false">IF(A265&lt;&gt;"",IF(COUNTIF(A$167:A265,A265)=1,1,0),0)</f>
        <v>0</v>
      </c>
      <c r="F265" s="13" t="n">
        <f aca="false">IF(AND(A265&lt;&gt;"",D265=1,C265=1),IF(COUNTIFS(A$167:A265,A265,D$167:D265,1,C$167:C265,1)=1,1,0),0)</f>
        <v>0</v>
      </c>
    </row>
    <row r="266" customFormat="false" ht="15" hidden="false" customHeight="false" outlineLevel="0" collapsed="false">
      <c r="A266" s="11"/>
      <c r="B266" s="11"/>
      <c r="C266" s="11"/>
      <c r="D266" s="11"/>
      <c r="E266" s="13" t="n">
        <f aca="false">IF(A266&lt;&gt;"",IF(COUNTIF(A$167:A266,A266)=1,1,0),0)</f>
        <v>0</v>
      </c>
      <c r="F266" s="13" t="n">
        <f aca="false">IF(AND(A266&lt;&gt;"",D266=1,C266=1),IF(COUNTIFS(A$167:A266,A266,D$167:D266,1,C$167:C266,1)=1,1,0),0)</f>
        <v>0</v>
      </c>
    </row>
    <row r="267" customFormat="false" ht="15" hidden="false" customHeight="false" outlineLevel="0" collapsed="false">
      <c r="A267" s="11"/>
      <c r="B267" s="11"/>
      <c r="C267" s="11"/>
      <c r="D267" s="11"/>
      <c r="E267" s="13" t="n">
        <f aca="false">IF(A267&lt;&gt;"",IF(COUNTIF(A$167:A267,A267)=1,1,0),0)</f>
        <v>0</v>
      </c>
      <c r="F267" s="13" t="n">
        <f aca="false">IF(AND(A267&lt;&gt;"",D267=1,C267=1),IF(COUNTIFS(A$167:A267,A267,D$167:D267,1,C$167:C267,1)=1,1,0),0)</f>
        <v>0</v>
      </c>
    </row>
    <row r="268" customFormat="false" ht="15" hidden="false" customHeight="false" outlineLevel="0" collapsed="false">
      <c r="A268" s="11"/>
      <c r="B268" s="11"/>
      <c r="C268" s="11"/>
      <c r="D268" s="11"/>
      <c r="E268" s="13" t="n">
        <f aca="false">IF(A268&lt;&gt;"",IF(COUNTIF(A$167:A268,A268)=1,1,0),0)</f>
        <v>0</v>
      </c>
      <c r="F268" s="13" t="n">
        <f aca="false">IF(AND(A268&lt;&gt;"",D268=1,C268=1),IF(COUNTIFS(A$167:A268,A268,D$167:D268,1,C$167:C268,1)=1,1,0),0)</f>
        <v>0</v>
      </c>
    </row>
    <row r="269" customFormat="false" ht="15" hidden="false" customHeight="false" outlineLevel="0" collapsed="false">
      <c r="A269" s="11"/>
      <c r="B269" s="11"/>
      <c r="C269" s="11"/>
      <c r="D269" s="11"/>
      <c r="E269" s="13" t="n">
        <f aca="false">IF(A269&lt;&gt;"",IF(COUNTIF(A$167:A269,A269)=1,1,0),0)</f>
        <v>0</v>
      </c>
      <c r="F269" s="13" t="n">
        <f aca="false">IF(AND(A269&lt;&gt;"",D269=1,C269=1),IF(COUNTIFS(A$167:A269,A269,D$167:D269,1,C$167:C269,1)=1,1,0),0)</f>
        <v>0</v>
      </c>
    </row>
    <row r="270" customFormat="false" ht="15" hidden="false" customHeight="false" outlineLevel="0" collapsed="false">
      <c r="A270" s="11"/>
      <c r="B270" s="11"/>
      <c r="C270" s="11"/>
      <c r="D270" s="11"/>
      <c r="E270" s="13" t="n">
        <f aca="false">IF(A270&lt;&gt;"",IF(COUNTIF(A$167:A270,A270)=1,1,0),0)</f>
        <v>0</v>
      </c>
      <c r="F270" s="13" t="n">
        <f aca="false">IF(AND(A270&lt;&gt;"",D270=1,C270=1),IF(COUNTIFS(A$167:A270,A270,D$167:D270,1,C$167:C270,1)=1,1,0),0)</f>
        <v>0</v>
      </c>
    </row>
    <row r="271" customFormat="false" ht="15" hidden="false" customHeight="false" outlineLevel="0" collapsed="false">
      <c r="A271" s="11"/>
      <c r="B271" s="11"/>
      <c r="C271" s="11"/>
      <c r="D271" s="11"/>
      <c r="E271" s="13" t="n">
        <f aca="false">IF(A271&lt;&gt;"",IF(COUNTIF(A$167:A271,A271)=1,1,0),0)</f>
        <v>0</v>
      </c>
      <c r="F271" s="13" t="n">
        <f aca="false">IF(AND(A271&lt;&gt;"",D271=1,C271=1),IF(COUNTIFS(A$167:A271,A271,D$167:D271,1,C$167:C271,1)=1,1,0),0)</f>
        <v>0</v>
      </c>
    </row>
    <row r="272" customFormat="false" ht="15" hidden="false" customHeight="false" outlineLevel="0" collapsed="false">
      <c r="A272" s="11"/>
      <c r="B272" s="11"/>
      <c r="C272" s="11"/>
      <c r="D272" s="11"/>
      <c r="E272" s="13" t="n">
        <f aca="false">IF(A272&lt;&gt;"",IF(COUNTIF(A$167:A272,A272)=1,1,0),0)</f>
        <v>0</v>
      </c>
      <c r="F272" s="13" t="n">
        <f aca="false">IF(AND(A272&lt;&gt;"",D272=1,C272=1),IF(COUNTIFS(A$167:A272,A272,D$167:D272,1,C$167:C272,1)=1,1,0),0)</f>
        <v>0</v>
      </c>
    </row>
    <row r="273" customFormat="false" ht="15" hidden="false" customHeight="false" outlineLevel="0" collapsed="false">
      <c r="A273" s="11"/>
      <c r="B273" s="11"/>
      <c r="C273" s="11"/>
      <c r="D273" s="11"/>
      <c r="E273" s="13" t="n">
        <f aca="false">IF(A273&lt;&gt;"",IF(COUNTIF(A$167:A273,A273)=1,1,0),0)</f>
        <v>0</v>
      </c>
      <c r="F273" s="13" t="n">
        <f aca="false">IF(AND(A273&lt;&gt;"",D273=1,C273=1),IF(COUNTIFS(A$167:A273,A273,D$167:D273,1,C$167:C273,1)=1,1,0),0)</f>
        <v>0</v>
      </c>
    </row>
    <row r="274" customFormat="false" ht="15" hidden="false" customHeight="false" outlineLevel="0" collapsed="false">
      <c r="A274" s="11"/>
      <c r="B274" s="11"/>
      <c r="C274" s="11"/>
      <c r="D274" s="11"/>
      <c r="E274" s="13" t="n">
        <f aca="false">IF(A274&lt;&gt;"",IF(COUNTIF(A$167:A274,A274)=1,1,0),0)</f>
        <v>0</v>
      </c>
      <c r="F274" s="13" t="n">
        <f aca="false">IF(AND(A274&lt;&gt;"",D274=1,C274=1),IF(COUNTIFS(A$167:A274,A274,D$167:D274,1,C$167:C274,1)=1,1,0),0)</f>
        <v>0</v>
      </c>
    </row>
    <row r="275" customFormat="false" ht="15" hidden="false" customHeight="false" outlineLevel="0" collapsed="false">
      <c r="A275" s="11"/>
      <c r="B275" s="11"/>
      <c r="C275" s="11"/>
      <c r="D275" s="11"/>
      <c r="E275" s="13" t="n">
        <f aca="false">IF(A275&lt;&gt;"",IF(COUNTIF(A$167:A275,A275)=1,1,0),0)</f>
        <v>0</v>
      </c>
      <c r="F275" s="13" t="n">
        <f aca="false">IF(AND(A275&lt;&gt;"",D275=1,C275=1),IF(COUNTIFS(A$167:A275,A275,D$167:D275,1,C$167:C275,1)=1,1,0),0)</f>
        <v>0</v>
      </c>
    </row>
    <row r="276" customFormat="false" ht="15" hidden="false" customHeight="false" outlineLevel="0" collapsed="false">
      <c r="A276" s="11"/>
      <c r="B276" s="11"/>
      <c r="C276" s="11"/>
      <c r="D276" s="11"/>
      <c r="E276" s="13" t="n">
        <f aca="false">IF(A276&lt;&gt;"",IF(COUNTIF(A$167:A276,A276)=1,1,0),0)</f>
        <v>0</v>
      </c>
      <c r="F276" s="13" t="n">
        <f aca="false">IF(AND(A276&lt;&gt;"",D276=1,C276=1),IF(COUNTIFS(A$167:A276,A276,D$167:D276,1,C$167:C276,1)=1,1,0),0)</f>
        <v>0</v>
      </c>
    </row>
    <row r="277" customFormat="false" ht="15" hidden="false" customHeight="false" outlineLevel="0" collapsed="false">
      <c r="A277" s="11"/>
      <c r="B277" s="11"/>
      <c r="C277" s="11"/>
      <c r="D277" s="11"/>
      <c r="E277" s="13" t="n">
        <f aca="false">IF(A277&lt;&gt;"",IF(COUNTIF(A$167:A277,A277)=1,1,0),0)</f>
        <v>0</v>
      </c>
      <c r="F277" s="13" t="n">
        <f aca="false">IF(AND(A277&lt;&gt;"",D277=1,C277=1),IF(COUNTIFS(A$167:A277,A277,D$167:D277,1,C$167:C277,1)=1,1,0),0)</f>
        <v>0</v>
      </c>
    </row>
    <row r="278" customFormat="false" ht="15" hidden="false" customHeight="false" outlineLevel="0" collapsed="false">
      <c r="A278" s="11"/>
      <c r="B278" s="11"/>
      <c r="C278" s="11"/>
      <c r="D278" s="11"/>
      <c r="E278" s="13" t="n">
        <f aca="false">IF(A278&lt;&gt;"",IF(COUNTIF(A$167:A278,A278)=1,1,0),0)</f>
        <v>0</v>
      </c>
      <c r="F278" s="13" t="n">
        <f aca="false">IF(AND(A278&lt;&gt;"",D278=1,C278=1),IF(COUNTIFS(A$167:A278,A278,D$167:D278,1,C$167:C278,1)=1,1,0),0)</f>
        <v>0</v>
      </c>
    </row>
    <row r="279" customFormat="false" ht="15" hidden="false" customHeight="false" outlineLevel="0" collapsed="false">
      <c r="A279" s="11"/>
      <c r="B279" s="11"/>
      <c r="C279" s="11"/>
      <c r="D279" s="11"/>
      <c r="E279" s="13" t="n">
        <f aca="false">IF(A279&lt;&gt;"",IF(COUNTIF(A$167:A279,A279)=1,1,0),0)</f>
        <v>0</v>
      </c>
      <c r="F279" s="13" t="n">
        <f aca="false">IF(AND(A279&lt;&gt;"",D279=1,C279=1),IF(COUNTIFS(A$167:A279,A279,D$167:D279,1,C$167:C279,1)=1,1,0),0)</f>
        <v>0</v>
      </c>
    </row>
    <row r="280" customFormat="false" ht="15" hidden="false" customHeight="false" outlineLevel="0" collapsed="false">
      <c r="A280" s="11"/>
      <c r="B280" s="11"/>
      <c r="C280" s="11"/>
      <c r="D280" s="11"/>
      <c r="E280" s="13" t="n">
        <f aca="false">IF(A280&lt;&gt;"",IF(COUNTIF(A$167:A280,A280)=1,1,0),0)</f>
        <v>0</v>
      </c>
      <c r="F280" s="13" t="n">
        <f aca="false">IF(AND(A280&lt;&gt;"",D280=1,C280=1),IF(COUNTIFS(A$167:A280,A280,D$167:D280,1,C$167:C280,1)=1,1,0),0)</f>
        <v>0</v>
      </c>
    </row>
    <row r="281" customFormat="false" ht="15" hidden="false" customHeight="false" outlineLevel="0" collapsed="false">
      <c r="A281" s="11"/>
      <c r="B281" s="11"/>
      <c r="C281" s="11"/>
      <c r="D281" s="11"/>
      <c r="E281" s="13" t="n">
        <f aca="false">IF(A281&lt;&gt;"",IF(COUNTIF(A$167:A281,A281)=1,1,0),0)</f>
        <v>0</v>
      </c>
      <c r="F281" s="13" t="n">
        <f aca="false">IF(AND(A281&lt;&gt;"",D281=1,C281=1),IF(COUNTIFS(A$167:A281,A281,D$167:D281,1,C$167:C281,1)=1,1,0),0)</f>
        <v>0</v>
      </c>
    </row>
    <row r="282" customFormat="false" ht="15" hidden="false" customHeight="false" outlineLevel="0" collapsed="false">
      <c r="A282" s="11"/>
      <c r="B282" s="11"/>
      <c r="C282" s="11"/>
      <c r="D282" s="11"/>
      <c r="E282" s="13" t="n">
        <f aca="false">IF(A282&lt;&gt;"",IF(COUNTIF(A$167:A282,A282)=1,1,0),0)</f>
        <v>0</v>
      </c>
      <c r="F282" s="13" t="n">
        <f aca="false">IF(AND(A282&lt;&gt;"",D282=1,C282=1),IF(COUNTIFS(A$167:A282,A282,D$167:D282,1,C$167:C282,1)=1,1,0),0)</f>
        <v>0</v>
      </c>
    </row>
    <row r="283" customFormat="false" ht="15" hidden="false" customHeight="false" outlineLevel="0" collapsed="false">
      <c r="A283" s="11"/>
      <c r="B283" s="11"/>
      <c r="C283" s="11"/>
      <c r="D283" s="11"/>
      <c r="E283" s="13" t="n">
        <f aca="false">IF(A283&lt;&gt;"",IF(COUNTIF(A$167:A283,A283)=1,1,0),0)</f>
        <v>0</v>
      </c>
      <c r="F283" s="13" t="n">
        <f aca="false">IF(AND(A283&lt;&gt;"",D283=1,C283=1),IF(COUNTIFS(A$167:A283,A283,D$167:D283,1,C$167:C283,1)=1,1,0),0)</f>
        <v>0</v>
      </c>
    </row>
    <row r="284" customFormat="false" ht="15" hidden="false" customHeight="false" outlineLevel="0" collapsed="false">
      <c r="A284" s="11"/>
      <c r="B284" s="11"/>
      <c r="C284" s="11"/>
      <c r="D284" s="11"/>
      <c r="E284" s="13" t="n">
        <f aca="false">IF(A284&lt;&gt;"",IF(COUNTIF(A$167:A284,A284)=1,1,0),0)</f>
        <v>0</v>
      </c>
      <c r="F284" s="13" t="n">
        <f aca="false">IF(AND(A284&lt;&gt;"",D284=1,C284=1),IF(COUNTIFS(A$167:A284,A284,D$167:D284,1,C$167:C284,1)=1,1,0),0)</f>
        <v>0</v>
      </c>
    </row>
    <row r="285" customFormat="false" ht="15" hidden="false" customHeight="false" outlineLevel="0" collapsed="false">
      <c r="A285" s="11"/>
      <c r="B285" s="11"/>
      <c r="C285" s="11"/>
      <c r="D285" s="11"/>
      <c r="E285" s="13" t="n">
        <f aca="false">IF(A285&lt;&gt;"",IF(COUNTIF(A$167:A285,A285)=1,1,0),0)</f>
        <v>0</v>
      </c>
      <c r="F285" s="13" t="n">
        <f aca="false">IF(AND(A285&lt;&gt;"",D285=1,C285=1),IF(COUNTIFS(A$167:A285,A285,D$167:D285,1,C$167:C285,1)=1,1,0),0)</f>
        <v>0</v>
      </c>
    </row>
    <row r="286" customFormat="false" ht="15" hidden="false" customHeight="false" outlineLevel="0" collapsed="false">
      <c r="A286" s="11"/>
      <c r="B286" s="11"/>
      <c r="C286" s="11"/>
      <c r="D286" s="11"/>
      <c r="E286" s="13" t="n">
        <f aca="false">IF(A286&lt;&gt;"",IF(COUNTIF(A$167:A286,A286)=1,1,0),0)</f>
        <v>0</v>
      </c>
      <c r="F286" s="13" t="n">
        <f aca="false">IF(AND(A286&lt;&gt;"",D286=1,C286=1),IF(COUNTIFS(A$167:A286,A286,D$167:D286,1,C$167:C286,1)=1,1,0),0)</f>
        <v>0</v>
      </c>
    </row>
    <row r="287" customFormat="false" ht="15" hidden="false" customHeight="false" outlineLevel="0" collapsed="false">
      <c r="A287" s="11"/>
      <c r="B287" s="11"/>
      <c r="C287" s="11"/>
      <c r="D287" s="11"/>
      <c r="E287" s="13" t="n">
        <f aca="false">IF(A287&lt;&gt;"",IF(COUNTIF(A$167:A287,A287)=1,1,0),0)</f>
        <v>0</v>
      </c>
      <c r="F287" s="13" t="n">
        <f aca="false">IF(AND(A287&lt;&gt;"",D287=1,C287=1),IF(COUNTIFS(A$167:A287,A287,D$167:D287,1,C$167:C287,1)=1,1,0),0)</f>
        <v>0</v>
      </c>
    </row>
    <row r="288" customFormat="false" ht="15" hidden="false" customHeight="false" outlineLevel="0" collapsed="false">
      <c r="A288" s="11"/>
      <c r="B288" s="11"/>
      <c r="C288" s="11"/>
      <c r="D288" s="11"/>
      <c r="E288" s="13" t="n">
        <f aca="false">IF(A288&lt;&gt;"",IF(COUNTIF(A$167:A288,A288)=1,1,0),0)</f>
        <v>0</v>
      </c>
      <c r="F288" s="13" t="n">
        <f aca="false">IF(AND(A288&lt;&gt;"",D288=1,C288=1),IF(COUNTIFS(A$167:A288,A288,D$167:D288,1,C$167:C288,1)=1,1,0),0)</f>
        <v>0</v>
      </c>
    </row>
    <row r="289" customFormat="false" ht="15" hidden="false" customHeight="false" outlineLevel="0" collapsed="false">
      <c r="A289" s="11"/>
      <c r="B289" s="11"/>
      <c r="C289" s="11"/>
      <c r="D289" s="11"/>
      <c r="E289" s="13" t="n">
        <f aca="false">IF(A289&lt;&gt;"",IF(COUNTIF(A$167:A289,A289)=1,1,0),0)</f>
        <v>0</v>
      </c>
      <c r="F289" s="13" t="n">
        <f aca="false">IF(AND(A289&lt;&gt;"",D289=1,C289=1),IF(COUNTIFS(A$167:A289,A289,D$167:D289,1,C$167:C289,1)=1,1,0),0)</f>
        <v>0</v>
      </c>
    </row>
    <row r="290" customFormat="false" ht="15" hidden="false" customHeight="false" outlineLevel="0" collapsed="false">
      <c r="A290" s="11"/>
      <c r="B290" s="11"/>
      <c r="C290" s="11"/>
      <c r="D290" s="11"/>
      <c r="E290" s="13" t="n">
        <f aca="false">IF(A290&lt;&gt;"",IF(COUNTIF(A$167:A290,A290)=1,1,0),0)</f>
        <v>0</v>
      </c>
      <c r="F290" s="13" t="n">
        <f aca="false">IF(AND(A290&lt;&gt;"",D290=1,C290=1),IF(COUNTIFS(A$167:A290,A290,D$167:D290,1,C$167:C290,1)=1,1,0),0)</f>
        <v>0</v>
      </c>
    </row>
    <row r="291" customFormat="false" ht="15" hidden="false" customHeight="false" outlineLevel="0" collapsed="false">
      <c r="A291" s="11"/>
      <c r="B291" s="11"/>
      <c r="C291" s="11"/>
      <c r="D291" s="11"/>
      <c r="E291" s="13" t="n">
        <f aca="false">IF(A291&lt;&gt;"",IF(COUNTIF(A$167:A291,A291)=1,1,0),0)</f>
        <v>0</v>
      </c>
      <c r="F291" s="13" t="n">
        <f aca="false">IF(AND(A291&lt;&gt;"",D291=1,C291=1),IF(COUNTIFS(A$167:A291,A291,D$167:D291,1,C$167:C291,1)=1,1,0),0)</f>
        <v>0</v>
      </c>
    </row>
    <row r="292" customFormat="false" ht="15" hidden="false" customHeight="false" outlineLevel="0" collapsed="false">
      <c r="A292" s="11"/>
      <c r="B292" s="11"/>
      <c r="C292" s="11"/>
      <c r="D292" s="11"/>
      <c r="E292" s="13" t="n">
        <f aca="false">IF(A292&lt;&gt;"",IF(COUNTIF(A$167:A292,A292)=1,1,0),0)</f>
        <v>0</v>
      </c>
      <c r="F292" s="13" t="n">
        <f aca="false">IF(AND(A292&lt;&gt;"",D292=1,C292=1),IF(COUNTIFS(A$167:A292,A292,D$167:D292,1,C$167:C292,1)=1,1,0),0)</f>
        <v>0</v>
      </c>
    </row>
    <row r="293" customFormat="false" ht="15" hidden="false" customHeight="false" outlineLevel="0" collapsed="false">
      <c r="A293" s="11"/>
      <c r="B293" s="11"/>
      <c r="C293" s="11"/>
      <c r="D293" s="11"/>
      <c r="E293" s="13" t="n">
        <f aca="false">IF(A293&lt;&gt;"",IF(COUNTIF(A$167:A293,A293)=1,1,0),0)</f>
        <v>0</v>
      </c>
      <c r="F293" s="13" t="n">
        <f aca="false">IF(AND(A293&lt;&gt;"",D293=1,C293=1),IF(COUNTIFS(A$167:A293,A293,D$167:D293,1,C$167:C293,1)=1,1,0),0)</f>
        <v>0</v>
      </c>
    </row>
    <row r="294" customFormat="false" ht="15" hidden="false" customHeight="false" outlineLevel="0" collapsed="false">
      <c r="A294" s="11"/>
      <c r="B294" s="11"/>
      <c r="C294" s="11"/>
      <c r="D294" s="11"/>
      <c r="E294" s="13" t="n">
        <f aca="false">IF(A294&lt;&gt;"",IF(COUNTIF(A$167:A294,A294)=1,1,0),0)</f>
        <v>0</v>
      </c>
      <c r="F294" s="13" t="n">
        <f aca="false">IF(AND(A294&lt;&gt;"",D294=1,C294=1),IF(COUNTIFS(A$167:A294,A294,D$167:D294,1,C$167:C294,1)=1,1,0),0)</f>
        <v>0</v>
      </c>
    </row>
    <row r="295" customFormat="false" ht="15" hidden="false" customHeight="false" outlineLevel="0" collapsed="false">
      <c r="A295" s="11"/>
      <c r="B295" s="11"/>
      <c r="C295" s="11"/>
      <c r="D295" s="11"/>
      <c r="E295" s="13" t="n">
        <f aca="false">IF(A295&lt;&gt;"",IF(COUNTIF(A$167:A295,A295)=1,1,0),0)</f>
        <v>0</v>
      </c>
      <c r="F295" s="13" t="n">
        <f aca="false">IF(AND(A295&lt;&gt;"",D295=1,C295=1),IF(COUNTIFS(A$167:A295,A295,D$167:D295,1,C$167:C295,1)=1,1,0),0)</f>
        <v>0</v>
      </c>
    </row>
    <row r="296" customFormat="false" ht="15" hidden="false" customHeight="false" outlineLevel="0" collapsed="false">
      <c r="A296" s="11"/>
      <c r="B296" s="11"/>
      <c r="C296" s="11"/>
      <c r="D296" s="11"/>
      <c r="E296" s="13" t="n">
        <f aca="false">IF(A296&lt;&gt;"",IF(COUNTIF(A$167:A296,A296)=1,1,0),0)</f>
        <v>0</v>
      </c>
      <c r="F296" s="13" t="n">
        <f aca="false">IF(AND(A296&lt;&gt;"",D296=1,C296=1),IF(COUNTIFS(A$167:A296,A296,D$167:D296,1,C$167:C296,1)=1,1,0),0)</f>
        <v>0</v>
      </c>
    </row>
    <row r="297" customFormat="false" ht="15" hidden="false" customHeight="false" outlineLevel="0" collapsed="false">
      <c r="A297" s="11"/>
      <c r="B297" s="11"/>
      <c r="C297" s="11"/>
      <c r="D297" s="11"/>
      <c r="E297" s="13" t="n">
        <f aca="false">IF(A297&lt;&gt;"",IF(COUNTIF(A$167:A297,A297)=1,1,0),0)</f>
        <v>0</v>
      </c>
      <c r="F297" s="13" t="n">
        <f aca="false">IF(AND(A297&lt;&gt;"",D297=1,C297=1),IF(COUNTIFS(A$167:A297,A297,D$167:D297,1,C$167:C297,1)=1,1,0),0)</f>
        <v>0</v>
      </c>
    </row>
    <row r="298" customFormat="false" ht="15" hidden="false" customHeight="false" outlineLevel="0" collapsed="false">
      <c r="A298" s="11"/>
      <c r="B298" s="11"/>
      <c r="C298" s="11"/>
      <c r="D298" s="11"/>
      <c r="E298" s="13" t="n">
        <f aca="false">IF(A298&lt;&gt;"",IF(COUNTIF(A$167:A298,A298)=1,1,0),0)</f>
        <v>0</v>
      </c>
      <c r="F298" s="13" t="n">
        <f aca="false">IF(AND(A298&lt;&gt;"",D298=1,C298=1),IF(COUNTIFS(A$167:A298,A298,D$167:D298,1,C$167:C298,1)=1,1,0),0)</f>
        <v>0</v>
      </c>
    </row>
    <row r="299" customFormat="false" ht="15" hidden="false" customHeight="false" outlineLevel="0" collapsed="false">
      <c r="A299" s="11"/>
      <c r="B299" s="11"/>
      <c r="C299" s="11"/>
      <c r="D299" s="11"/>
      <c r="E299" s="13" t="n">
        <f aca="false">IF(A299&lt;&gt;"",IF(COUNTIF(A$167:A299,A299)=1,1,0),0)</f>
        <v>0</v>
      </c>
      <c r="F299" s="13" t="n">
        <f aca="false">IF(AND(A299&lt;&gt;"",D299=1,C299=1),IF(COUNTIFS(A$167:A299,A299,D$167:D299,1,C$167:C299,1)=1,1,0),0)</f>
        <v>0</v>
      </c>
    </row>
    <row r="300" customFormat="false" ht="15" hidden="false" customHeight="false" outlineLevel="0" collapsed="false">
      <c r="A300" s="11"/>
      <c r="B300" s="11"/>
      <c r="C300" s="11"/>
      <c r="D300" s="11"/>
      <c r="E300" s="13" t="n">
        <f aca="false">IF(A300&lt;&gt;"",IF(COUNTIF(A$167:A300,A300)=1,1,0),0)</f>
        <v>0</v>
      </c>
      <c r="F300" s="13" t="n">
        <f aca="false">IF(AND(A300&lt;&gt;"",D300=1,C300=1),IF(COUNTIFS(A$167:A300,A300,D$167:D300,1,C$167:C300,1)=1,1,0),0)</f>
        <v>0</v>
      </c>
    </row>
    <row r="301" customFormat="false" ht="15" hidden="false" customHeight="false" outlineLevel="0" collapsed="false">
      <c r="A301" s="11"/>
      <c r="B301" s="11"/>
      <c r="C301" s="11"/>
      <c r="D301" s="11"/>
      <c r="E301" s="13" t="n">
        <f aca="false">IF(A301&lt;&gt;"",IF(COUNTIF(A$167:A301,A301)=1,1,0),0)</f>
        <v>0</v>
      </c>
      <c r="F301" s="13" t="n">
        <f aca="false">IF(AND(A301&lt;&gt;"",D301=1,C301=1),IF(COUNTIFS(A$167:A301,A301,D$167:D301,1,C$167:C301,1)=1,1,0),0)</f>
        <v>0</v>
      </c>
    </row>
    <row r="302" customFormat="false" ht="15" hidden="false" customHeight="false" outlineLevel="0" collapsed="false">
      <c r="A302" s="11"/>
      <c r="B302" s="11"/>
      <c r="C302" s="11"/>
      <c r="D302" s="11"/>
      <c r="E302" s="13" t="n">
        <f aca="false">IF(A302&lt;&gt;"",IF(COUNTIF(A$167:A302,A302)=1,1,0),0)</f>
        <v>0</v>
      </c>
      <c r="F302" s="13" t="n">
        <f aca="false">IF(AND(A302&lt;&gt;"",D302=1,C302=1),IF(COUNTIFS(A$167:A302,A302,D$167:D302,1,C$167:C302,1)=1,1,0),0)</f>
        <v>0</v>
      </c>
    </row>
    <row r="303" customFormat="false" ht="15" hidden="false" customHeight="false" outlineLevel="0" collapsed="false">
      <c r="A303" s="11"/>
      <c r="B303" s="11"/>
      <c r="C303" s="11"/>
      <c r="D303" s="11"/>
      <c r="E303" s="13" t="n">
        <f aca="false">IF(A303&lt;&gt;"",IF(COUNTIF(A$167:A303,A303)=1,1,0),0)</f>
        <v>0</v>
      </c>
      <c r="F303" s="13" t="n">
        <f aca="false">IF(AND(A303&lt;&gt;"",D303=1,C303=1),IF(COUNTIFS(A$167:A303,A303,D$167:D303,1,C$167:C303,1)=1,1,0),0)</f>
        <v>0</v>
      </c>
    </row>
    <row r="304" customFormat="false" ht="15" hidden="false" customHeight="false" outlineLevel="0" collapsed="false">
      <c r="A304" s="11"/>
      <c r="B304" s="11"/>
      <c r="C304" s="11"/>
      <c r="D304" s="11"/>
      <c r="E304" s="13" t="n">
        <f aca="false">IF(A304&lt;&gt;"",IF(COUNTIF(A$167:A304,A304)=1,1,0),0)</f>
        <v>0</v>
      </c>
      <c r="F304" s="13" t="n">
        <f aca="false">IF(AND(A304&lt;&gt;"",D304=1,C304=1),IF(COUNTIFS(A$167:A304,A304,D$167:D304,1,C$167:C304,1)=1,1,0),0)</f>
        <v>0</v>
      </c>
    </row>
    <row r="305" customFormat="false" ht="15" hidden="false" customHeight="false" outlineLevel="0" collapsed="false">
      <c r="A305" s="11"/>
      <c r="B305" s="11"/>
      <c r="C305" s="11"/>
      <c r="D305" s="11"/>
      <c r="E305" s="13" t="n">
        <f aca="false">IF(A305&lt;&gt;"",IF(COUNTIF(A$167:A305,A305)=1,1,0),0)</f>
        <v>0</v>
      </c>
      <c r="F305" s="13" t="n">
        <f aca="false">IF(AND(A305&lt;&gt;"",D305=1,C305=1),IF(COUNTIFS(A$167:A305,A305,D$167:D305,1,C$167:C305,1)=1,1,0),0)</f>
        <v>0</v>
      </c>
    </row>
    <row r="306" customFormat="false" ht="15" hidden="false" customHeight="false" outlineLevel="0" collapsed="false">
      <c r="A306" s="11"/>
      <c r="B306" s="11"/>
      <c r="C306" s="11"/>
      <c r="D306" s="11"/>
      <c r="E306" s="13" t="n">
        <f aca="false">IF(A306&lt;&gt;"",IF(COUNTIF(A$167:A306,A306)=1,1,0),0)</f>
        <v>0</v>
      </c>
      <c r="F306" s="13" t="n">
        <f aca="false">IF(AND(A306&lt;&gt;"",D306=1,C306=1),IF(COUNTIFS(A$167:A306,A306,D$167:D306,1,C$167:C306,1)=1,1,0),0)</f>
        <v>0</v>
      </c>
    </row>
    <row r="307" customFormat="false" ht="15" hidden="false" customHeight="false" outlineLevel="0" collapsed="false">
      <c r="A307" s="11"/>
      <c r="B307" s="11"/>
      <c r="C307" s="11"/>
      <c r="D307" s="11"/>
      <c r="E307" s="13" t="n">
        <f aca="false">IF(A307&lt;&gt;"",IF(COUNTIF(A$167:A307,A307)=1,1,0),0)</f>
        <v>0</v>
      </c>
      <c r="F307" s="13" t="n">
        <f aca="false">IF(AND(A307&lt;&gt;"",D307=1,C307=1),IF(COUNTIFS(A$167:A307,A307,D$167:D307,1,C$167:C307,1)=1,1,0),0)</f>
        <v>0</v>
      </c>
    </row>
    <row r="308" customFormat="false" ht="15" hidden="false" customHeight="false" outlineLevel="0" collapsed="false">
      <c r="A308" s="11"/>
      <c r="B308" s="11"/>
      <c r="C308" s="11"/>
      <c r="D308" s="11"/>
      <c r="E308" s="13" t="n">
        <f aca="false">IF(A308&lt;&gt;"",IF(COUNTIF(A$167:A308,A308)=1,1,0),0)</f>
        <v>0</v>
      </c>
      <c r="F308" s="13" t="n">
        <f aca="false">IF(AND(A308&lt;&gt;"",D308=1,C308=1),IF(COUNTIFS(A$167:A308,A308,D$167:D308,1,C$167:C308,1)=1,1,0),0)</f>
        <v>0</v>
      </c>
    </row>
    <row r="309" customFormat="false" ht="15" hidden="false" customHeight="false" outlineLevel="0" collapsed="false">
      <c r="A309" s="11"/>
      <c r="B309" s="11"/>
      <c r="C309" s="11"/>
      <c r="D309" s="11"/>
      <c r="E309" s="13" t="n">
        <f aca="false">IF(A309&lt;&gt;"",IF(COUNTIF(A$167:A309,A309)=1,1,0),0)</f>
        <v>0</v>
      </c>
      <c r="F309" s="13" t="n">
        <f aca="false">IF(AND(A309&lt;&gt;"",D309=1,C309=1),IF(COUNTIFS(A$167:A309,A309,D$167:D309,1,C$167:C309,1)=1,1,0),0)</f>
        <v>0</v>
      </c>
    </row>
    <row r="310" customFormat="false" ht="15" hidden="false" customHeight="false" outlineLevel="0" collapsed="false">
      <c r="A310" s="11"/>
      <c r="B310" s="11"/>
      <c r="C310" s="11"/>
      <c r="D310" s="11"/>
      <c r="E310" s="13" t="n">
        <f aca="false">IF(A310&lt;&gt;"",IF(COUNTIF(A$167:A310,A310)=1,1,0),0)</f>
        <v>0</v>
      </c>
      <c r="F310" s="13" t="n">
        <f aca="false">IF(AND(A310&lt;&gt;"",D310=1,C310=1),IF(COUNTIFS(A$167:A310,A310,D$167:D310,1,C$167:C310,1)=1,1,0),0)</f>
        <v>0</v>
      </c>
    </row>
    <row r="311" customFormat="false" ht="15" hidden="false" customHeight="false" outlineLevel="0" collapsed="false">
      <c r="A311" s="11"/>
      <c r="B311" s="11"/>
      <c r="C311" s="11"/>
      <c r="D311" s="11"/>
      <c r="E311" s="13" t="n">
        <f aca="false">IF(A311&lt;&gt;"",IF(COUNTIF(A$167:A311,A311)=1,1,0),0)</f>
        <v>0</v>
      </c>
      <c r="F311" s="13" t="n">
        <f aca="false">IF(AND(A311&lt;&gt;"",D311=1,C311=1),IF(COUNTIFS(A$167:A311,A311,D$167:D311,1,C$167:C311,1)=1,1,0),0)</f>
        <v>0</v>
      </c>
    </row>
    <row r="312" customFormat="false" ht="15" hidden="false" customHeight="false" outlineLevel="0" collapsed="false">
      <c r="A312" s="11"/>
      <c r="B312" s="11"/>
      <c r="C312" s="11"/>
      <c r="D312" s="11"/>
      <c r="E312" s="13" t="n">
        <f aca="false">IF(A312&lt;&gt;"",IF(COUNTIF(A$167:A312,A312)=1,1,0),0)</f>
        <v>0</v>
      </c>
      <c r="F312" s="13" t="n">
        <f aca="false">IF(AND(A312&lt;&gt;"",D312=1,C312=1),IF(COUNTIFS(A$167:A312,A312,D$167:D312,1,C$167:C312,1)=1,1,0),0)</f>
        <v>0</v>
      </c>
    </row>
    <row r="313" customFormat="false" ht="15" hidden="false" customHeight="false" outlineLevel="0" collapsed="false">
      <c r="A313" s="11"/>
      <c r="B313" s="11"/>
      <c r="C313" s="11"/>
      <c r="D313" s="11"/>
      <c r="E313" s="13" t="n">
        <f aca="false">IF(A313&lt;&gt;"",IF(COUNTIF(A$167:A313,A313)=1,1,0),0)</f>
        <v>0</v>
      </c>
      <c r="F313" s="13" t="n">
        <f aca="false">IF(AND(A313&lt;&gt;"",D313=1,C313=1),IF(COUNTIFS(A$167:A313,A313,D$167:D313,1,C$167:C313,1)=1,1,0),0)</f>
        <v>0</v>
      </c>
    </row>
    <row r="314" customFormat="false" ht="15" hidden="false" customHeight="false" outlineLevel="0" collapsed="false">
      <c r="A314" s="11"/>
      <c r="B314" s="11"/>
      <c r="C314" s="11"/>
      <c r="D314" s="11"/>
      <c r="E314" s="13" t="n">
        <f aca="false">IF(A314&lt;&gt;"",IF(COUNTIF(A$167:A314,A314)=1,1,0),0)</f>
        <v>0</v>
      </c>
      <c r="F314" s="13" t="n">
        <f aca="false">IF(AND(A314&lt;&gt;"",D314=1,C314=1),IF(COUNTIFS(A$167:A314,A314,D$167:D314,1,C$167:C314,1)=1,1,0),0)</f>
        <v>0</v>
      </c>
    </row>
    <row r="315" customFormat="false" ht="15" hidden="false" customHeight="false" outlineLevel="0" collapsed="false">
      <c r="A315" s="11"/>
      <c r="B315" s="11"/>
      <c r="C315" s="11"/>
      <c r="D315" s="11"/>
      <c r="E315" s="13" t="n">
        <f aca="false">IF(A315&lt;&gt;"",IF(COUNTIF(A$167:A315,A315)=1,1,0),0)</f>
        <v>0</v>
      </c>
      <c r="F315" s="13" t="n">
        <f aca="false">IF(AND(A315&lt;&gt;"",D315=1,C315=1),IF(COUNTIFS(A$167:A315,A315,D$167:D315,1,C$167:C315,1)=1,1,0),0)</f>
        <v>0</v>
      </c>
    </row>
    <row r="316" customFormat="false" ht="15" hidden="false" customHeight="false" outlineLevel="0" collapsed="false">
      <c r="A316" s="11"/>
      <c r="B316" s="11"/>
      <c r="C316" s="11"/>
      <c r="D316" s="11"/>
      <c r="E316" s="13" t="n">
        <f aca="false">IF(A316&lt;&gt;"",IF(COUNTIF(A$167:A316,A316)=1,1,0),0)</f>
        <v>0</v>
      </c>
      <c r="F316" s="13" t="n">
        <f aca="false">IF(AND(A316&lt;&gt;"",D316=1,C316=1),IF(COUNTIFS(A$167:A316,A316,D$167:D316,1,C$167:C316,1)=1,1,0),0)</f>
        <v>0</v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C12:D161 C167:D316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J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37</v>
      </c>
    </row>
    <row r="2" customFormat="false" ht="15" hidden="false" customHeight="false" outlineLevel="0" collapsed="false">
      <c r="B2" s="8" t="s">
        <v>38</v>
      </c>
    </row>
    <row r="4" customFormat="false" ht="15" hidden="false" customHeight="false" outlineLevel="0" collapsed="false">
      <c r="B4" s="9" t="s">
        <v>39</v>
      </c>
    </row>
    <row r="5" customFormat="false" ht="30" hidden="false" customHeight="true" outlineLevel="0" collapsed="false">
      <c r="B5" s="10" t="s">
        <v>40</v>
      </c>
      <c r="C5" s="10" t="s">
        <v>41</v>
      </c>
      <c r="D5" s="10" t="s">
        <v>42</v>
      </c>
      <c r="E5" s="10" t="s">
        <v>43</v>
      </c>
      <c r="F5" s="10" t="s">
        <v>44</v>
      </c>
      <c r="G5" s="10" t="s">
        <v>45</v>
      </c>
      <c r="H5" s="10" t="s">
        <v>46</v>
      </c>
      <c r="I5" s="10" t="s">
        <v>47</v>
      </c>
      <c r="J5" s="10" t="s">
        <v>48</v>
      </c>
    </row>
    <row r="6" customFormat="false" ht="15" hidden="false" customHeight="false" outlineLevel="0" collapsed="false">
      <c r="B6" s="14" t="n">
        <f aca="false">IFERROR('Enter data'!$A$6,"")</f>
        <v>0</v>
      </c>
      <c r="C6" s="15" t="n">
        <f aca="false">IFERROR(SUM('Enter data'!$E$12:$E$161),"")</f>
        <v>0</v>
      </c>
      <c r="D6" s="15" t="n">
        <f aca="false">IFERROR(COUNTIF('Enter data'!$C$12:$C$161,1),"")</f>
        <v>0</v>
      </c>
      <c r="E6" s="15" t="n">
        <f aca="false">IFERROR(COUNTIFS('Enter data'!$C$12:$C$161,1,'Enter data'!$D$12:$D$161,1),"")</f>
        <v>0</v>
      </c>
      <c r="F6" s="16" t="str">
        <f aca="false">IFERROR(100*SUM('Enter data'!$F$12:$F$161)/C6,"")</f>
        <v/>
      </c>
      <c r="G6" s="16" t="str">
        <f aca="false">IFERROR(100*E6/D6,"")</f>
        <v/>
      </c>
      <c r="H6" s="16" t="str">
        <f aca="false">IFERROR(100*E6/C6,"")</f>
        <v/>
      </c>
      <c r="I6" s="16" t="n">
        <f aca="false">IFERROR(100*IF(E6=0,0,BETAINV(0.025,E6,D6-E6+1)),"")</f>
        <v>0</v>
      </c>
      <c r="J6" s="16" t="n">
        <f aca="false">IFERROR(100*IF(E6=D6,1,BETAINV(0.975,E6+1,D6-E6)),"")</f>
        <v>100</v>
      </c>
    </row>
    <row r="7" customFormat="false" ht="15" hidden="false" customHeight="false" outlineLevel="0" collapsed="false">
      <c r="B7" s="14" t="n">
        <f aca="false">IFERROR('Enter data'!$B$6,"")</f>
        <v>0</v>
      </c>
      <c r="C7" s="15" t="n">
        <f aca="false">IFERROR(SUM('Enter data'!$E$167:$E$316),"")</f>
        <v>0</v>
      </c>
      <c r="D7" s="15" t="n">
        <f aca="false">IFERROR(COUNTIF('Enter data'!$C$167:$C$316,1),"")</f>
        <v>0</v>
      </c>
      <c r="E7" s="15" t="n">
        <f aca="false">IFERROR(COUNTIFS('Enter data'!$C$167:$C$316,1,'Enter data'!$D$167:$D$316,1),"")</f>
        <v>0</v>
      </c>
      <c r="F7" s="16" t="str">
        <f aca="false">IFERROR(100*SUM('Enter data'!$F$167:$F$316)/C7,"")</f>
        <v/>
      </c>
      <c r="G7" s="16" t="str">
        <f aca="false">IFERROR(100*E7/D7,"")</f>
        <v/>
      </c>
      <c r="H7" s="16" t="str">
        <f aca="false">IFERROR(100*E7/C7,"")</f>
        <v/>
      </c>
      <c r="I7" s="16" t="n">
        <f aca="false">IFERROR(100*IF(E7=0,0,BETAINV(0.025,E7,D7-E7+1)),"")</f>
        <v>0</v>
      </c>
      <c r="J7" s="16" t="n">
        <f aca="false">IFERROR(100*IF(E7=D7,1,BETAINV(0.975,E7+1,D7-E7)),"")</f>
        <v>100</v>
      </c>
    </row>
    <row r="10" customFormat="false" ht="15" hidden="false" customHeight="false" outlineLevel="0" collapsed="false">
      <c r="B10" s="9" t="s">
        <v>49</v>
      </c>
    </row>
    <row r="11" customFormat="false" ht="15" hidden="false" customHeight="false" outlineLevel="0" collapsed="false">
      <c r="B11" s="17" t="s">
        <v>50</v>
      </c>
      <c r="C11" s="18" t="str">
        <f aca="false">IFERROR((($D$6+$D$7)*($E$6*($D$7-$E$7)-$E$7*($D$6-$E$6))^2)/(($E$6+$E$7)*($D$6+$D$7-$E$6-$E$7)*$D$6*$D$7),"")</f>
        <v/>
      </c>
    </row>
    <row r="12" customFormat="false" ht="15" hidden="false" customHeight="false" outlineLevel="0" collapsed="false">
      <c r="B12" s="17" t="s">
        <v>51</v>
      </c>
      <c r="C12" s="19" t="str">
        <f aca="false">IFERROR(CHIDIST($C$11,1),"")</f>
        <v/>
      </c>
    </row>
    <row r="14" customFormat="false" ht="15" hidden="false" customHeight="false" outlineLevel="0" collapsed="false">
      <c r="B14" s="9" t="s">
        <v>52</v>
      </c>
    </row>
    <row r="15" customFormat="false" ht="30" hidden="false" customHeight="true" outlineLevel="0" collapsed="false">
      <c r="B15" s="10" t="s">
        <v>53</v>
      </c>
      <c r="C15" s="10" t="s">
        <v>54</v>
      </c>
      <c r="D15" s="10" t="s">
        <v>55</v>
      </c>
      <c r="E15" s="10" t="s">
        <v>56</v>
      </c>
    </row>
    <row r="16" customFormat="false" ht="15" hidden="false" customHeight="false" outlineLevel="0" collapsed="false">
      <c r="B16" s="14" t="str">
        <f aca="false">IFERROR(IF('Enter data'!$C$6="","",'Enter data'!$C$6),"")</f>
        <v/>
      </c>
      <c r="C16" s="15" t="n">
        <f aca="false">IFERROR(COUNTIFS('Enter data'!$B$12:$B$161,'Enter data'!$C$6,'Enter data'!$C$12:$C$161,1)+COUNTIFS('Enter data'!$B$167:$B$316,'Enter data'!$C$6,'Enter data'!$C$167:$C$316,1),"")</f>
        <v>0</v>
      </c>
      <c r="D16" s="15" t="n">
        <f aca="false">IFERROR(COUNTIFS('Enter data'!$B$12:$B$161,'Enter data'!$C$6,'Enter data'!$C$12:$C$161,1,'Enter data'!$D$12:$D$161,1)+COUNTIFS('Enter data'!$B$167:$B$316,'Enter data'!$C$6,'Enter data'!$C$167:$C$316,1,'Enter data'!$D$167:$D$316,1),"")</f>
        <v>0</v>
      </c>
      <c r="E16" s="15" t="str">
        <f aca="false">IFERROR(IF(C16&gt;0,100*D16/C16,""),"")</f>
        <v/>
      </c>
    </row>
    <row r="17" customFormat="false" ht="15" hidden="false" customHeight="false" outlineLevel="0" collapsed="false">
      <c r="B17" s="14" t="str">
        <f aca="false">IFERROR(IF('Enter data'!$D$6="","",'Enter data'!$D$6),"")</f>
        <v/>
      </c>
      <c r="C17" s="15" t="n">
        <f aca="false">IFERROR(COUNTIFS('Enter data'!$B$12:$B$161,'Enter data'!$D$6,'Enter data'!$C$12:$C$161,1)+COUNTIFS('Enter data'!$B$167:$B$316,'Enter data'!$D$6,'Enter data'!$C$167:$C$316,1),"")</f>
        <v>0</v>
      </c>
      <c r="D17" s="15" t="n">
        <f aca="false">IFERROR(COUNTIFS('Enter data'!$B$12:$B$161,'Enter data'!$D$6,'Enter data'!$C$12:$C$161,1,'Enter data'!$D$12:$D$161,1)+COUNTIFS('Enter data'!$B$167:$B$316,'Enter data'!$D$6,'Enter data'!$C$167:$C$316,1,'Enter data'!$D$167:$D$316,1),"")</f>
        <v>0</v>
      </c>
      <c r="E17" s="15" t="str">
        <f aca="false">IFERROR(IF(C17&gt;0,100*D17/C17,""),"")</f>
        <v/>
      </c>
    </row>
    <row r="18" customFormat="false" ht="15" hidden="false" customHeight="false" outlineLevel="0" collapsed="false">
      <c r="B18" s="14" t="str">
        <f aca="false">IFERROR(IF('Enter data'!$E$6="","",'Enter data'!$E$6),"")</f>
        <v/>
      </c>
      <c r="C18" s="15" t="n">
        <f aca="false">IFERROR(COUNTIFS('Enter data'!$B$12:$B$161,'Enter data'!$E$6,'Enter data'!$C$12:$C$161,1)+COUNTIFS('Enter data'!$B$167:$B$316,'Enter data'!$E$6,'Enter data'!$C$167:$C$316,1),"")</f>
        <v>0</v>
      </c>
      <c r="D18" s="15" t="n">
        <f aca="false">IFERROR(COUNTIFS('Enter data'!$B$12:$B$161,'Enter data'!$E$6,'Enter data'!$C$12:$C$161,1,'Enter data'!$D$12:$D$161,1)+COUNTIFS('Enter data'!$B$167:$B$316,'Enter data'!$E$6,'Enter data'!$C$167:$C$316,1,'Enter data'!$D$167:$D$316,1),"")</f>
        <v>0</v>
      </c>
      <c r="E18" s="15" t="str">
        <f aca="false">IFERROR(IF(C18&gt;0,100*D18/C18,""),"")</f>
        <v/>
      </c>
    </row>
    <row r="19" customFormat="false" ht="15" hidden="false" customHeight="false" outlineLevel="0" collapsed="false">
      <c r="B19" s="14" t="str">
        <f aca="false">IFERROR(IF('Enter data'!$F$6="","",'Enter data'!$F$6),"")</f>
        <v/>
      </c>
      <c r="C19" s="15" t="n">
        <f aca="false">IFERROR(COUNTIFS('Enter data'!$B$12:$B$161,'Enter data'!$F$6,'Enter data'!$C$12:$C$161,1)+COUNTIFS('Enter data'!$B$167:$B$316,'Enter data'!$F$6,'Enter data'!$C$167:$C$316,1),"")</f>
        <v>0</v>
      </c>
      <c r="D19" s="15" t="n">
        <f aca="false">IFERROR(COUNTIFS('Enter data'!$B$12:$B$161,'Enter data'!$F$6,'Enter data'!$C$12:$C$161,1,'Enter data'!$D$12:$D$161,1)+COUNTIFS('Enter data'!$B$167:$B$316,'Enter data'!$F$6,'Enter data'!$C$167:$C$316,1,'Enter data'!$D$167:$D$316,1),"")</f>
        <v>0</v>
      </c>
      <c r="E19" s="15" t="str">
        <f aca="false">IFERROR(IF(C19&gt;0,100*D19/C19,""),"")</f>
        <v/>
      </c>
    </row>
    <row r="20" customFormat="false" ht="15" hidden="false" customHeight="false" outlineLevel="0" collapsed="false">
      <c r="B20" s="14" t="str">
        <f aca="false">IFERROR(IF('Enter data'!$G$6="","",'Enter data'!$G$6),"")</f>
        <v/>
      </c>
      <c r="C20" s="15" t="n">
        <f aca="false">IFERROR(COUNTIFS('Enter data'!$B$12:$B$161,'Enter data'!$G$6,'Enter data'!$C$12:$C$161,1)+COUNTIFS('Enter data'!$B$167:$B$316,'Enter data'!$G$6,'Enter data'!$C$167:$C$316,1),"")</f>
        <v>0</v>
      </c>
      <c r="D20" s="15" t="n">
        <f aca="false">IFERROR(COUNTIFS('Enter data'!$B$12:$B$161,'Enter data'!$G$6,'Enter data'!$C$12:$C$161,1,'Enter data'!$D$12:$D$161,1)+COUNTIFS('Enter data'!$B$167:$B$316,'Enter data'!$G$6,'Enter data'!$C$167:$C$316,1,'Enter data'!$D$167:$D$316,1),"")</f>
        <v>0</v>
      </c>
      <c r="E20" s="15" t="str">
        <f aca="false">IFERROR(IF(C20&gt;0,100*D20/C20,""),"")</f>
        <v/>
      </c>
    </row>
    <row r="21" customFormat="false" ht="15" hidden="false" customHeight="false" outlineLevel="0" collapsed="false">
      <c r="B21" s="14" t="str">
        <f aca="false">IFERROR(IF('Enter data'!$H$6="","",'Enter data'!$H$6),"")</f>
        <v/>
      </c>
      <c r="C21" s="15" t="n">
        <f aca="false">IFERROR(COUNTIFS('Enter data'!$B$12:$B$161,'Enter data'!$H$6,'Enter data'!$C$12:$C$161,1)+COUNTIFS('Enter data'!$B$167:$B$316,'Enter data'!$H$6,'Enter data'!$C$167:$C$316,1),"")</f>
        <v>0</v>
      </c>
      <c r="D21" s="15" t="n">
        <f aca="false">IFERROR(COUNTIFS('Enter data'!$B$12:$B$161,'Enter data'!$H$6,'Enter data'!$C$12:$C$161,1,'Enter data'!$D$12:$D$161,1)+COUNTIFS('Enter data'!$B$167:$B$316,'Enter data'!$H$6,'Enter data'!$C$167:$C$316,1,'Enter data'!$D$167:$D$316,1),"")</f>
        <v>0</v>
      </c>
      <c r="E21" s="15" t="str">
        <f aca="false">IFERROR(IF(C21&gt;0,100*D21/C21,""),"")</f>
        <v/>
      </c>
    </row>
    <row r="24" customFormat="false" ht="15" hidden="false" customHeight="false" outlineLevel="0" collapsed="false">
      <c r="B24" s="9" t="s">
        <v>57</v>
      </c>
    </row>
    <row r="25" customFormat="false" ht="15" hidden="false" customHeight="false" outlineLevel="0" collapsed="false">
      <c r="B25" s="17" t="s">
        <v>58</v>
      </c>
      <c r="C25" s="20" t="n">
        <f aca="false">IFERROR(100*8/40,"")</f>
        <v>20</v>
      </c>
    </row>
    <row r="26" customFormat="false" ht="15" hidden="false" customHeight="false" outlineLevel="0" collapsed="false">
      <c r="B26" s="17" t="s">
        <v>59</v>
      </c>
      <c r="C26" s="20" t="n">
        <f aca="false">IFERROR(100*10/50,"")</f>
        <v>20</v>
      </c>
    </row>
    <row r="27" customFormat="false" ht="15" hidden="false" customHeight="false" outlineLevel="0" collapsed="false">
      <c r="B27" s="17" t="s">
        <v>60</v>
      </c>
      <c r="C27" s="20" t="n">
        <f aca="false">IFERROR(100*10/40,"")</f>
        <v>25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2026-10-01T00:31:38Z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2026-10-01T00:31:39Z</dcterms:modified>
  <cp:revision>0</cp:revision>
  <dc:subject/>
  <dc:title>PAR-04 Mosquito larval survey: house, container and Breteau indices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