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<sst xmlns="http://schemas.openxmlformats.org/spreadsheetml/2006/main" count="96" uniqueCount="66">
  <si>
    <t xml:space="preserve">DEV-03  Apical dominance and lateral bud outgrowth</t>
  </si>
  <si>
    <t xml:space="preserve">Excel version of the card. It does the same calculations as the R script dev03_apical_dominance.R.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</si>
  <si>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</si>
  <si>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</si>
  <si>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</si>
  <si>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</si>
  <si>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</si>
  <si>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</si>
  <si>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</si>
  <si>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</si>
  <si>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Assign plants to treatments at random before cutting anything (for example with =RAND() next to the plant list and sorting). Enter the longest lateral shoot (mm) and the number of laterals over 5 mm on the last day.</t>
  </si>
  <si>
    <t xml:space="preserve">Type the treatment names in the yellow cells of the names block (for example intact, decapitated, decapitated with auxin).</t>
  </si>
  <si>
    <t xml:space="preserve">Differences from the R script on the card</t>
  </si>
  <si>
    <t xml:space="preserve">The R script uses Kruskal-Wallis and Wilcoxon tests and Fisher's exact test. This workbook uses one-way ANOVA with Welch pairwise t tests (Bonferroni) and reports the share of plants with a lateral over 5 mm without a test.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</si>
  <si>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</si>
  <si>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</si>
  <si>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</si>
  <si>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</si>
  <si>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Treatment names</t>
  </si>
  <si>
    <t xml:space="preserve">Treatment 1</t>
  </si>
  <si>
    <t xml:space="preserve">Treatment 2</t>
  </si>
  <si>
    <t xml:space="preserve">Treatment 3</t>
  </si>
  <si>
    <t xml:space="preserve">intact</t>
  </si>
  <si>
    <t xml:space="preserve">decapitated</t>
  </si>
  <si>
    <t xml:space="preserve">decapitated + auxin</t>
  </si>
  <si>
    <t xml:space="preserve">2. Plants of treatment 1</t>
  </si>
  <si>
    <t xml:space="preserve">Plant</t>
  </si>
  <si>
    <t xml:space="preserve">Longest lateral on the last day (mm)</t>
  </si>
  <si>
    <t xml:space="preserve">Laterals over 5 mm (count)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</si>
  <si>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</si>
  <si>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</si>
  <si>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</si>
  <si>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</si>
  <si>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</si>
  <si>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</si>
  <si>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</si>
  <si>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</si>
  <si>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</si>
  <si>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</si>
  <si>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3. Plants of treatment 2</t>
  </si>
  <si>
    <t xml:space="preserve">4. Plants of treatment 3</t>
  </si>
  <si>
    <t xml:space="preserve">Results</t>
  </si>
  <si>
    <t xml:space="preserve">Everything on this sheet is calculated. Change only the yellow settings.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</si>
  <si>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</si>
  <si>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</si>
  <si>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</si>
  <si>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</si>
  <si>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</si>
  <si>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</si>
  <si>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</si>
  <si>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</si>
  <si>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</si>
  <si>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</si>
  <si>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</si>
  <si>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</si>
  <si>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</si>
  <si>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</si>
  <si>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</si>
  <si>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</si>
  <si>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</si>
  <si>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</si>
  <si>
    <t xml:space="preserve">Share of plants with a lateral over 5 mm</t>
  </si>
  <si>
    <t xml:space="preserve">Treatment</t>
  </si>
  <si>
    <t xml:space="preserve">Plants</t>
  </si>
  <si>
    <t xml:space="preserve">With a lateral over 5 mm</t>
  </si>
  <si>
    <t xml:space="preserve">Share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</si>
</sst>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 t="s">
        <v>22</v>
      </c>
      <c r="B6" s="11" t="s">
        <v>23</v>
      </c>
      <c r="C6" s="11" t="s">
        <v>24</v>
      </c>
    </row>
    <row r="9" customFormat="false" ht="15" hidden="false" customHeight="false" outlineLevel="0" collapsed="false">
      <c r="A9" s="9" t="s">
        <v>25</v>
      </c>
    </row>
    <row r="10" customFormat="false" ht="31.5" hidden="false" customHeight="true" outlineLevel="0" collapsed="false">
      <c r="A10" s="10" t="s">
        <v>26</v>
      </c>
      <c r="B10" s="10" t="s">
        <v>27</v>
      </c>
      <c r="C10" s="10" t="s">
        <v>28</v>
      </c>
    </row>
    <row r="11" customFormat="false" ht="15" hidden="false" customHeight="false" outlineLevel="0" collapsed="false">
      <c r="A11" s="12" t="s">
        <v>29</v>
      </c>
      <c r="B11" s="12" t="n">
        <v>27.6</v>
      </c>
      <c r="C11" s="12" t="n">
        <v>3</v>
      </c>
    </row>
    <row r="12" customFormat="false" ht="15" hidden="false" customHeight="false" outlineLevel="0" collapsed="false">
      <c r="A12" s="11" t="s">
        <v>29</v>
      </c>
      <c r="B12" s="11" t="n">
        <v>2</v>
      </c>
      <c r="C12" s="11" t="n">
        <v>0</v>
      </c>
    </row>
    <row r="13" customFormat="false" ht="15" hidden="false" customHeight="false" outlineLevel="0" collapsed="false">
      <c r="A13" s="11" t="s">
        <v>30</v>
      </c>
      <c r="B13" s="11" t="n">
        <v>1.9</v>
      </c>
      <c r="C13" s="11" t="n">
        <v>0</v>
      </c>
    </row>
    <row r="14" customFormat="false" ht="15" hidden="false" customHeight="false" outlineLevel="0" collapsed="false">
      <c r="A14" s="11" t="s">
        <v>31</v>
      </c>
      <c r="B14" s="11" t="n">
        <v>1.6</v>
      </c>
      <c r="C14" s="11" t="n">
        <v>0</v>
      </c>
    </row>
    <row r="15" customFormat="false" ht="15" hidden="false" customHeight="false" outlineLevel="0" collapsed="false">
      <c r="A15" s="11" t="s">
        <v>32</v>
      </c>
      <c r="B15" s="11" t="n">
        <v>0.9</v>
      </c>
      <c r="C15" s="11" t="n">
        <v>0</v>
      </c>
    </row>
    <row r="16" customFormat="false" ht="15" hidden="false" customHeight="false" outlineLevel="0" collapsed="false">
      <c r="A16" s="11" t="s">
        <v>33</v>
      </c>
      <c r="B16" s="11" t="n">
        <v>1.9</v>
      </c>
      <c r="C16" s="11" t="n">
        <v>0</v>
      </c>
    </row>
    <row r="17" customFormat="false" ht="15" hidden="false" customHeight="false" outlineLevel="0" collapsed="false">
      <c r="A17" s="11" t="s">
        <v>34</v>
      </c>
      <c r="B17" s="11" t="n">
        <v>1.8</v>
      </c>
      <c r="C17" s="11" t="n">
        <v>0</v>
      </c>
    </row>
    <row r="18" customFormat="false" ht="15" hidden="false" customHeight="false" outlineLevel="0" collapsed="false">
      <c r="A18" s="11" t="s">
        <v>35</v>
      </c>
      <c r="B18" s="11" t="n">
        <v>1.6</v>
      </c>
      <c r="C18" s="11" t="n">
        <v>0</v>
      </c>
    </row>
    <row r="19" customFormat="false" ht="15" hidden="false" customHeight="false" outlineLevel="0" collapsed="false">
      <c r="A19" s="11" t="s">
        <v>36</v>
      </c>
      <c r="B19" s="11" t="n">
        <v>1.3</v>
      </c>
      <c r="C19" s="11" t="n">
        <v>0</v>
      </c>
    </row>
    <row r="20" customFormat="false" ht="15" hidden="false" customHeight="false" outlineLevel="0" collapsed="false">
      <c r="A20" s="11" t="s">
        <v>37</v>
      </c>
      <c r="B20" s="11" t="n">
        <v>2</v>
      </c>
      <c r="C20" s="11" t="n">
        <v>0</v>
      </c>
    </row>
    <row r="21" customFormat="false" ht="15" hidden="false" customHeight="false" outlineLevel="0" collapsed="false">
      <c r="A21" s="11" t="s">
        <v>38</v>
      </c>
      <c r="B21" s="11" t="n">
        <v>2.2</v>
      </c>
      <c r="C21" s="11" t="n">
        <v>0</v>
      </c>
    </row>
    <row r="22" customFormat="false" ht="15" hidden="false" customHeight="false" outlineLevel="0" collapsed="false">
      <c r="A22" s="11"/>
      <c r="B22" s="11"/>
      <c r="C22" s="11"/>
    </row>
    <row r="23" customFormat="false" ht="15" hidden="false" customHeight="false" outlineLevel="0" collapsed="false">
      <c r="A23" s="11"/>
      <c r="B23" s="11"/>
      <c r="C23" s="11"/>
    </row>
    <row r="24" customFormat="false" ht="15" hidden="false" customHeight="false" outlineLevel="0" collapsed="false">
      <c r="A24" s="11"/>
      <c r="B24" s="11"/>
      <c r="C24" s="11"/>
    </row>
    <row r="25" customFormat="false" ht="15" hidden="false" customHeight="false" outlineLevel="0" collapsed="false">
      <c r="A25" s="11"/>
      <c r="B25" s="11"/>
      <c r="C25" s="11"/>
    </row>
    <row r="26" customFormat="false" ht="15" hidden="false" customHeight="false" outlineLevel="0" collapsed="false">
      <c r="A26" s="11"/>
      <c r="B26" s="11"/>
      <c r="C26" s="11"/>
    </row>
    <row r="29" customFormat="false" ht="15" hidden="false" customHeight="false" outlineLevel="0" collapsed="false">
      <c r="A29" s="9" t="s">
        <v>39</v>
      </c>
    </row>
    <row r="30" customFormat="false" ht="31.5" hidden="false" customHeight="true" outlineLevel="0" collapsed="false">
      <c r="A30" s="10" t="s">
        <v>26</v>
      </c>
      <c r="B30" s="10" t="s">
        <v>27</v>
      </c>
      <c r="C30" s="10" t="s">
        <v>28</v>
      </c>
    </row>
    <row r="31" customFormat="false" ht="15" hidden="false" customHeight="false" outlineLevel="0" collapsed="false">
      <c r="A31" s="12" t="s">
        <v>29</v>
      </c>
      <c r="B31" s="12" t="n">
        <v>27.6</v>
      </c>
      <c r="C31" s="12" t="n">
        <v>3</v>
      </c>
    </row>
    <row r="32" customFormat="false" ht="15" hidden="false" customHeight="false" outlineLevel="0" collapsed="false">
      <c r="A32" s="11" t="s">
        <v>29</v>
      </c>
      <c r="B32" s="11" t="n">
        <v>27.9</v>
      </c>
      <c r="C32" s="11" t="n">
        <v>4</v>
      </c>
    </row>
    <row r="33" customFormat="false" ht="15" hidden="false" customHeight="false" outlineLevel="0" collapsed="false">
      <c r="A33" s="11" t="s">
        <v>30</v>
      </c>
      <c r="B33" s="11" t="n">
        <v>25.9</v>
      </c>
      <c r="C33" s="11" t="n">
        <v>4</v>
      </c>
    </row>
    <row r="34" customFormat="false" ht="15" hidden="false" customHeight="false" outlineLevel="0" collapsed="false">
      <c r="A34" s="11" t="s">
        <v>31</v>
      </c>
      <c r="B34" s="11" t="n">
        <v>24.1</v>
      </c>
      <c r="C34" s="11" t="n">
        <v>4</v>
      </c>
    </row>
    <row r="35" customFormat="false" ht="15" hidden="false" customHeight="false" outlineLevel="0" collapsed="false">
      <c r="A35" s="11" t="s">
        <v>32</v>
      </c>
      <c r="B35" s="11" t="n">
        <v>34.7</v>
      </c>
      <c r="C35" s="11" t="n">
        <v>4</v>
      </c>
    </row>
    <row r="36" customFormat="false" ht="15" hidden="false" customHeight="false" outlineLevel="0" collapsed="false">
      <c r="A36" s="11" t="s">
        <v>33</v>
      </c>
      <c r="B36" s="11" t="n">
        <v>24.8</v>
      </c>
      <c r="C36" s="11" t="n">
        <v>4</v>
      </c>
    </row>
    <row r="37" customFormat="false" ht="15" hidden="false" customHeight="false" outlineLevel="0" collapsed="false">
      <c r="A37" s="11" t="s">
        <v>34</v>
      </c>
      <c r="B37" s="11" t="n">
        <v>18.1</v>
      </c>
      <c r="C37" s="11" t="n">
        <v>3</v>
      </c>
    </row>
    <row r="38" customFormat="false" ht="15" hidden="false" customHeight="false" outlineLevel="0" collapsed="false">
      <c r="A38" s="11" t="s">
        <v>35</v>
      </c>
      <c r="B38" s="11" t="n">
        <v>31</v>
      </c>
      <c r="C38" s="11" t="n">
        <v>4</v>
      </c>
    </row>
    <row r="39" customFormat="false" ht="15" hidden="false" customHeight="false" outlineLevel="0" collapsed="false">
      <c r="A39" s="11" t="s">
        <v>36</v>
      </c>
      <c r="B39" s="11" t="n">
        <v>26.2</v>
      </c>
      <c r="C39" s="11" t="n">
        <v>4</v>
      </c>
    </row>
    <row r="40" customFormat="false" ht="15" hidden="false" customHeight="false" outlineLevel="0" collapsed="false">
      <c r="A40" s="11" t="s">
        <v>37</v>
      </c>
      <c r="B40" s="11" t="n">
        <v>7.7</v>
      </c>
      <c r="C40" s="11" t="n">
        <v>1</v>
      </c>
    </row>
    <row r="41" customFormat="false" ht="15" hidden="false" customHeight="false" outlineLevel="0" collapsed="false">
      <c r="A41" s="11" t="s">
        <v>38</v>
      </c>
      <c r="B41" s="11" t="n">
        <v>15.2</v>
      </c>
      <c r="C41" s="11" t="n">
        <v>3</v>
      </c>
    </row>
    <row r="42" customFormat="false" ht="15" hidden="false" customHeight="false" outlineLevel="0" collapsed="false">
      <c r="A42" s="11"/>
      <c r="B42" s="11"/>
      <c r="C42" s="11"/>
    </row>
    <row r="43" customFormat="false" ht="15" hidden="false" customHeight="false" outlineLevel="0" collapsed="false">
      <c r="A43" s="11"/>
      <c r="B43" s="11"/>
      <c r="C43" s="11"/>
    </row>
    <row r="44" customFormat="false" ht="15" hidden="false" customHeight="false" outlineLevel="0" collapsed="false">
      <c r="A44" s="11"/>
      <c r="B44" s="11"/>
      <c r="C44" s="11"/>
    </row>
    <row r="45" customFormat="false" ht="15" hidden="false" customHeight="false" outlineLevel="0" collapsed="false">
      <c r="A45" s="11"/>
      <c r="B45" s="11"/>
      <c r="C45" s="11"/>
    </row>
    <row r="46" customFormat="false" ht="15" hidden="false" customHeight="false" outlineLevel="0" collapsed="false">
      <c r="A46" s="11"/>
      <c r="B46" s="11"/>
      <c r="C46" s="11"/>
    </row>
    <row r="49" customFormat="false" ht="15" hidden="false" customHeight="false" outlineLevel="0" collapsed="false">
      <c r="A49" s="9" t="s">
        <v>40</v>
      </c>
    </row>
    <row r="50" customFormat="false" ht="31.5" hidden="false" customHeight="true" outlineLevel="0" collapsed="false">
      <c r="A50" s="10" t="s">
        <v>26</v>
      </c>
      <c r="B50" s="10" t="s">
        <v>27</v>
      </c>
      <c r="C50" s="10" t="s">
        <v>28</v>
      </c>
    </row>
    <row r="51" customFormat="false" ht="15" hidden="false" customHeight="false" outlineLevel="0" collapsed="false">
      <c r="A51" s="12" t="s">
        <v>29</v>
      </c>
      <c r="B51" s="12" t="n">
        <v>27.6</v>
      </c>
      <c r="C51" s="12" t="n">
        <v>3</v>
      </c>
    </row>
    <row r="52" customFormat="false" ht="15" hidden="false" customHeight="false" outlineLevel="0" collapsed="false">
      <c r="A52" s="11" t="s">
        <v>29</v>
      </c>
      <c r="B52" s="11" t="n">
        <v>6</v>
      </c>
      <c r="C52" s="11" t="n">
        <v>1</v>
      </c>
    </row>
    <row r="53" customFormat="false" ht="15" hidden="false" customHeight="false" outlineLevel="0" collapsed="false">
      <c r="A53" s="11" t="s">
        <v>30</v>
      </c>
      <c r="B53" s="11" t="n">
        <v>4.2</v>
      </c>
      <c r="C53" s="11" t="n">
        <v>0</v>
      </c>
    </row>
    <row r="54" customFormat="false" ht="15" hidden="false" customHeight="false" outlineLevel="0" collapsed="false">
      <c r="A54" s="11" t="s">
        <v>31</v>
      </c>
      <c r="B54" s="11" t="n">
        <v>5.3</v>
      </c>
      <c r="C54" s="11" t="n">
        <v>1</v>
      </c>
    </row>
    <row r="55" customFormat="false" ht="15" hidden="false" customHeight="false" outlineLevel="0" collapsed="false">
      <c r="A55" s="11" t="s">
        <v>32</v>
      </c>
      <c r="B55" s="11" t="n">
        <v>7.6</v>
      </c>
      <c r="C55" s="11" t="n">
        <v>1</v>
      </c>
    </row>
    <row r="56" customFormat="false" ht="15" hidden="false" customHeight="false" outlineLevel="0" collapsed="false">
      <c r="A56" s="11" t="s">
        <v>33</v>
      </c>
      <c r="B56" s="11" t="n">
        <v>6.1</v>
      </c>
      <c r="C56" s="11" t="n">
        <v>1</v>
      </c>
    </row>
    <row r="57" customFormat="false" ht="15" hidden="false" customHeight="false" outlineLevel="0" collapsed="false">
      <c r="A57" s="11" t="s">
        <v>34</v>
      </c>
      <c r="B57" s="11" t="n">
        <v>4.5</v>
      </c>
      <c r="C57" s="11" t="n">
        <v>0</v>
      </c>
    </row>
    <row r="58" customFormat="false" ht="15" hidden="false" customHeight="false" outlineLevel="0" collapsed="false">
      <c r="A58" s="11" t="s">
        <v>35</v>
      </c>
      <c r="B58" s="11" t="n">
        <v>6.4</v>
      </c>
      <c r="C58" s="11" t="n">
        <v>1</v>
      </c>
    </row>
    <row r="59" customFormat="false" ht="15" hidden="false" customHeight="false" outlineLevel="0" collapsed="false">
      <c r="A59" s="11" t="s">
        <v>36</v>
      </c>
      <c r="B59" s="11" t="n">
        <v>4.6</v>
      </c>
      <c r="C59" s="11" t="n">
        <v>0</v>
      </c>
    </row>
    <row r="60" customFormat="false" ht="15" hidden="false" customHeight="false" outlineLevel="0" collapsed="false">
      <c r="A60" s="11" t="s">
        <v>37</v>
      </c>
      <c r="B60" s="11" t="n">
        <v>4.2</v>
      </c>
      <c r="C60" s="11" t="n">
        <v>0</v>
      </c>
    </row>
    <row r="61" customFormat="false" ht="15" hidden="false" customHeight="false" outlineLevel="0" collapsed="false">
      <c r="A61" s="11" t="s">
        <v>38</v>
      </c>
      <c r="B61" s="11" t="n">
        <v>6.5</v>
      </c>
      <c r="C61" s="11" t="n">
        <v>1</v>
      </c>
    </row>
    <row r="62" customFormat="false" ht="15" hidden="false" customHeight="false" outlineLevel="0" collapsed="false">
      <c r="A62" s="11"/>
      <c r="B62" s="11"/>
      <c r="C62" s="11"/>
    </row>
    <row r="63" customFormat="false" ht="15" hidden="false" customHeight="false" outlineLevel="0" collapsed="false">
      <c r="A63" s="11"/>
      <c r="B63" s="11"/>
      <c r="C63" s="11"/>
    </row>
    <row r="64" customFormat="false" ht="15" hidden="false" customHeight="false" outlineLevel="0" collapsed="false">
      <c r="A64" s="11"/>
      <c r="B64" s="11"/>
      <c r="C64" s="11"/>
    </row>
    <row r="65" customFormat="false" ht="15" hidden="false" customHeight="false" outlineLevel="0" collapsed="false">
      <c r="A65" s="11"/>
      <c r="B65" s="11"/>
      <c r="C65" s="11"/>
    </row>
    <row r="66" customFormat="false" ht="15" hidden="false" customHeight="false" outlineLevel="0" collapsed="false">
      <c r="A66" s="11"/>
      <c r="B66" s="11"/>
      <c r="C66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C26 B32:C46 B52:C6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41</v>
      </c>
    </row>
    <row r="2" customFormat="false" ht="15" hidden="false" customHeight="false" outlineLevel="0" collapsed="false">
      <c r="B2" s="8" t="s">
        <v>42</v>
      </c>
    </row>
    <row r="4" customFormat="false" ht="15" hidden="false" customHeight="false" outlineLevel="0" collapsed="false">
      <c r="B4" s="9" t="s">
        <v>27</v>
      </c>
    </row>
    <row r="5" customFormat="false" ht="30" hidden="false" customHeight="true" outlineLevel="0" collapsed="false">
      <c r="B5" s="10" t="s">
        <v>43</v>
      </c>
      <c r="C5" s="10" t="s">
        <v>44</v>
      </c>
      <c r="D5" s="10" t="s">
        <v>45</v>
      </c>
      <c r="E5" s="10" t="s">
        <v>46</v>
      </c>
      <c r="F5" s="10" t="s">
        <v>47</v>
      </c>
      <c r="G5" s="10" t="s">
        <v>48</v>
      </c>
      <c r="H5" s="10" t="s">
        <v>49</v>
      </c>
    </row>
    <row r="6" customFormat="false" ht="15" hidden="false" customHeight="false" outlineLevel="0" collapsed="false">
      <c r="B6" s="13" t="str">
        <f aca="false">IFERROR('Enter data'!$A$6,"")</f>
        <v>intact</v>
      </c>
      <c r="C6" s="14" t="n">
        <f aca="false">IFERROR(COUNT('Enter data'!$B$12:$B$26),"")</f>
        <v>10</v>
      </c>
      <c r="D6" s="15" t="n">
        <f aca="false">IFERROR(AVERAGE('Enter data'!$B$12:$B$26),"")</f>
        <v>1.72</v>
      </c>
      <c r="E6" s="15" t="n">
        <f aca="false">IFERROR(STDEV('Enter data'!$B$12:$B$26),"")</f>
        <v>0.38528488738133</v>
      </c>
      <c r="F6" s="15" t="n">
        <f aca="false">IFERROR(STDEV('Enter data'!$B$12:$B$26)/SQRT(COUNT('Enter data'!$B$12:$B$26)),"")</f>
        <v>0.121837779216647</v>
      </c>
      <c r="G6" s="15" t="n">
        <f aca="false">IFERROR(MIN('Enter data'!$B$12:$B$26),"")</f>
        <v>0.9</v>
      </c>
      <c r="H6" s="15" t="n">
        <f aca="false">IFERROR(MAX('Enter data'!$B$12:$B$26),"")</f>
        <v>2.2</v>
      </c>
    </row>
    <row r="7" customFormat="false" ht="15" hidden="false" customHeight="false" outlineLevel="0" collapsed="false">
      <c r="B7" s="13" t="str">
        <f aca="false">IFERROR('Enter data'!$B$6,"")</f>
        <v>decapitated</v>
      </c>
      <c r="C7" s="14" t="n">
        <f aca="false">IFERROR(COUNT('Enter data'!$B$32:$B$46),"")</f>
        <v>10</v>
      </c>
      <c r="D7" s="15" t="n">
        <f aca="false">IFERROR(AVERAGE('Enter data'!$B$32:$B$46),"")</f>
        <v>23.56</v>
      </c>
      <c r="E7" s="15" t="n">
        <f aca="false">IFERROR(STDEV('Enter data'!$B$32:$B$46),"")</f>
        <v>7.91485242369616</v>
      </c>
      <c r="F7" s="15" t="n">
        <f aca="false">IFERROR(STDEV('Enter data'!$B$32:$B$46)/SQRT(COUNT('Enter data'!$B$32:$B$46)),"")</f>
        <v>2.50289610029839</v>
      </c>
      <c r="G7" s="15" t="n">
        <f aca="false">IFERROR(MIN('Enter data'!$B$32:$B$46),"")</f>
        <v>7.7</v>
      </c>
      <c r="H7" s="15" t="n">
        <f aca="false">IFERROR(MAX('Enter data'!$B$32:$B$46),"")</f>
        <v>34.7</v>
      </c>
    </row>
    <row r="8" customFormat="false" ht="15" hidden="false" customHeight="false" outlineLevel="0" collapsed="false">
      <c r="B8" s="13" t="str">
        <f aca="false">IFERROR('Enter data'!$C$6,"")</f>
        <v>decapitated + auxin</v>
      </c>
      <c r="C8" s="14" t="n">
        <f aca="false">IFERROR(COUNT('Enter data'!$B$52:$B$66),"")</f>
        <v>10</v>
      </c>
      <c r="D8" s="15" t="n">
        <f aca="false">IFERROR(AVERAGE('Enter data'!$B$52:$B$66),"")</f>
        <v>5.54</v>
      </c>
      <c r="E8" s="15" t="n">
        <f aca="false">IFERROR(STDEV('Enter data'!$B$52:$B$66),"")</f>
        <v>1.1568155523774</v>
      </c>
      <c r="F8" s="15" t="n">
        <f aca="false">IFERROR(STDEV('Enter data'!$B$52:$B$66)/SQRT(COUNT('Enter data'!$B$52:$B$66)),"")</f>
        <v>0.365817197821839</v>
      </c>
      <c r="G8" s="15" t="n">
        <f aca="false">IFERROR(MIN('Enter data'!$B$52:$B$66),"")</f>
        <v>4.2</v>
      </c>
      <c r="H8" s="15" t="n">
        <f aca="false">IFERROR(MAX('Enter data'!$B$52:$B$66),"")</f>
        <v>7.6</v>
      </c>
    </row>
    <row r="11" customFormat="false" ht="15" hidden="false" customHeight="false" outlineLevel="0" collapsed="false">
      <c r="B11" s="9" t="s">
        <v>50</v>
      </c>
    </row>
    <row r="12" customFormat="false" ht="15" hidden="false" customHeight="false" outlineLevel="0" collapsed="false">
      <c r="B12" s="16" t="s">
        <v>51</v>
      </c>
      <c r="C12" s="17" t="n">
        <f aca="false">IFERROR(SUM($C$6:$C$8),"")</f>
        <v>30</v>
      </c>
    </row>
    <row r="13" customFormat="false" ht="15" hidden="false" customHeight="false" outlineLevel="0" collapsed="false">
      <c r="B13" s="16" t="s">
        <v>52</v>
      </c>
      <c r="C13" s="18" t="n">
        <f aca="false">IFERROR(SUMPRODUCT($C$6:$C$8,$D$6:$D$8)/$C$12,"")</f>
        <v>10.2733333333333</v>
      </c>
    </row>
    <row r="14" customFormat="false" ht="15" hidden="false" customHeight="false" outlineLevel="0" collapsed="false">
      <c r="B14" s="16" t="s">
        <v>53</v>
      </c>
      <c r="C14" s="18" t="n">
        <f aca="false">IFERROR(SUMPRODUCT($C$6:$C$8,($D$6:$D$8-$C$13)^2),"")</f>
        <v>2720.99466666667</v>
      </c>
    </row>
    <row r="15" customFormat="false" ht="15" hidden="false" customHeight="false" outlineLevel="0" collapsed="false">
      <c r="B15" s="16" t="s">
        <v>54</v>
      </c>
      <c r="C15" s="18" t="n">
        <f aca="false">IFERROR(SUMPRODUCT($C$6:$C$8-1,$E$6:$E$8^2),"")</f>
        <v>577.184</v>
      </c>
    </row>
    <row r="16" customFormat="false" ht="15" hidden="false" customHeight="false" outlineLevel="0" collapsed="false">
      <c r="B16" s="16" t="s">
        <v>55</v>
      </c>
      <c r="C16" s="19" t="n">
        <f aca="false">IFERROR(($C$14/(3-1))/($C$15/($C$12-3)),"")</f>
        <v>63.6424918223651</v>
      </c>
    </row>
    <row r="17" customFormat="false" ht="15" hidden="false" customHeight="false" outlineLevel="0" collapsed="false">
      <c r="B17" s="16" t="s">
        <v>56</v>
      </c>
      <c r="C17" s="20" t="n">
        <f aca="false">IFERROR(FDIST($C$16,3-1,$C$12-3),"")</f>
        <v>6.04006235688234E-011</v>
      </c>
    </row>
    <row r="18" customFormat="false" ht="30" hidden="false" customHeight="true" outlineLevel="0" collapsed="false">
      <c r="B18" s="10" t="s">
        <v>57</v>
      </c>
      <c r="C18" s="10" t="s">
        <v>58</v>
      </c>
      <c r="D18" s="10" t="s">
        <v>59</v>
      </c>
      <c r="E18" s="10" t="s">
        <v>60</v>
      </c>
    </row>
    <row r="19" customFormat="false" ht="15" hidden="false" customHeight="false" outlineLevel="0" collapsed="false">
      <c r="B19" s="13" t="str">
        <f aca="false">IFERROR('Enter data'!$A$6&amp;" vs "&amp;'Enter data'!$B$6,"")</f>
        <v>intact vs decapitated</v>
      </c>
      <c r="C19" s="21" t="n">
        <f aca="false">IFERROR($D$6-$D$7,"")</f>
        <v>-21.84</v>
      </c>
      <c r="D19" s="22" t="n">
        <f aca="false">IFERROR(TTEST('Enter data'!$B$12:$B$26,'Enter data'!$B$32:$B$46,2,3),"")</f>
        <v>1.07585704786534E-005</v>
      </c>
      <c r="E19" s="22" t="n">
        <f aca="false">IFERROR(MIN(1,3*D19),"")</f>
        <v>3.22757114359601E-005</v>
      </c>
    </row>
    <row r="20" customFormat="false" ht="15" hidden="false" customHeight="false" outlineLevel="0" collapsed="false">
      <c r="B20" s="13" t="str">
        <f aca="false">IFERROR('Enter data'!$A$6&amp;" vs "&amp;'Enter data'!$C$6,"")</f>
        <v>intact vs decapitated + auxin</v>
      </c>
      <c r="C20" s="21" t="n">
        <f aca="false">IFERROR($D$6-$D$8,"")</f>
        <v>-3.82</v>
      </c>
      <c r="D20" s="22" t="n">
        <f aca="false">IFERROR(TTEST('Enter data'!$B$12:$B$26,'Enter data'!$B$52:$B$66,2,3),"")</f>
        <v>8.27990986066157E-007</v>
      </c>
      <c r="E20" s="22" t="n">
        <f aca="false">IFERROR(MIN(1,3*D20),"")</f>
        <v>2.48397295819847E-006</v>
      </c>
    </row>
    <row r="21" customFormat="false" ht="15" hidden="false" customHeight="false" outlineLevel="0" collapsed="false">
      <c r="B21" s="13" t="str">
        <f aca="false">IFERROR('Enter data'!$B$6&amp;" vs "&amp;'Enter data'!$C$6,"")</f>
        <v>decapitated vs decapitated + auxin</v>
      </c>
      <c r="C21" s="21" t="n">
        <f aca="false">IFERROR($D$7-$D$8,"")</f>
        <v>18.02</v>
      </c>
      <c r="D21" s="22" t="n">
        <f aca="false">IFERROR(TTEST('Enter data'!$B$32:$B$46,'Enter data'!$B$52:$B$66,2,3),"")</f>
        <v>4.45560639373094E-005</v>
      </c>
      <c r="E21" s="22" t="n">
        <f aca="false">IFERROR(MIN(1,3*D21),"")</f>
        <v>0.000133668191811928</v>
      </c>
    </row>
    <row r="24" customFormat="false" ht="15" hidden="false" customHeight="false" outlineLevel="0" collapsed="false">
      <c r="B24" s="9" t="s">
        <v>61</v>
      </c>
    </row>
    <row r="25" customFormat="false" ht="30" hidden="false" customHeight="true" outlineLevel="0" collapsed="false">
      <c r="B25" s="10" t="s">
        <v>62</v>
      </c>
      <c r="C25" s="10" t="s">
        <v>63</v>
      </c>
      <c r="D25" s="10" t="s">
        <v>64</v>
      </c>
      <c r="E25" s="10" t="s">
        <v>65</v>
      </c>
    </row>
    <row r="26" customFormat="false" ht="15" hidden="false" customHeight="false" outlineLevel="0" collapsed="false">
      <c r="B26" s="13" t="str">
        <f aca="false">IFERROR('Enter data'!$A$6,"")</f>
        <v>intact</v>
      </c>
      <c r="C26" s="14" t="n">
        <f aca="false">IFERROR(COUNT('Enter data'!$C$12:$C$26),"")</f>
        <v>10</v>
      </c>
      <c r="D26" s="14" t="n">
        <f aca="false">IFERROR(COUNTIF('Enter data'!$C$12:$C$26,"&gt;0"),"")</f>
        <v>0</v>
      </c>
      <c r="E26" s="14" t="n">
        <f aca="false">IFERROR(100*D26/C26,"")</f>
        <v>0</v>
      </c>
    </row>
    <row r="27" customFormat="false" ht="15" hidden="false" customHeight="false" outlineLevel="0" collapsed="false">
      <c r="B27" s="13" t="str">
        <f aca="false">IFERROR('Enter data'!$B$6,"")</f>
        <v>decapitated</v>
      </c>
      <c r="C27" s="14" t="n">
        <f aca="false">IFERROR(COUNT('Enter data'!$C$32:$C$46),"")</f>
        <v>10</v>
      </c>
      <c r="D27" s="14" t="n">
        <f aca="false">IFERROR(COUNTIF('Enter data'!$C$32:$C$46,"&gt;0"),"")</f>
        <v>10</v>
      </c>
      <c r="E27" s="14" t="n">
        <f aca="false">IFERROR(100*D27/C27,"")</f>
        <v>100</v>
      </c>
    </row>
    <row r="28" customFormat="false" ht="15" hidden="false" customHeight="false" outlineLevel="0" collapsed="false">
      <c r="B28" s="13" t="str">
        <f aca="false">IFERROR('Enter data'!$C$6,"")</f>
        <v>decapitated + auxin</v>
      </c>
      <c r="C28" s="14" t="n">
        <f aca="false">IFERROR(COUNT('Enter data'!$C$52:$C$66),"")</f>
        <v>10</v>
      </c>
      <c r="D28" s="14" t="n">
        <f aca="false">IFERROR(COUNTIF('Enter data'!$C$52:$C$66,"&gt;0"),"")</f>
        <v>6</v>
      </c>
      <c r="E28" s="14" t="n">
        <f aca="false">IFERROR(100*D28/C28,"")</f>
        <v>60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2026-10-01T00:31:08Z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2026-10-01T00:31:08Z</dcterms:modified>
  <cp:revision>0</cp:revision>
  <dc:subject/>
  <dc:title>DEV-03 Apical dominance and lateral bud outgrowth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