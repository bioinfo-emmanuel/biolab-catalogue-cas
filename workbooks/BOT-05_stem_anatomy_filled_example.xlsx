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<sst xmlns="http://schemas.openxmlformats.org/spreadsheetml/2006/main" count="78" uniqueCount="52">
  <si>
    <t xml:space="preserve">BOT-05  Stem anatomy: vascular bundle density and vessel width</t>
  </si>
  <si>
    <t xml:space="preserve">Excel version of the card. It does the same calculations as the R script bot05_vascular_anatomy.R.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</si>
  <si>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</si>
  <si>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</si>
  <si>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</si>
  <si>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</si>
  <si>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</si>
  <si>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</si>
  <si>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</si>
  <si>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</si>
  <si>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Field area = pi x (diameter / 2)^2; bundle density = bundles / field area, in bundles per mm2.</t>
  </si>
  <si>
    <t xml:space="preserve">Sections from one stem are not independent replicates: with only a few plants per group the comparison below overstates the evidence. Report the plant means as well.</t>
  </si>
  <si>
    <t xml:space="preserve">Differences from the R script on the card</t>
  </si>
  <si>
    <t xml:space="preserve">The R script uses Wilcoxon rank-sum tests. This workbook uses Welch t tests, which are close for reasonably symmetric data.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</si>
  <si>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</si>
  <si>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</si>
  <si>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</si>
  <si>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</si>
  <si>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Group A sections (for example monocot stem)</t>
  </si>
  <si>
    <t xml:space="preserve">Plant</t>
  </si>
  <si>
    <t xml:space="preserve">Bundles in field</t>
  </si>
  <si>
    <t xml:space="preserve">Field diameter (mm)</t>
  </si>
  <si>
    <t xml:space="preserve">Density (bundles per mm2)</t>
  </si>
  <si>
    <t xml:space="preserve">stem 1</t>
  </si>
  <si>
    <t xml:space="preserve">stem 2</t>
  </si>
  <si>
    <t xml:space="preserve">2. Group B sections (for example dicot stem)</t>
  </si>
  <si>
    <t xml:space="preserve">stem 3</t>
  </si>
  <si>
    <t xml:space="preserve">stem 4</t>
  </si>
  <si>
    <t xml:space="preserve">3. Xylem vessel widths (micrometres), optional</t>
  </si>
  <si>
    <t xml:space="preserve">Group A vessel width (um)</t>
  </si>
  <si>
    <t xml:space="preserve">Group B vessel width (um)</t>
  </si>
  <si>
    <t xml:space="preserve">Results</t>
  </si>
  <si>
    <t xml:space="preserve">Everything on this sheet is calculated. Change only the yellow settings.</t>
  </si>
  <si>
    <t xml:space="preserve">Bundle density (bundles per mm2)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</si>
  <si>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</si>
  <si>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</si>
  <si>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</si>
  <si>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</si>
  <si>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</si>
  <si>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</si>
  <si>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</si>
  <si>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</si>
  <si>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</si>
  <si>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</si>
  <si>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</si>
  <si>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</si>
  <si>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</si>
  <si>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</si>
  <si>
    <t xml:space="preserve">Vessel width (micrometres), optional</t>
  </si>
  <si>
    <t xml:space="preserve">Mean, group A</t>
  </si>
  <si>
    <t xml:space="preserve">Mean, group B</t>
  </si>
  <si>
    <t xml:space="preserve">p value (Welch t test)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</si>
</sst>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"/>
    <numFmt numFmtId="167" formatCode="0.000"/>
    <numFmt numFmtId="168" formatCode="0.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n">
        <v>21</v>
      </c>
      <c r="C6" s="11" t="n">
        <v>1.8</v>
      </c>
    </row>
    <row r="7" customFormat="false" ht="15" hidden="false" customHeight="false" outlineLevel="0" collapsed="false">
      <c r="A7" s="12" t="s">
        <v>23</v>
      </c>
      <c r="B7" s="12" t="n">
        <v>33</v>
      </c>
      <c r="C7" s="12" t="n">
        <v>1.8</v>
      </c>
      <c r="D7" s="13" t="n">
        <f aca="false">IF(AND(ISNUMBER(B7),ISNUMBER(C7)),B7/(PI()*(C7/2)^2),"")</f>
        <v>12.9681805482285</v>
      </c>
    </row>
    <row r="8" customFormat="false" ht="15" hidden="false" customHeight="false" outlineLevel="0" collapsed="false">
      <c r="A8" s="12" t="s">
        <v>24</v>
      </c>
      <c r="B8" s="12" t="n">
        <v>28</v>
      </c>
      <c r="C8" s="12" t="n">
        <v>1.8</v>
      </c>
      <c r="D8" s="13" t="n">
        <f aca="false">IF(AND(ISNUMBER(B8),ISNUMBER(C8)),B8/(PI()*(C8/2)^2),"")</f>
        <v>11.0033047075878</v>
      </c>
    </row>
    <row r="9" customFormat="false" ht="15" hidden="false" customHeight="false" outlineLevel="0" collapsed="false">
      <c r="A9" s="12" t="s">
        <v>23</v>
      </c>
      <c r="B9" s="12" t="n">
        <v>17</v>
      </c>
      <c r="C9" s="12" t="n">
        <v>1.8</v>
      </c>
      <c r="D9" s="13" t="n">
        <f aca="false">IF(AND(ISNUMBER(B9),ISNUMBER(C9)),B9/(PI()*(C9/2)^2),"")</f>
        <v>6.68057785817832</v>
      </c>
    </row>
    <row r="10" customFormat="false" ht="15" hidden="false" customHeight="false" outlineLevel="0" collapsed="false">
      <c r="A10" s="12" t="s">
        <v>24</v>
      </c>
      <c r="B10" s="12" t="n">
        <v>26</v>
      </c>
      <c r="C10" s="12" t="n">
        <v>1.8</v>
      </c>
      <c r="D10" s="13" t="n">
        <f aca="false">IF(AND(ISNUMBER(B10),ISNUMBER(C10)),B10/(PI()*(C10/2)^2),"")</f>
        <v>10.2173543713316</v>
      </c>
    </row>
    <row r="11" customFormat="false" ht="15" hidden="false" customHeight="false" outlineLevel="0" collapsed="false">
      <c r="A11" s="12" t="s">
        <v>23</v>
      </c>
      <c r="B11" s="12" t="n">
        <v>30</v>
      </c>
      <c r="C11" s="12" t="n">
        <v>1.8</v>
      </c>
      <c r="D11" s="13" t="n">
        <f aca="false">IF(AND(ISNUMBER(B11),ISNUMBER(C11)),B11/(PI()*(C11/2)^2),"")</f>
        <v>11.7892550438441</v>
      </c>
    </row>
    <row r="12" customFormat="false" ht="15" hidden="false" customHeight="false" outlineLevel="0" collapsed="false">
      <c r="A12" s="12" t="s">
        <v>24</v>
      </c>
      <c r="B12" s="12" t="n">
        <v>26</v>
      </c>
      <c r="C12" s="12" t="n">
        <v>1.8</v>
      </c>
      <c r="D12" s="13" t="n">
        <f aca="false">IF(AND(ISNUMBER(B12),ISNUMBER(C12)),B12/(PI()*(C12/2)^2),"")</f>
        <v>10.2173543713316</v>
      </c>
    </row>
    <row r="13" customFormat="false" ht="15" hidden="false" customHeight="false" outlineLevel="0" collapsed="false">
      <c r="A13" s="12" t="s">
        <v>23</v>
      </c>
      <c r="B13" s="12" t="n">
        <v>31</v>
      </c>
      <c r="C13" s="12" t="n">
        <v>1.8</v>
      </c>
      <c r="D13" s="13" t="n">
        <f aca="false">IF(AND(ISNUMBER(B13),ISNUMBER(C13)),B13/(PI()*(C13/2)^2),"")</f>
        <v>12.1822302119722</v>
      </c>
    </row>
    <row r="14" customFormat="false" ht="15" hidden="false" customHeight="false" outlineLevel="0" collapsed="false">
      <c r="A14" s="12" t="s">
        <v>24</v>
      </c>
      <c r="B14" s="12" t="n">
        <v>29</v>
      </c>
      <c r="C14" s="12" t="n">
        <v>1.8</v>
      </c>
      <c r="D14" s="13" t="n">
        <f aca="false">IF(AND(ISNUMBER(B14),ISNUMBER(C14)),B14/(PI()*(C14/2)^2),"")</f>
        <v>11.396279875716</v>
      </c>
    </row>
    <row r="15" customFormat="false" ht="15" hidden="false" customHeight="false" outlineLevel="0" collapsed="false">
      <c r="A15" s="12" t="s">
        <v>23</v>
      </c>
      <c r="B15" s="12" t="n">
        <v>35</v>
      </c>
      <c r="C15" s="12" t="n">
        <v>1.8</v>
      </c>
      <c r="D15" s="13" t="n">
        <f aca="false">IF(AND(ISNUMBER(B15),ISNUMBER(C15)),B15/(PI()*(C15/2)^2),"")</f>
        <v>13.7541308844848</v>
      </c>
    </row>
    <row r="16" customFormat="false" ht="15" hidden="false" customHeight="false" outlineLevel="0" collapsed="false">
      <c r="A16" s="12" t="s">
        <v>24</v>
      </c>
      <c r="B16" s="12" t="n">
        <v>35</v>
      </c>
      <c r="C16" s="12" t="n">
        <v>1.8</v>
      </c>
      <c r="D16" s="13" t="n">
        <f aca="false">IF(AND(ISNUMBER(B16),ISNUMBER(C16)),B16/(PI()*(C16/2)^2),"")</f>
        <v>13.7541308844848</v>
      </c>
    </row>
    <row r="17" customFormat="false" ht="15" hidden="false" customHeight="false" outlineLevel="0" collapsed="false">
      <c r="A17" s="12" t="s">
        <v>23</v>
      </c>
      <c r="B17" s="12" t="n">
        <v>31</v>
      </c>
      <c r="C17" s="12" t="n">
        <v>1.8</v>
      </c>
      <c r="D17" s="13" t="n">
        <f aca="false">IF(AND(ISNUMBER(B17),ISNUMBER(C17)),B17/(PI()*(C17/2)^2),"")</f>
        <v>12.1822302119722</v>
      </c>
    </row>
    <row r="18" customFormat="false" ht="15" hidden="false" customHeight="false" outlineLevel="0" collapsed="false">
      <c r="A18" s="12" t="s">
        <v>24</v>
      </c>
      <c r="B18" s="12" t="n">
        <v>28</v>
      </c>
      <c r="C18" s="12" t="n">
        <v>1.8</v>
      </c>
      <c r="D18" s="13" t="n">
        <f aca="false">IF(AND(ISNUMBER(B18),ISNUMBER(C18)),B18/(PI()*(C18/2)^2),"")</f>
        <v>11.0033047075878</v>
      </c>
    </row>
    <row r="19" customFormat="false" ht="15" hidden="false" customHeight="false" outlineLevel="0" collapsed="false">
      <c r="A19" s="12"/>
      <c r="B19" s="12"/>
      <c r="C19" s="12"/>
      <c r="D19" s="13" t="str">
        <f aca="false">IF(AND(ISNUMBER(B19),ISNUMBER(C19)),B19/(PI()*(C19/2)^2),"")</f>
        <v/>
      </c>
    </row>
    <row r="20" customFormat="false" ht="15" hidden="false" customHeight="false" outlineLevel="0" collapsed="false">
      <c r="A20" s="12"/>
      <c r="B20" s="12"/>
      <c r="C20" s="12"/>
      <c r="D20" s="13" t="str">
        <f aca="false">IF(AND(ISNUMBER(B20),ISNUMBER(C20)),B20/(PI()*(C20/2)^2),"")</f>
        <v/>
      </c>
    </row>
    <row r="21" customFormat="false" ht="15" hidden="false" customHeight="false" outlineLevel="0" collapsed="false">
      <c r="A21" s="12"/>
      <c r="B21" s="12"/>
      <c r="C21" s="12"/>
      <c r="D21" s="13" t="str">
        <f aca="false">IF(AND(ISNUMBER(B21),ISNUMBER(C21)),B21/(PI()*(C21/2)^2),"")</f>
        <v/>
      </c>
    </row>
    <row r="22" customFormat="false" ht="15" hidden="false" customHeight="false" outlineLevel="0" collapsed="false">
      <c r="A22" s="12"/>
      <c r="B22" s="12"/>
      <c r="C22" s="12"/>
      <c r="D22" s="13" t="str">
        <f aca="false">IF(AND(ISNUMBER(B22),ISNUMBER(C22)),B22/(PI()*(C22/2)^2),"")</f>
        <v/>
      </c>
    </row>
    <row r="23" customFormat="false" ht="15" hidden="false" customHeight="false" outlineLevel="0" collapsed="false">
      <c r="A23" s="12"/>
      <c r="B23" s="12"/>
      <c r="C23" s="12"/>
      <c r="D23" s="13" t="str">
        <f aca="false">IF(AND(ISNUMBER(B23),ISNUMBER(C23)),B23/(PI()*(C23/2)^2),"")</f>
        <v/>
      </c>
    </row>
    <row r="24" customFormat="false" ht="15" hidden="false" customHeight="false" outlineLevel="0" collapsed="false">
      <c r="A24" s="12"/>
      <c r="B24" s="12"/>
      <c r="C24" s="12"/>
      <c r="D24" s="13" t="str">
        <f aca="false">IF(AND(ISNUMBER(B24),ISNUMBER(C24)),B24/(PI()*(C24/2)^2),"")</f>
        <v/>
      </c>
    </row>
    <row r="25" customFormat="false" ht="15" hidden="false" customHeight="false" outlineLevel="0" collapsed="false">
      <c r="A25" s="12"/>
      <c r="B25" s="12"/>
      <c r="C25" s="12"/>
      <c r="D25" s="13" t="str">
        <f aca="false">IF(AND(ISNUMBER(B25),ISNUMBER(C25)),B25/(PI()*(C25/2)^2),"")</f>
        <v/>
      </c>
    </row>
    <row r="26" customFormat="false" ht="15" hidden="false" customHeight="false" outlineLevel="0" collapsed="false">
      <c r="A26" s="12"/>
      <c r="B26" s="12"/>
      <c r="C26" s="12"/>
      <c r="D26" s="13" t="str">
        <f aca="false">IF(AND(ISNUMBER(B26),ISNUMBER(C26)),B26/(PI()*(C26/2)^2),"")</f>
        <v/>
      </c>
    </row>
    <row r="29" customFormat="false" ht="15" hidden="false" customHeight="false" outlineLevel="0" collapsed="false">
      <c r="A29" s="9" t="s">
        <v>25</v>
      </c>
    </row>
    <row r="30" customFormat="false" ht="31.5" hidden="false" customHeight="true" outlineLevel="0" collapsed="false">
      <c r="A30" s="10" t="s">
        <v>19</v>
      </c>
      <c r="B30" s="10" t="s">
        <v>20</v>
      </c>
      <c r="C30" s="10" t="s">
        <v>21</v>
      </c>
      <c r="D30" s="10" t="s">
        <v>22</v>
      </c>
    </row>
    <row r="31" customFormat="false" ht="15" hidden="false" customHeight="false" outlineLevel="0" collapsed="false">
      <c r="A31" s="11" t="s">
        <v>24</v>
      </c>
      <c r="B31" s="11" t="n">
        <v>8</v>
      </c>
      <c r="C31" s="11" t="n">
        <v>1.8</v>
      </c>
    </row>
    <row r="32" customFormat="false" ht="15" hidden="false" customHeight="false" outlineLevel="0" collapsed="false">
      <c r="A32" s="12" t="s">
        <v>26</v>
      </c>
      <c r="B32" s="12" t="n">
        <v>9</v>
      </c>
      <c r="C32" s="12" t="n">
        <v>1.8</v>
      </c>
      <c r="D32" s="13" t="n">
        <f aca="false">IF(AND(ISNUMBER(B32),ISNUMBER(C32)),B32/(PI()*(C32/2)^2),"")</f>
        <v>3.53677651315323</v>
      </c>
    </row>
    <row r="33" customFormat="false" ht="15" hidden="false" customHeight="false" outlineLevel="0" collapsed="false">
      <c r="A33" s="12" t="s">
        <v>27</v>
      </c>
      <c r="B33" s="12" t="n">
        <v>6</v>
      </c>
      <c r="C33" s="12" t="n">
        <v>1.8</v>
      </c>
      <c r="D33" s="13" t="n">
        <f aca="false">IF(AND(ISNUMBER(B33),ISNUMBER(C33)),B33/(PI()*(C33/2)^2),"")</f>
        <v>2.35785100876882</v>
      </c>
    </row>
    <row r="34" customFormat="false" ht="15" hidden="false" customHeight="false" outlineLevel="0" collapsed="false">
      <c r="A34" s="12" t="s">
        <v>26</v>
      </c>
      <c r="B34" s="12" t="n">
        <v>13</v>
      </c>
      <c r="C34" s="12" t="n">
        <v>1.8</v>
      </c>
      <c r="D34" s="13" t="n">
        <f aca="false">IF(AND(ISNUMBER(B34),ISNUMBER(C34)),B34/(PI()*(C34/2)^2),"")</f>
        <v>5.10867718566578</v>
      </c>
    </row>
    <row r="35" customFormat="false" ht="15" hidden="false" customHeight="false" outlineLevel="0" collapsed="false">
      <c r="A35" s="12" t="s">
        <v>27</v>
      </c>
      <c r="B35" s="12" t="n">
        <v>14</v>
      </c>
      <c r="C35" s="12" t="n">
        <v>1.8</v>
      </c>
      <c r="D35" s="13" t="n">
        <f aca="false">IF(AND(ISNUMBER(B35),ISNUMBER(C35)),B35/(PI()*(C35/2)^2),"")</f>
        <v>5.50165235379391</v>
      </c>
    </row>
    <row r="36" customFormat="false" ht="15" hidden="false" customHeight="false" outlineLevel="0" collapsed="false">
      <c r="A36" s="12" t="s">
        <v>26</v>
      </c>
      <c r="B36" s="12" t="n">
        <v>8</v>
      </c>
      <c r="C36" s="12" t="n">
        <v>1.8</v>
      </c>
      <c r="D36" s="13" t="n">
        <f aca="false">IF(AND(ISNUMBER(B36),ISNUMBER(C36)),B36/(PI()*(C36/2)^2),"")</f>
        <v>3.14380134502509</v>
      </c>
    </row>
    <row r="37" customFormat="false" ht="15" hidden="false" customHeight="false" outlineLevel="0" collapsed="false">
      <c r="A37" s="12" t="s">
        <v>27</v>
      </c>
      <c r="B37" s="12" t="n">
        <v>10</v>
      </c>
      <c r="C37" s="12" t="n">
        <v>1.8</v>
      </c>
      <c r="D37" s="13" t="n">
        <f aca="false">IF(AND(ISNUMBER(B37),ISNUMBER(C37)),B37/(PI()*(C37/2)^2),"")</f>
        <v>3.92975168128137</v>
      </c>
    </row>
    <row r="38" customFormat="false" ht="15" hidden="false" customHeight="false" outlineLevel="0" collapsed="false">
      <c r="A38" s="12" t="s">
        <v>26</v>
      </c>
      <c r="B38" s="12" t="n">
        <v>9</v>
      </c>
      <c r="C38" s="12" t="n">
        <v>1.8</v>
      </c>
      <c r="D38" s="13" t="n">
        <f aca="false">IF(AND(ISNUMBER(B38),ISNUMBER(C38)),B38/(PI()*(C38/2)^2),"")</f>
        <v>3.53677651315323</v>
      </c>
    </row>
    <row r="39" customFormat="false" ht="15" hidden="false" customHeight="false" outlineLevel="0" collapsed="false">
      <c r="A39" s="12" t="s">
        <v>27</v>
      </c>
      <c r="B39" s="12" t="n">
        <v>2</v>
      </c>
      <c r="C39" s="12" t="n">
        <v>1.8</v>
      </c>
      <c r="D39" s="13" t="n">
        <f aca="false">IF(AND(ISNUMBER(B39),ISNUMBER(C39)),B39/(PI()*(C39/2)^2),"")</f>
        <v>0.785950336256273</v>
      </c>
    </row>
    <row r="40" customFormat="false" ht="15" hidden="false" customHeight="false" outlineLevel="0" collapsed="false">
      <c r="A40" s="12" t="s">
        <v>26</v>
      </c>
      <c r="B40" s="12" t="n">
        <v>14</v>
      </c>
      <c r="C40" s="12" t="n">
        <v>1.8</v>
      </c>
      <c r="D40" s="13" t="n">
        <f aca="false">IF(AND(ISNUMBER(B40),ISNUMBER(C40)),B40/(PI()*(C40/2)^2),"")</f>
        <v>5.50165235379391</v>
      </c>
    </row>
    <row r="41" customFormat="false" ht="15" hidden="false" customHeight="false" outlineLevel="0" collapsed="false">
      <c r="A41" s="12" t="s">
        <v>27</v>
      </c>
      <c r="B41" s="12" t="n">
        <v>3</v>
      </c>
      <c r="C41" s="12" t="n">
        <v>1.8</v>
      </c>
      <c r="D41" s="13" t="n">
        <f aca="false">IF(AND(ISNUMBER(B41),ISNUMBER(C41)),B41/(PI()*(C41/2)^2),"")</f>
        <v>1.17892550438441</v>
      </c>
    </row>
    <row r="42" customFormat="false" ht="15" hidden="false" customHeight="false" outlineLevel="0" collapsed="false">
      <c r="A42" s="12" t="s">
        <v>26</v>
      </c>
      <c r="B42" s="12" t="n">
        <v>6</v>
      </c>
      <c r="C42" s="12" t="n">
        <v>1.8</v>
      </c>
      <c r="D42" s="13" t="n">
        <f aca="false">IF(AND(ISNUMBER(B42),ISNUMBER(C42)),B42/(PI()*(C42/2)^2),"")</f>
        <v>2.35785100876882</v>
      </c>
    </row>
    <row r="43" customFormat="false" ht="15" hidden="false" customHeight="false" outlineLevel="0" collapsed="false">
      <c r="A43" s="12" t="s">
        <v>27</v>
      </c>
      <c r="B43" s="12" t="n">
        <v>14</v>
      </c>
      <c r="C43" s="12" t="n">
        <v>1.8</v>
      </c>
      <c r="D43" s="13" t="n">
        <f aca="false">IF(AND(ISNUMBER(B43),ISNUMBER(C43)),B43/(PI()*(C43/2)^2),"")</f>
        <v>5.50165235379391</v>
      </c>
    </row>
    <row r="44" customFormat="false" ht="15" hidden="false" customHeight="false" outlineLevel="0" collapsed="false">
      <c r="A44" s="12"/>
      <c r="B44" s="12"/>
      <c r="C44" s="12"/>
      <c r="D44" s="13" t="str">
        <f aca="false">IF(AND(ISNUMBER(B44),ISNUMBER(C44)),B44/(PI()*(C44/2)^2),"")</f>
        <v/>
      </c>
    </row>
    <row r="45" customFormat="false" ht="15" hidden="false" customHeight="false" outlineLevel="0" collapsed="false">
      <c r="A45" s="12"/>
      <c r="B45" s="12"/>
      <c r="C45" s="12"/>
      <c r="D45" s="13" t="str">
        <f aca="false">IF(AND(ISNUMBER(B45),ISNUMBER(C45)),B45/(PI()*(C45/2)^2),"")</f>
        <v/>
      </c>
    </row>
    <row r="46" customFormat="false" ht="15" hidden="false" customHeight="false" outlineLevel="0" collapsed="false">
      <c r="A46" s="12"/>
      <c r="B46" s="12"/>
      <c r="C46" s="12"/>
      <c r="D46" s="13" t="str">
        <f aca="false">IF(AND(ISNUMBER(B46),ISNUMBER(C46)),B46/(PI()*(C46/2)^2),"")</f>
        <v/>
      </c>
    </row>
    <row r="47" customFormat="false" ht="15" hidden="false" customHeight="false" outlineLevel="0" collapsed="false">
      <c r="A47" s="12"/>
      <c r="B47" s="12"/>
      <c r="C47" s="12"/>
      <c r="D47" s="13" t="str">
        <f aca="false">IF(AND(ISNUMBER(B47),ISNUMBER(C47)),B47/(PI()*(C47/2)^2),"")</f>
        <v/>
      </c>
    </row>
    <row r="48" customFormat="false" ht="15" hidden="false" customHeight="false" outlineLevel="0" collapsed="false">
      <c r="A48" s="12"/>
      <c r="B48" s="12"/>
      <c r="C48" s="12"/>
      <c r="D48" s="13" t="str">
        <f aca="false">IF(AND(ISNUMBER(B48),ISNUMBER(C48)),B48/(PI()*(C48/2)^2),"")</f>
        <v/>
      </c>
    </row>
    <row r="49" customFormat="false" ht="15" hidden="false" customHeight="false" outlineLevel="0" collapsed="false">
      <c r="A49" s="12"/>
      <c r="B49" s="12"/>
      <c r="C49" s="12"/>
      <c r="D49" s="13" t="str">
        <f aca="false">IF(AND(ISNUMBER(B49),ISNUMBER(C49)),B49/(PI()*(C49/2)^2),"")</f>
        <v/>
      </c>
    </row>
    <row r="50" customFormat="false" ht="15" hidden="false" customHeight="false" outlineLevel="0" collapsed="false">
      <c r="A50" s="12"/>
      <c r="B50" s="12"/>
      <c r="C50" s="12"/>
      <c r="D50" s="13" t="str">
        <f aca="false">IF(AND(ISNUMBER(B50),ISNUMBER(C50)),B50/(PI()*(C50/2)^2),"")</f>
        <v/>
      </c>
    </row>
    <row r="51" customFormat="false" ht="15" hidden="false" customHeight="false" outlineLevel="0" collapsed="false">
      <c r="A51" s="12"/>
      <c r="B51" s="12"/>
      <c r="C51" s="12"/>
      <c r="D51" s="13" t="str">
        <f aca="false">IF(AND(ISNUMBER(B51),ISNUMBER(C51)),B51/(PI()*(C51/2)^2),"")</f>
        <v/>
      </c>
    </row>
    <row r="54" customFormat="false" ht="15" hidden="false" customHeight="false" outlineLevel="0" collapsed="false">
      <c r="A54" s="9" t="s">
        <v>28</v>
      </c>
    </row>
    <row r="55" customFormat="false" ht="31.5" hidden="false" customHeight="true" outlineLevel="0" collapsed="false">
      <c r="A55" s="10" t="s">
        <v>29</v>
      </c>
      <c r="B55" s="10" t="s">
        <v>30</v>
      </c>
    </row>
    <row r="56" customFormat="false" ht="15" hidden="false" customHeight="false" outlineLevel="0" collapsed="false">
      <c r="A56" s="11" t="n">
        <v>85</v>
      </c>
      <c r="B56" s="11" t="n">
        <v>48</v>
      </c>
    </row>
    <row r="57" customFormat="false" ht="15" hidden="false" customHeight="false" outlineLevel="0" collapsed="false">
      <c r="A57" s="12" t="n">
        <v>127</v>
      </c>
      <c r="B57" s="12" t="n">
        <v>39</v>
      </c>
    </row>
    <row r="58" customFormat="false" ht="15" hidden="false" customHeight="false" outlineLevel="0" collapsed="false">
      <c r="A58" s="12" t="n">
        <v>80</v>
      </c>
      <c r="B58" s="12" t="n">
        <v>45</v>
      </c>
    </row>
    <row r="59" customFormat="false" ht="15" hidden="false" customHeight="false" outlineLevel="0" collapsed="false">
      <c r="A59" s="12" t="n">
        <v>77</v>
      </c>
      <c r="B59" s="12" t="n">
        <v>38</v>
      </c>
    </row>
    <row r="60" customFormat="false" ht="15" hidden="false" customHeight="false" outlineLevel="0" collapsed="false">
      <c r="A60" s="12" t="n">
        <v>90</v>
      </c>
      <c r="B60" s="12" t="n">
        <v>63</v>
      </c>
    </row>
    <row r="61" customFormat="false" ht="15" hidden="false" customHeight="false" outlineLevel="0" collapsed="false">
      <c r="A61" s="12" t="n">
        <v>99</v>
      </c>
      <c r="B61" s="12" t="n">
        <v>38</v>
      </c>
    </row>
    <row r="62" customFormat="false" ht="15" hidden="false" customHeight="false" outlineLevel="0" collapsed="false">
      <c r="A62" s="12" t="n">
        <v>64</v>
      </c>
      <c r="B62" s="12" t="n">
        <v>49</v>
      </c>
    </row>
    <row r="63" customFormat="false" ht="15" hidden="false" customHeight="false" outlineLevel="0" collapsed="false">
      <c r="A63" s="12" t="n">
        <v>71</v>
      </c>
      <c r="B63" s="12" t="n">
        <v>41</v>
      </c>
    </row>
    <row r="64" customFormat="false" ht="15" hidden="false" customHeight="false" outlineLevel="0" collapsed="false">
      <c r="A64" s="12" t="n">
        <v>56</v>
      </c>
      <c r="B64" s="12" t="n">
        <v>78</v>
      </c>
    </row>
    <row r="65" customFormat="false" ht="15" hidden="false" customHeight="false" outlineLevel="0" collapsed="false">
      <c r="A65" s="12" t="n">
        <v>107</v>
      </c>
      <c r="B65" s="12" t="n">
        <v>38</v>
      </c>
    </row>
    <row r="66" customFormat="false" ht="15" hidden="false" customHeight="false" outlineLevel="0" collapsed="false">
      <c r="A66" s="12" t="n">
        <v>107</v>
      </c>
      <c r="B66" s="12" t="n">
        <v>67</v>
      </c>
    </row>
    <row r="67" customFormat="false" ht="15" hidden="false" customHeight="false" outlineLevel="0" collapsed="false">
      <c r="A67" s="12" t="n">
        <v>47</v>
      </c>
      <c r="B67" s="12" t="n">
        <v>42</v>
      </c>
    </row>
    <row r="68" customFormat="false" ht="15" hidden="false" customHeight="false" outlineLevel="0" collapsed="false">
      <c r="A68" s="12" t="n">
        <v>77</v>
      </c>
      <c r="B68" s="12" t="n">
        <v>56</v>
      </c>
    </row>
    <row r="69" customFormat="false" ht="15" hidden="false" customHeight="false" outlineLevel="0" collapsed="false">
      <c r="A69" s="12" t="n">
        <v>82</v>
      </c>
      <c r="B69" s="12" t="n">
        <v>45</v>
      </c>
    </row>
    <row r="70" customFormat="false" ht="15" hidden="false" customHeight="false" outlineLevel="0" collapsed="false">
      <c r="A70" s="12" t="n">
        <v>84</v>
      </c>
      <c r="B70" s="12" t="n">
        <v>76</v>
      </c>
    </row>
    <row r="71" customFormat="false" ht="15" hidden="false" customHeight="false" outlineLevel="0" collapsed="false">
      <c r="A71" s="12" t="n">
        <v>146</v>
      </c>
      <c r="B71" s="12" t="n">
        <v>42</v>
      </c>
    </row>
    <row r="72" customFormat="false" ht="15" hidden="false" customHeight="false" outlineLevel="0" collapsed="false">
      <c r="A72" s="12" t="n">
        <v>67</v>
      </c>
      <c r="B72" s="12" t="n">
        <v>94</v>
      </c>
    </row>
    <row r="73" customFormat="false" ht="15" hidden="false" customHeight="false" outlineLevel="0" collapsed="false">
      <c r="A73" s="12" t="n">
        <v>67</v>
      </c>
      <c r="B73" s="12" t="n">
        <v>42</v>
      </c>
    </row>
    <row r="74" customFormat="false" ht="15" hidden="false" customHeight="false" outlineLevel="0" collapsed="false">
      <c r="A74" s="12" t="n">
        <v>86</v>
      </c>
      <c r="B74" s="12" t="n">
        <v>54</v>
      </c>
    </row>
    <row r="75" customFormat="false" ht="15" hidden="false" customHeight="false" outlineLevel="0" collapsed="false">
      <c r="A75" s="12" t="n">
        <v>110</v>
      </c>
      <c r="B75" s="12" t="n">
        <v>53</v>
      </c>
    </row>
    <row r="76" customFormat="false" ht="15" hidden="false" customHeight="false" outlineLevel="0" collapsed="false">
      <c r="A76" s="12" t="n">
        <v>68</v>
      </c>
      <c r="B76" s="12" t="n">
        <v>54</v>
      </c>
    </row>
    <row r="77" customFormat="false" ht="15" hidden="false" customHeight="false" outlineLevel="0" collapsed="false">
      <c r="A77" s="12"/>
      <c r="B77" s="12"/>
    </row>
    <row r="78" customFormat="false" ht="15" hidden="false" customHeight="false" outlineLevel="0" collapsed="false">
      <c r="A78" s="12"/>
      <c r="B78" s="12"/>
    </row>
    <row r="79" customFormat="false" ht="15" hidden="false" customHeight="false" outlineLevel="0" collapsed="false">
      <c r="A79" s="12"/>
      <c r="B79" s="12"/>
    </row>
    <row r="80" customFormat="false" ht="15" hidden="false" customHeight="false" outlineLevel="0" collapsed="false">
      <c r="A80" s="12"/>
      <c r="B80" s="12"/>
    </row>
    <row r="81" customFormat="false" ht="15" hidden="false" customHeight="false" outlineLevel="0" collapsed="false">
      <c r="A81" s="12"/>
      <c r="B81" s="12"/>
    </row>
    <row r="82" customFormat="false" ht="15" hidden="false" customHeight="false" outlineLevel="0" collapsed="false">
      <c r="A82" s="12"/>
      <c r="B82" s="12"/>
    </row>
    <row r="83" customFormat="false" ht="15" hidden="false" customHeight="false" outlineLevel="0" collapsed="false">
      <c r="A83" s="12"/>
      <c r="B83" s="12"/>
    </row>
    <row r="84" customFormat="false" ht="15" hidden="false" customHeight="false" outlineLevel="0" collapsed="false">
      <c r="A84" s="12"/>
      <c r="B84" s="12"/>
    </row>
    <row r="85" customFormat="false" ht="15" hidden="false" customHeight="false" outlineLevel="0" collapsed="false">
      <c r="A85" s="12"/>
      <c r="B85" s="12"/>
    </row>
    <row r="86" customFormat="false" ht="15" hidden="false" customHeight="false" outlineLevel="0" collapsed="false">
      <c r="A86" s="12"/>
      <c r="B86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C26 B32:C51 A57:B8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31</v>
      </c>
    </row>
    <row r="2" customFormat="false" ht="15" hidden="false" customHeight="false" outlineLevel="0" collapsed="false">
      <c r="B2" s="8" t="s">
        <v>32</v>
      </c>
    </row>
    <row r="4" customFormat="false" ht="15" hidden="false" customHeight="false" outlineLevel="0" collapsed="false">
      <c r="B4" s="9" t="s">
        <v>33</v>
      </c>
    </row>
    <row r="5" customFormat="false" ht="30" hidden="false" customHeight="true" outlineLevel="0" collapsed="false">
      <c r="B5" s="10" t="s">
        <v>34</v>
      </c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</row>
    <row r="6" customFormat="false" ht="15" hidden="false" customHeight="false" outlineLevel="0" collapsed="false">
      <c r="B6" s="14" t="str">
        <f aca="false">IFERROR("Group A","")</f>
        <v>Group A</v>
      </c>
      <c r="C6" s="15" t="n">
        <f aca="false">IFERROR(COUNT('Enter data'!$D$7:$D$26),"")</f>
        <v>12</v>
      </c>
      <c r="D6" s="16" t="n">
        <f aca="false">IFERROR(AVERAGE('Enter data'!$D$7:$D$26),"")</f>
        <v>11.4290278063933</v>
      </c>
      <c r="E6" s="16" t="n">
        <f aca="false">IFERROR(STDEV('Enter data'!$D$7:$D$26),"")</f>
        <v>1.91390191346914</v>
      </c>
      <c r="F6" s="16" t="n">
        <f aca="false">IFERROR(STDEV('Enter data'!$D$7:$D$26)/SQRT(COUNT('Enter data'!$D$7:$D$26)),"")</f>
        <v>0.552495892471974</v>
      </c>
      <c r="G6" s="16" t="n">
        <f aca="false">IFERROR(MIN('Enter data'!$D$7:$D$26),"")</f>
        <v>6.68057785817832</v>
      </c>
      <c r="H6" s="16" t="n">
        <f aca="false">IFERROR(MAX('Enter data'!$D$7:$D$26),"")</f>
        <v>13.7541308844848</v>
      </c>
    </row>
    <row r="7" customFormat="false" ht="15" hidden="false" customHeight="false" outlineLevel="0" collapsed="false">
      <c r="B7" s="14" t="str">
        <f aca="false">IFERROR("Group B","")</f>
        <v>Group B</v>
      </c>
      <c r="C7" s="15" t="n">
        <f aca="false">IFERROR(COUNT('Enter data'!$D$32:$D$51),"")</f>
        <v>12</v>
      </c>
      <c r="D7" s="16" t="n">
        <f aca="false">IFERROR(AVERAGE('Enter data'!$D$32:$D$51),"")</f>
        <v>3.53677651315323</v>
      </c>
      <c r="E7" s="16" t="n">
        <f aca="false">IFERROR(STDEV('Enter data'!$D$32:$D$51),"")</f>
        <v>1.65881059859182</v>
      </c>
      <c r="F7" s="16" t="n">
        <f aca="false">IFERROR(STDEV('Enter data'!$D$32:$D$51)/SQRT(COUNT('Enter data'!$D$32:$D$51)),"")</f>
        <v>0.478857372815796</v>
      </c>
      <c r="G7" s="16" t="n">
        <f aca="false">IFERROR(MIN('Enter data'!$D$32:$D$51),"")</f>
        <v>0.785950336256273</v>
      </c>
      <c r="H7" s="16" t="n">
        <f aca="false">IFERROR(MAX('Enter data'!$D$32:$D$51),"")</f>
        <v>5.50165235379391</v>
      </c>
    </row>
    <row r="10" customFormat="false" ht="15" hidden="false" customHeight="false" outlineLevel="0" collapsed="false">
      <c r="B10" s="9" t="s">
        <v>41</v>
      </c>
    </row>
    <row r="11" customFormat="false" ht="15" hidden="false" customHeight="false" outlineLevel="0" collapsed="false">
      <c r="B11" s="17" t="s">
        <v>42</v>
      </c>
      <c r="C11" s="18" t="n">
        <f aca="false">IFERROR($D$6-$D$7,"")</f>
        <v>7.89225129324008</v>
      </c>
    </row>
    <row r="12" customFormat="false" ht="15" hidden="false" customHeight="false" outlineLevel="0" collapsed="false">
      <c r="B12" s="17" t="s">
        <v>43</v>
      </c>
      <c r="C12" s="18" t="n">
        <f aca="false">IFERROR(SQRT($F$6^2+$F$7^2),"")</f>
        <v>0.73113343152837</v>
      </c>
    </row>
    <row r="13" customFormat="false" ht="15" hidden="false" customHeight="false" outlineLevel="0" collapsed="false">
      <c r="B13" s="17" t="s">
        <v>44</v>
      </c>
      <c r="C13" s="19" t="n">
        <f aca="false">IFERROR((($E$6^2/$C$6+$E$7^2/$C$7)^2/(($E$6^2/$C$6)^2/($C$6-1)+($E$7^2/$C$7)^2/($C$7-1))),"")</f>
        <v>21.5647067032321</v>
      </c>
    </row>
    <row r="14" customFormat="false" ht="15" hidden="false" customHeight="false" outlineLevel="0" collapsed="false">
      <c r="B14" s="17" t="s">
        <v>45</v>
      </c>
      <c r="C14" s="20" t="n">
        <f aca="false">IFERROR(TTEST('Enter data'!$D$7:$D$26,'Enter data'!$D$32:$D$51,2,3),"")</f>
        <v>3.70314219596081E-010</v>
      </c>
    </row>
    <row r="15" customFormat="false" ht="15" hidden="false" customHeight="false" outlineLevel="0" collapsed="false">
      <c r="B15" s="17" t="s">
        <v>46</v>
      </c>
      <c r="C15" s="18" t="n">
        <f aca="false">IFERROR($C$11-TINV(0.05,$C$13)*$C$12,"")</f>
        <v>6.37177608669042</v>
      </c>
    </row>
    <row r="16" customFormat="false" ht="15" hidden="false" customHeight="false" outlineLevel="0" collapsed="false">
      <c r="B16" s="17" t="s">
        <v>47</v>
      </c>
      <c r="C16" s="18" t="n">
        <f aca="false">IFERROR($C$11+TINV(0.05,$C$13)*$C$12,"")</f>
        <v>9.41272649978973</v>
      </c>
    </row>
    <row r="18" customFormat="false" ht="15" hidden="false" customHeight="false" outlineLevel="0" collapsed="false">
      <c r="B18" s="9" t="s">
        <v>48</v>
      </c>
    </row>
    <row r="19" customFormat="false" ht="15" hidden="false" customHeight="false" outlineLevel="0" collapsed="false">
      <c r="B19" s="17" t="s">
        <v>49</v>
      </c>
      <c r="C19" s="19" t="n">
        <f aca="false">IFERROR(AVERAGE('Enter data'!$A$57:$A$86),"")</f>
        <v>85.6</v>
      </c>
    </row>
    <row r="20" customFormat="false" ht="15" hidden="false" customHeight="false" outlineLevel="0" collapsed="false">
      <c r="B20" s="17" t="s">
        <v>50</v>
      </c>
      <c r="C20" s="19" t="n">
        <f aca="false">IFERROR(AVERAGE('Enter data'!$B$57:$B$86),"")</f>
        <v>52.7</v>
      </c>
    </row>
    <row r="21" customFormat="false" ht="15" hidden="false" customHeight="false" outlineLevel="0" collapsed="false">
      <c r="B21" s="17" t="s">
        <v>51</v>
      </c>
      <c r="C21" s="20" t="n">
        <f aca="false">IFERROR(TTEST('Enter data'!$A$57:$A$86,'Enter data'!$B$57:$B$86,2,3),"")</f>
        <v>1.55539630866113E-005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2026-10-01T00:29:23Z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2026-10-01T00:29:23Z</dcterms:modified>
  <cp:revision>0</cp:revision>
  <dc:subject/>
  <dc:title>BOT-05 Stem anatomy: vascular bundle density and vessel width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