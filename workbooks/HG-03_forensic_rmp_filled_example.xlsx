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<sst xmlns="http://schemas.openxmlformats.org/spreadsheetml/2006/main" count="59" uniqueCount="53">
  <si>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HG-03  Forensic DNA: random match probability</t>
  </si>
  <si>
    <t xml:space="preserve">Excel version of the card. It does the same calculations as the R script hg03_forensic_rmp.R.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</si>
  <si>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</si>
  <si>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</si>
  <si>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</si>
  <si>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</si>
  <si>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</si>
  <si>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</si>
  <si>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</si>
  <si>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</si>
  <si>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Genotype frequency: homozygote [2t + (1 - t)p][3t + (1 - t)p] / [(1 + t)(1 + 2t)]; heterozygote 2 [t + (1 - t)pi][t + (1 - t)pj] / [(1 + t)(1 + 2t)], with t = theta (NRC II 1996, eq. 4.10). t = 0 gives p^2 and 2 pi pj.</t>
  </si>
  <si>
    <t xml:space="preserve">The allele frequencies in the filled example are SYNTHETIC teaching values, not a population database. Use a published frequency table (with its terms of use checked) and cite it. Use only synthetic or published profiles; never casework or real persons' profiles.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</si>
  <si>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</si>
  <si>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</si>
  <si>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</si>
  <si>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</si>
  <si>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Profile: one row per locus (enter the allele frequencies; if both alleles are the same, enter the same label and frequency)</t>
  </si>
  <si>
    <t xml:space="preserve">Locus</t>
  </si>
  <si>
    <t xml:space="preserve">Allele 1 label</t>
  </si>
  <si>
    <t xml:space="preserve">Allele 2 label</t>
  </si>
  <si>
    <t xml:space="preserve">Frequency of allele 1</t>
  </si>
  <si>
    <t xml:space="preserve">Frequency of allele 2</t>
  </si>
  <si>
    <t xml:space="preserve">Genotype frequency, theta = 0</t>
  </si>
  <si>
    <t xml:space="preserve">Genotype frequency with theta</t>
  </si>
  <si>
    <t xml:space="preserve">L1</t>
  </si>
  <si>
    <t xml:space="preserve">12</t>
  </si>
  <si>
    <t xml:space="preserve">13</t>
  </si>
  <si>
    <t xml:space="preserve">L2</t>
  </si>
  <si>
    <t xml:space="preserve">10</t>
  </si>
  <si>
    <t xml:space="preserve">L3</t>
  </si>
  <si>
    <t xml:space="preserve">17</t>
  </si>
  <si>
    <t xml:space="preserve">18</t>
  </si>
  <si>
    <t xml:space="preserve">L4</t>
  </si>
  <si>
    <t xml:space="preserve">8</t>
  </si>
  <si>
    <t xml:space="preserve">9</t>
  </si>
  <si>
    <t xml:space="preserve">L5</t>
  </si>
  <si>
    <t xml:space="preserve">22</t>
  </si>
  <si>
    <t xml:space="preserve">Results</t>
  </si>
  <si>
    <t xml:space="preserve">Everything on this sheet is calculated. Change only the yellow settings.</t>
  </si>
  <si>
    <t xml:space="preserve">Settings</t>
  </si>
  <si>
    <t xml:space="preserve">Theta (population substructure)</t>
  </si>
  <si>
    <t xml:space="preserve">0.01 to 0.03 are values often used for teaching.</t>
  </si>
  <si>
    <t xml:space="preserve">Number of possible sources</t>
  </si>
  <si>
    <t xml:space="preserve">Random match probability</t>
  </si>
  <si>
    <t xml:space="preserve">Loci used</t>
  </si>
  <si>
    <t xml:space="preserve">Random match probability, theta = 0</t>
  </si>
  <si>
    <t xml:space="preserve">1 in</t>
  </si>
  <si>
    <t xml:space="preserve">Random match probability with theta</t>
  </si>
  <si>
    <t xml:space="preserve">What a match means (with theta = 0)</t>
  </si>
  <si>
    <t xml:space="preserve">Expected chance matches among the possible sources</t>
  </si>
  <si>
    <t xml:space="preserve">Posterior odds that the suspect is the source (prior odds 1 : (N - 1))</t>
  </si>
  <si>
    <t xml:space="preserve">Probability the suspect is the source, given a match and no other evidence</t>
  </si>
  <si>
    <t xml:space="preserve">Chance of at least one coincidental match among N unrelated people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</si>
</sst>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"/>
    <numFmt numFmtId="167" formatCode="0.000E+00"/>
    <numFmt numFmtId="168" formatCode="#,##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6" t="s">
        <v>12</v>
      </c>
    </row>
    <row r="18" customFormat="false" ht="15" hidden="false" customHeight="false" outlineLevel="0" collapsed="false">
      <c r="B18" s="2"/>
    </row>
    <row r="19" customFormat="false" ht="22.35" hidden="false" customHeight="false" outlineLevel="0" collapsed="false">
      <c r="B19" s="6" t="s">
        <v>13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14</v>
      </c>
    </row>
    <row r="2" customFormat="false" ht="15" hidden="false" customHeight="false" outlineLevel="0" collapsed="false">
      <c r="A2" s="8" t="s">
        <v>15</v>
      </c>
    </row>
    <row r="4" customFormat="false" ht="15" hidden="false" customHeight="false" outlineLevel="0" collapsed="false">
      <c r="A4" s="9" t="s">
        <v>16</v>
      </c>
    </row>
    <row r="5" customFormat="false" ht="31.5" hidden="false" customHeight="true" outlineLevel="0" collapsed="false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21</v>
      </c>
      <c r="F5" s="10" t="s">
        <v>22</v>
      </c>
      <c r="G5" s="10" t="s">
        <v>23</v>
      </c>
    </row>
    <row r="6" customFormat="false" ht="15" hidden="false" customHeight="false" outlineLevel="0" collapsed="false">
      <c r="A6" s="11" t="s">
        <v>24</v>
      </c>
      <c r="B6" s="11" t="s">
        <v>25</v>
      </c>
      <c r="C6" s="11" t="s">
        <v>26</v>
      </c>
      <c r="D6" s="11" t="n">
        <v>0.25</v>
      </c>
      <c r="E6" s="11" t="n">
        <v>0.3</v>
      </c>
    </row>
    <row r="7" customFormat="false" ht="15" hidden="false" customHeight="false" outlineLevel="0" collapsed="false">
      <c r="A7" s="12" t="s">
        <v>24</v>
      </c>
      <c r="B7" s="12" t="s">
        <v>25</v>
      </c>
      <c r="C7" s="12" t="s">
        <v>26</v>
      </c>
      <c r="D7" s="12" t="n">
        <v>0.25</v>
      </c>
      <c r="E7" s="12" t="n">
        <v>0.3</v>
      </c>
      <c r="F7" s="13" t="n">
        <f aca="false">IF(AND(ISNUMBER(D7),ISNUMBER(E7)),IF(B7=C7,D7^2,2*D7*E7),"")</f>
        <v>0.15</v>
      </c>
      <c r="G7" s="13" t="n">
        <f aca="false">IF(AND(ISNUMBER(D7),ISNUMBER(E7)),IF(B7=C7,((2*Results!$C$5+(1-Results!$C$5)*D7)*(3*Results!$C$5+(1-Results!$C$5)*D7))/((1+Results!$C$5)*(1+2*Results!$C$5)),2*(Results!$C$5+(1-Results!$C$5)*D7)*(Results!$C$5+(1-Results!$C$5)*E7)/((1+Results!$C$5)*(1+2*Results!$C$5))),"")</f>
        <v>0.160235391097271</v>
      </c>
    </row>
    <row r="8" customFormat="false" ht="15" hidden="false" customHeight="false" outlineLevel="0" collapsed="false">
      <c r="A8" s="12" t="s">
        <v>27</v>
      </c>
      <c r="B8" s="12" t="s">
        <v>28</v>
      </c>
      <c r="C8" s="12" t="s">
        <v>28</v>
      </c>
      <c r="D8" s="12" t="n">
        <v>0.35</v>
      </c>
      <c r="E8" s="12" t="n">
        <v>0.35</v>
      </c>
      <c r="F8" s="13" t="n">
        <f aca="false">IF(AND(ISNUMBER(D8),ISNUMBER(E8)),IF(B8=C8,D8^2,2*D8*E8),"")</f>
        <v>0.1225</v>
      </c>
      <c r="G8" s="13" t="n">
        <f aca="false">IF(AND(ISNUMBER(D8),ISNUMBER(E8)),IF(B8=C8,((2*Results!$C$5+(1-Results!$C$5)*D8)*(3*Results!$C$5+(1-Results!$C$5)*D8))/((1+Results!$C$5)*(1+2*Results!$C$5)),2*(Results!$C$5+(1-Results!$C$5)*D8)*(Results!$C$5+(1-Results!$C$5)*E8)/((1+Results!$C$5)*(1+2*Results!$C$5))),"")</f>
        <v>0.157158133357758</v>
      </c>
    </row>
    <row r="9" customFormat="false" ht="15" hidden="false" customHeight="false" outlineLevel="0" collapsed="false">
      <c r="A9" s="12" t="s">
        <v>29</v>
      </c>
      <c r="B9" s="12" t="s">
        <v>30</v>
      </c>
      <c r="C9" s="12" t="s">
        <v>31</v>
      </c>
      <c r="D9" s="12" t="n">
        <v>0.3</v>
      </c>
      <c r="E9" s="12" t="n">
        <v>0.3</v>
      </c>
      <c r="F9" s="13" t="n">
        <f aca="false">IF(AND(ISNUMBER(D9),ISNUMBER(E9)),IF(B9=C9,D9^2,2*D9*E9),"")</f>
        <v>0.18</v>
      </c>
      <c r="G9" s="13" t="n">
        <f aca="false">IF(AND(ISNUMBER(D9),ISNUMBER(E9)),IF(B9=C9,((2*Results!$C$5+(1-Results!$C$5)*D9)*(3*Results!$C$5+(1-Results!$C$5)*D9))/((1+Results!$C$5)*(1+2*Results!$C$5)),2*(Results!$C$5+(1-Results!$C$5)*D9)*(Results!$C$5+(1-Results!$C$5)*E9)/((1+Results!$C$5)*(1+2*Results!$C$5))),"")</f>
        <v>0.188754350613665</v>
      </c>
    </row>
    <row r="10" customFormat="false" ht="15" hidden="false" customHeight="false" outlineLevel="0" collapsed="false">
      <c r="A10" s="12" t="s">
        <v>32</v>
      </c>
      <c r="B10" s="12" t="s">
        <v>33</v>
      </c>
      <c r="C10" s="12" t="s">
        <v>34</v>
      </c>
      <c r="D10" s="12" t="n">
        <v>0.4</v>
      </c>
      <c r="E10" s="12" t="n">
        <v>0.25</v>
      </c>
      <c r="F10" s="13" t="n">
        <f aca="false">IF(AND(ISNUMBER(D10),ISNUMBER(E10)),IF(B10=C10,D10^2,2*D10*E10),"")</f>
        <v>0.2</v>
      </c>
      <c r="G10" s="13" t="n">
        <f aca="false">IF(AND(ISNUMBER(D10),ISNUMBER(E10)),IF(B10=C10,((2*Results!$C$5+(1-Results!$C$5)*D10)*(3*Results!$C$5+(1-Results!$C$5)*D10))/((1+Results!$C$5)*(1+2*Results!$C$5)),2*(Results!$C$5+(1-Results!$C$5)*D10)*(Results!$C$5+(1-Results!$C$5)*E10)/((1+Results!$C$5)*(1+2*Results!$C$5))),"")</f>
        <v>0.208655431397692</v>
      </c>
    </row>
    <row r="11" customFormat="false" ht="15" hidden="false" customHeight="false" outlineLevel="0" collapsed="false">
      <c r="A11" s="12" t="s">
        <v>35</v>
      </c>
      <c r="B11" s="12" t="s">
        <v>36</v>
      </c>
      <c r="C11" s="12" t="s">
        <v>36</v>
      </c>
      <c r="D11" s="12" t="n">
        <v>0.3</v>
      </c>
      <c r="E11" s="12" t="n">
        <v>0.3</v>
      </c>
      <c r="F11" s="13" t="n">
        <f aca="false">IF(AND(ISNUMBER(D11),ISNUMBER(E11)),IF(B11=C11,D11^2,2*D11*E11),"")</f>
        <v>0.09</v>
      </c>
      <c r="G11" s="13" t="n">
        <f aca="false">IF(AND(ISNUMBER(D11),ISNUMBER(E11)),IF(B11=C11,((2*Results!$C$5+(1-Results!$C$5)*D11)*(3*Results!$C$5+(1-Results!$C$5)*D11))/((1+Results!$C$5)*(1+2*Results!$C$5)),2*(Results!$C$5+(1-Results!$C$5)*D11)*(Results!$C$5+(1-Results!$C$5)*E11)/((1+Results!$C$5)*(1+2*Results!$C$5))),"")</f>
        <v>0.122486719179337</v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3" t="str">
        <f aca="false">IF(AND(ISNUMBER(D12),ISNUMBER(E12)),IF(B12=C12,D12^2,2*D12*E12),"")</f>
        <v/>
      </c>
      <c r="G12" s="13" t="str">
        <f aca="false">IF(AND(ISNUMBER(D12),ISNUMBER(E12)),IF(B12=C12,((2*Results!$C$5+(1-Results!$C$5)*D12)*(3*Results!$C$5+(1-Results!$C$5)*D12))/((1+Results!$C$5)*(1+2*Results!$C$5)),2*(Results!$C$5+(1-Results!$C$5)*D12)*(Results!$C$5+(1-Results!$C$5)*E12)/((1+Results!$C$5)*(1+2*Results!$C$5))),"")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3" t="str">
        <f aca="false">IF(AND(ISNUMBER(D13),ISNUMBER(E13)),IF(B13=C13,D13^2,2*D13*E13),"")</f>
        <v/>
      </c>
      <c r="G13" s="13" t="str">
        <f aca="false">IF(AND(ISNUMBER(D13),ISNUMBER(E13)),IF(B13=C13,((2*Results!$C$5+(1-Results!$C$5)*D13)*(3*Results!$C$5+(1-Results!$C$5)*D13))/((1+Results!$C$5)*(1+2*Results!$C$5)),2*(Results!$C$5+(1-Results!$C$5)*D13)*(Results!$C$5+(1-Results!$C$5)*E13)/((1+Results!$C$5)*(1+2*Results!$C$5))),"")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3" t="str">
        <f aca="false">IF(AND(ISNUMBER(D14),ISNUMBER(E14)),IF(B14=C14,D14^2,2*D14*E14),"")</f>
        <v/>
      </c>
      <c r="G14" s="13" t="str">
        <f aca="false">IF(AND(ISNUMBER(D14),ISNUMBER(E14)),IF(B14=C14,((2*Results!$C$5+(1-Results!$C$5)*D14)*(3*Results!$C$5+(1-Results!$C$5)*D14))/((1+Results!$C$5)*(1+2*Results!$C$5)),2*(Results!$C$5+(1-Results!$C$5)*D14)*(Results!$C$5+(1-Results!$C$5)*E14)/((1+Results!$C$5)*(1+2*Results!$C$5))),"")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3" t="str">
        <f aca="false">IF(AND(ISNUMBER(D15),ISNUMBER(E15)),IF(B15=C15,D15^2,2*D15*E15),"")</f>
        <v/>
      </c>
      <c r="G15" s="13" t="str">
        <f aca="false">IF(AND(ISNUMBER(D15),ISNUMBER(E15)),IF(B15=C15,((2*Results!$C$5+(1-Results!$C$5)*D15)*(3*Results!$C$5+(1-Results!$C$5)*D15))/((1+Results!$C$5)*(1+2*Results!$C$5)),2*(Results!$C$5+(1-Results!$C$5)*D15)*(Results!$C$5+(1-Results!$C$5)*E15)/((1+Results!$C$5)*(1+2*Results!$C$5))),"")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3" t="str">
        <f aca="false">IF(AND(ISNUMBER(D16),ISNUMBER(E16)),IF(B16=C16,D16^2,2*D16*E16),"")</f>
        <v/>
      </c>
      <c r="G16" s="13" t="str">
        <f aca="false">IF(AND(ISNUMBER(D16),ISNUMBER(E16)),IF(B16=C16,((2*Results!$C$5+(1-Results!$C$5)*D16)*(3*Results!$C$5+(1-Results!$C$5)*D16))/((1+Results!$C$5)*(1+2*Results!$C$5)),2*(Results!$C$5+(1-Results!$C$5)*D16)*(Results!$C$5+(1-Results!$C$5)*E16)/((1+Results!$C$5)*(1+2*Results!$C$5))),"")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3" t="str">
        <f aca="false">IF(AND(ISNUMBER(D17),ISNUMBER(E17)),IF(B17=C17,D17^2,2*D17*E17),"")</f>
        <v/>
      </c>
      <c r="G17" s="13" t="str">
        <f aca="false">IF(AND(ISNUMBER(D17),ISNUMBER(E17)),IF(B17=C17,((2*Results!$C$5+(1-Results!$C$5)*D17)*(3*Results!$C$5+(1-Results!$C$5)*D17))/((1+Results!$C$5)*(1+2*Results!$C$5)),2*(Results!$C$5+(1-Results!$C$5)*D17)*(Results!$C$5+(1-Results!$C$5)*E17)/((1+Results!$C$5)*(1+2*Results!$C$5))),"")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3" t="str">
        <f aca="false">IF(AND(ISNUMBER(D18),ISNUMBER(E18)),IF(B18=C18,D18^2,2*D18*E18),"")</f>
        <v/>
      </c>
      <c r="G18" s="13" t="str">
        <f aca="false">IF(AND(ISNUMBER(D18),ISNUMBER(E18)),IF(B18=C18,((2*Results!$C$5+(1-Results!$C$5)*D18)*(3*Results!$C$5+(1-Results!$C$5)*D18))/((1+Results!$C$5)*(1+2*Results!$C$5)),2*(Results!$C$5+(1-Results!$C$5)*D18)*(Results!$C$5+(1-Results!$C$5)*E18)/((1+Results!$C$5)*(1+2*Results!$C$5))),"")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3" t="str">
        <f aca="false">IF(AND(ISNUMBER(D19),ISNUMBER(E19)),IF(B19=C19,D19^2,2*D19*E19),"")</f>
        <v/>
      </c>
      <c r="G19" s="13" t="str">
        <f aca="false">IF(AND(ISNUMBER(D19),ISNUMBER(E19)),IF(B19=C19,((2*Results!$C$5+(1-Results!$C$5)*D19)*(3*Results!$C$5+(1-Results!$C$5)*D19))/((1+Results!$C$5)*(1+2*Results!$C$5)),2*(Results!$C$5+(1-Results!$C$5)*D19)*(Results!$C$5+(1-Results!$C$5)*E19)/((1+Results!$C$5)*(1+2*Results!$C$5))),"")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3" t="str">
        <f aca="false">IF(AND(ISNUMBER(D20),ISNUMBER(E20)),IF(B20=C20,D20^2,2*D20*E20),"")</f>
        <v/>
      </c>
      <c r="G20" s="13" t="str">
        <f aca="false">IF(AND(ISNUMBER(D20),ISNUMBER(E20)),IF(B20=C20,((2*Results!$C$5+(1-Results!$C$5)*D20)*(3*Results!$C$5+(1-Results!$C$5)*D20))/((1+Results!$C$5)*(1+2*Results!$C$5)),2*(Results!$C$5+(1-Results!$C$5)*D20)*(Results!$C$5+(1-Results!$C$5)*E20)/((1+Results!$C$5)*(1+2*Results!$C$5))),"")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3" t="str">
        <f aca="false">IF(AND(ISNUMBER(D21),ISNUMBER(E21)),IF(B21=C21,D21^2,2*D21*E21),"")</f>
        <v/>
      </c>
      <c r="G21" s="13" t="str">
        <f aca="false">IF(AND(ISNUMBER(D21),ISNUMBER(E21)),IF(B21=C21,((2*Results!$C$5+(1-Results!$C$5)*D21)*(3*Results!$C$5+(1-Results!$C$5)*D21))/((1+Results!$C$5)*(1+2*Results!$C$5)),2*(Results!$C$5+(1-Results!$C$5)*D21)*(Results!$C$5+(1-Results!$C$5)*E21)/((1+Results!$C$5)*(1+2*Results!$C$5))),"")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3" t="str">
        <f aca="false">IF(AND(ISNUMBER(D22),ISNUMBER(E22)),IF(B22=C22,D22^2,2*D22*E22),"")</f>
        <v/>
      </c>
      <c r="G22" s="13" t="str">
        <f aca="false">IF(AND(ISNUMBER(D22),ISNUMBER(E22)),IF(B22=C22,((2*Results!$C$5+(1-Results!$C$5)*D22)*(3*Results!$C$5+(1-Results!$C$5)*D22))/((1+Results!$C$5)*(1+2*Results!$C$5)),2*(Results!$C$5+(1-Results!$C$5)*D22)*(Results!$C$5+(1-Results!$C$5)*E22)/((1+Results!$C$5)*(1+2*Results!$C$5))),"")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3" t="str">
        <f aca="false">IF(AND(ISNUMBER(D23),ISNUMBER(E23)),IF(B23=C23,D23^2,2*D23*E23),"")</f>
        <v/>
      </c>
      <c r="G23" s="13" t="str">
        <f aca="false">IF(AND(ISNUMBER(D23),ISNUMBER(E23)),IF(B23=C23,((2*Results!$C$5+(1-Results!$C$5)*D23)*(3*Results!$C$5+(1-Results!$C$5)*D23))/((1+Results!$C$5)*(1+2*Results!$C$5)),2*(Results!$C$5+(1-Results!$C$5)*D23)*(Results!$C$5+(1-Results!$C$5)*E23)/((1+Results!$C$5)*(1+2*Results!$C$5))),"")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3" t="str">
        <f aca="false">IF(AND(ISNUMBER(D24),ISNUMBER(E24)),IF(B24=C24,D24^2,2*D24*E24),"")</f>
        <v/>
      </c>
      <c r="G24" s="13" t="str">
        <f aca="false">IF(AND(ISNUMBER(D24),ISNUMBER(E24)),IF(B24=C24,((2*Results!$C$5+(1-Results!$C$5)*D24)*(3*Results!$C$5+(1-Results!$C$5)*D24))/((1+Results!$C$5)*(1+2*Results!$C$5)),2*(Results!$C$5+(1-Results!$C$5)*D24)*(Results!$C$5+(1-Results!$C$5)*E24)/((1+Results!$C$5)*(1+2*Results!$C$5))),"")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3" t="str">
        <f aca="false">IF(AND(ISNUMBER(D25),ISNUMBER(E25)),IF(B25=C25,D25^2,2*D25*E25),"")</f>
        <v/>
      </c>
      <c r="G25" s="13" t="str">
        <f aca="false">IF(AND(ISNUMBER(D25),ISNUMBER(E25)),IF(B25=C25,((2*Results!$C$5+(1-Results!$C$5)*D25)*(3*Results!$C$5+(1-Results!$C$5)*D25))/((1+Results!$C$5)*(1+2*Results!$C$5)),2*(Results!$C$5+(1-Results!$C$5)*D25)*(Results!$C$5+(1-Results!$C$5)*E25)/((1+Results!$C$5)*(1+2*Results!$C$5))),"")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3" t="str">
        <f aca="false">IF(AND(ISNUMBER(D26),ISNUMBER(E26)),IF(B26=C26,D26^2,2*D26*E26),"")</f>
        <v/>
      </c>
      <c r="G26" s="13" t="str">
        <f aca="false">IF(AND(ISNUMBER(D26),ISNUMBER(E26)),IF(B26=C26,((2*Results!$C$5+(1-Results!$C$5)*D26)*(3*Results!$C$5+(1-Results!$C$5)*D26))/((1+Results!$C$5)*(1+2*Results!$C$5)),2*(Results!$C$5+(1-Results!$C$5)*D26)*(Results!$C$5+(1-Results!$C$5)*E26)/((1+Results!$C$5)*(1+2*Results!$C$5))),"")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D7:E2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37</v>
      </c>
    </row>
    <row r="2" customFormat="false" ht="15" hidden="false" customHeight="false" outlineLevel="0" collapsed="false">
      <c r="B2" s="8" t="s">
        <v>38</v>
      </c>
    </row>
    <row r="4" customFormat="false" ht="15" hidden="false" customHeight="false" outlineLevel="0" collapsed="false">
      <c r="B4" s="9" t="s">
        <v>39</v>
      </c>
    </row>
    <row r="5" customFormat="false" ht="15" hidden="false" customHeight="false" outlineLevel="0" collapsed="false">
      <c r="B5" s="14" t="s">
        <v>40</v>
      </c>
      <c r="C5" s="12" t="n">
        <v>0.03</v>
      </c>
      <c r="D5" s="8" t="s">
        <v>41</v>
      </c>
    </row>
    <row r="6" customFormat="false" ht="15" hidden="false" customHeight="false" outlineLevel="0" collapsed="false">
      <c r="B6" s="14" t="s">
        <v>42</v>
      </c>
      <c r="C6" s="12" t="n">
        <v>100000</v>
      </c>
      <c r="D6" s="8"/>
    </row>
    <row r="8" customFormat="false" ht="15" hidden="false" customHeight="false" outlineLevel="0" collapsed="false">
      <c r="B8" s="9" t="s">
        <v>43</v>
      </c>
    </row>
    <row r="9" customFormat="false" ht="15" hidden="false" customHeight="false" outlineLevel="0" collapsed="false">
      <c r="B9" s="14" t="s">
        <v>44</v>
      </c>
      <c r="C9" s="15" t="n">
        <f aca="false">IFERROR(COUNT('Enter data'!$F$7:$F$26),"")</f>
        <v>5</v>
      </c>
    </row>
    <row r="10" customFormat="false" ht="15" hidden="false" customHeight="false" outlineLevel="0" collapsed="false">
      <c r="B10" s="14" t="s">
        <v>45</v>
      </c>
      <c r="C10" s="16" t="n">
        <f aca="false">IFERROR(PRODUCT('Enter data'!$F$7:$F$26),"")</f>
        <v>5.9535E-005</v>
      </c>
    </row>
    <row r="11" customFormat="false" ht="15" hidden="false" customHeight="false" outlineLevel="0" collapsed="false">
      <c r="B11" s="14" t="s">
        <v>46</v>
      </c>
      <c r="C11" s="17" t="n">
        <f aca="false">IFERROR(1/$C$10,"")</f>
        <v>16796.8421936676</v>
      </c>
    </row>
    <row r="12" customFormat="false" ht="15" hidden="false" customHeight="false" outlineLevel="0" collapsed="false">
      <c r="B12" s="14" t="s">
        <v>47</v>
      </c>
      <c r="C12" s="16" t="n">
        <f aca="false">IFERROR(PRODUCT('Enter data'!$G$7:$G$26),"")</f>
        <v>0.000121481731486483</v>
      </c>
    </row>
    <row r="13" customFormat="false" ht="15" hidden="false" customHeight="false" outlineLevel="0" collapsed="false">
      <c r="B13" s="14" t="s">
        <v>46</v>
      </c>
      <c r="C13" s="17" t="n">
        <f aca="false">IFERROR(1/$C$12,"")</f>
        <v>8231.69037651777</v>
      </c>
    </row>
    <row r="15" customFormat="false" ht="15" hidden="false" customHeight="false" outlineLevel="0" collapsed="false">
      <c r="B15" s="9" t="s">
        <v>48</v>
      </c>
    </row>
    <row r="16" customFormat="false" ht="15" hidden="false" customHeight="false" outlineLevel="0" collapsed="false">
      <c r="B16" s="14" t="s">
        <v>49</v>
      </c>
      <c r="C16" s="18" t="n">
        <f aca="false">IFERROR($C$10*Results!$C$6,"")</f>
        <v>5.9535</v>
      </c>
    </row>
    <row r="17" customFormat="false" ht="15" hidden="false" customHeight="false" outlineLevel="0" collapsed="false">
      <c r="B17" s="14" t="s">
        <v>50</v>
      </c>
      <c r="C17" s="19" t="n">
        <f aca="false">IFERROR((1/(Results!$C$6-1))/$C$10,"")</f>
        <v>0.167970101637692</v>
      </c>
    </row>
    <row r="18" customFormat="false" ht="15" hidden="false" customHeight="false" outlineLevel="0" collapsed="false">
      <c r="B18" s="14" t="s">
        <v>51</v>
      </c>
      <c r="C18" s="19" t="n">
        <f aca="false">IFERROR($C$17/(1+$C$17),"")</f>
        <v>0.143813699855989</v>
      </c>
    </row>
    <row r="19" customFormat="false" ht="15" hidden="false" customHeight="false" outlineLevel="0" collapsed="false">
      <c r="B19" s="14" t="s">
        <v>52</v>
      </c>
      <c r="C19" s="19" t="n">
        <f aca="false">IFERROR(1-(1-$C$10)^Results!$C$6,"")</f>
        <v>0.997403724154388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2026-10-01T00:32:06Z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2026-10-01T00:32:06Z</dcterms:modified>
  <cp:revision>0</cp:revision>
  <dc:subject/>
  <dc:title>HG-03 Forensic DNA: random match probability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