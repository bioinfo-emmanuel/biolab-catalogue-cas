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<sst xmlns="http://schemas.openxmlformats.org/spreadsheetml/2006/main" count="130" uniqueCount="104">
  <si>
    <t xml:space="preserve">AP-04  Lung volumes with a homemade spirometer</t>
  </si>
  <si>
    <t xml:space="preserve">Excel version of the card. It does the same calculations as the R script ap04_spirometer.R.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</si>
  <si>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</si>
  <si>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</si>
  <si>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</si>
  <si>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</si>
  <si>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</si>
  <si>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</si>
  <si>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</si>
  <si>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</si>
  <si>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Step 1: calibrate the bottle. Step 2: convert each water-level reading to millilitres. The volume for each measure is the mean of the two largest trials if they agree within 5 percent; otherwise the mean of all trials.</t>
  </si>
  <si>
    <t xml:space="preserve">The device cannot measure residual volume or total lung capacity. Readings are for teaching and are not medical advice. Use anonymous codes; approval for student-subject activities is assumed to have been granted.</t>
  </si>
  <si>
    <t xml:space="preserve">Differences from the R script on the card</t>
  </si>
  <si>
    <t xml:space="preserve">The R script starts from raw trial volumes. Here the vital capacity trials are entered in millilitres after you convert marks with the calibration line (shown below).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</si>
  <si>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</si>
  <si>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</si>
  <si>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</si>
  <si>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</si>
  <si>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Bottle calibration (add known volumes of water, read the mark)</t>
  </si>
  <si>
    <t xml:space="preserve">Volume added (mL)</t>
  </si>
  <si>
    <t xml:space="preserve">Water-level mark (cm)</t>
  </si>
  <si>
    <t xml:space="preserve">2. Students (volumes in mL)</t>
  </si>
  <si>
    <t xml:space="preserve">Subject code</t>
  </si>
  <si>
    <t xml:space="preserve">Sex (F or M)</t>
  </si>
  <si>
    <t xml:space="preserve">Height (cm)</t>
  </si>
  <si>
    <t xml:space="preserve">Vital capacity, trial 1</t>
  </si>
  <si>
    <t xml:space="preserve">Trial 2</t>
  </si>
  <si>
    <t xml:space="preserve">Trial 3</t>
  </si>
  <si>
    <t xml:space="preserve">Tidal volume (mean)</t>
  </si>
  <si>
    <t xml:space="preserve">Expiratory reserve volume (mean)</t>
  </si>
  <si>
    <t xml:space="preserve">Vital capacity (mL)</t>
  </si>
  <si>
    <t xml:space="preserve">Inspiratory reserve volume (mL)</t>
  </si>
  <si>
    <t xml:space="preserve">Height (model)</t>
  </si>
  <si>
    <t xml:space="preserve">Male = 1 (model)</t>
  </si>
  <si>
    <t xml:space="preserve">Vital capacity (model)</t>
  </si>
  <si>
    <t xml:space="preserve">Row used</t>
  </si>
  <si>
    <t xml:space="preserve">S1</t>
  </si>
  <si>
    <t xml:space="preserve">F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</si>
  <si>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</si>
  <si>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</si>
  <si>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</si>
  <si>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</si>
  <si>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</si>
  <si>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</si>
  <si>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</si>
  <si>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</si>
  <si>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</si>
  <si>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</si>
  <si>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</si>
  <si>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</si>
  <si>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M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</si>
  <si>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</si>
  <si>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</si>
  <si>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</si>
  <si>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</si>
  <si>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</si>
  <si>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</si>
  <si>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</si>
  <si>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</si>
  <si>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</si>
  <si>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</si>
  <si>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</si>
  <si>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</si>
  <si>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</si>
  <si>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</si>
  <si>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Agreement allowed between the two largest trials</t>
  </si>
  <si>
    <t xml:space="preserve">Calibration line (volume = intercept + slope x mark)</t>
  </si>
  <si>
    <t xml:space="preserve">Points used</t>
  </si>
  <si>
    <t xml:space="preserve">Slope (mL per cm)</t>
  </si>
  <si>
    <t xml:space="preserve">Intercept (mL per cm)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</si>
  <si>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</si>
  <si>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</si>
  <si>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</si>
  <si>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</si>
  <si>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</si>
  <si>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Vital capacity by sex (mL)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</si>
  <si>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</si>
  <si>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</si>
  <si>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</si>
  <si>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</si>
  <si>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</si>
  <si>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Vital capacity regressed on height and sex</t>
  </si>
  <si>
    <t xml:space="preserve">Rows used</t>
  </si>
  <si>
    <t xml:space="preserve">Mean of x1</t>
  </si>
  <si>
    <t xml:space="preserve">Mean of x2</t>
  </si>
  <si>
    <t xml:space="preserve">Mean of y</t>
  </si>
  <si>
    <t xml:space="preserve">Sum of squares of x1</t>
  </si>
  <si>
    <t xml:space="preserve">Sum of squares of x2</t>
  </si>
  <si>
    <t xml:space="preserve">Cross products x1, x2</t>
  </si>
  <si>
    <t xml:space="preserve">Cross products x1, y</t>
  </si>
  <si>
    <t xml:space="preserve">Cross products x2, y</t>
  </si>
  <si>
    <t xml:space="preserve">Sum of squares of y</t>
  </si>
  <si>
    <t xml:space="preserve">mL per centimetre of height</t>
  </si>
  <si>
    <t xml:space="preserve">Males minus females at the same height (mL)</t>
  </si>
  <si>
    <t xml:space="preserve">Intercept</t>
  </si>
  <si>
    <t xml:space="preserve">Residual sum of squares</t>
  </si>
  <si>
    <t xml:space="preserve">Standard error of slope 1</t>
  </si>
  <si>
    <t xml:space="preserve">Standard error of slope 2</t>
  </si>
  <si>
    <t xml:space="preserve">95% interval for slope 1, lower</t>
  </si>
  <si>
    <t xml:space="preserve">95% interval for slope 1, upper</t>
  </si>
  <si>
    <t xml:space="preserve">Other measures</t>
  </si>
  <si>
    <t xml:space="preserve">Mean tidal volume (mL)</t>
  </si>
  <si>
    <t xml:space="preserve">Mean expiratory reserve volume (mL)</t>
  </si>
  <si>
    <t xml:space="preserve">Mean inspiratory reserve volume (mL)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</si>
</sst>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\-0.000;;@"/>
    <numFmt numFmtId="166" formatCode="0"/>
    <numFmt numFmtId="167" formatCode="0.00"/>
    <numFmt numFmtId="168" formatCode="0.00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n">
        <v>1000</v>
      </c>
      <c r="B6" s="11" t="n">
        <v>6.7</v>
      </c>
    </row>
    <row r="7" customFormat="false" ht="15" hidden="false" customHeight="false" outlineLevel="0" collapsed="false">
      <c r="A7" s="12" t="n">
        <v>500</v>
      </c>
      <c r="B7" s="12" t="n">
        <v>3.3</v>
      </c>
    </row>
    <row r="8" customFormat="false" ht="15" hidden="false" customHeight="false" outlineLevel="0" collapsed="false">
      <c r="A8" s="12" t="n">
        <v>1000</v>
      </c>
      <c r="B8" s="12" t="n">
        <v>6.6</v>
      </c>
    </row>
    <row r="9" customFormat="false" ht="15" hidden="false" customHeight="false" outlineLevel="0" collapsed="false">
      <c r="A9" s="12" t="n">
        <v>1500</v>
      </c>
      <c r="B9" s="12" t="n">
        <v>10.2</v>
      </c>
    </row>
    <row r="10" customFormat="false" ht="15" hidden="false" customHeight="false" outlineLevel="0" collapsed="false">
      <c r="A10" s="12" t="n">
        <v>2000</v>
      </c>
      <c r="B10" s="12" t="n">
        <v>13.4</v>
      </c>
    </row>
    <row r="11" customFormat="false" ht="15" hidden="false" customHeight="false" outlineLevel="0" collapsed="false">
      <c r="A11" s="12" t="n">
        <v>2500</v>
      </c>
      <c r="B11" s="12" t="n">
        <v>16.5</v>
      </c>
    </row>
    <row r="12" customFormat="false" ht="15" hidden="false" customHeight="false" outlineLevel="0" collapsed="false">
      <c r="A12" s="12" t="n">
        <v>3000</v>
      </c>
      <c r="B12" s="12" t="n">
        <v>20</v>
      </c>
    </row>
    <row r="13" customFormat="false" ht="15" hidden="false" customHeight="false" outlineLevel="0" collapsed="false">
      <c r="A13" s="12" t="n">
        <v>3500</v>
      </c>
      <c r="B13" s="12" t="n">
        <v>23.3</v>
      </c>
    </row>
    <row r="14" customFormat="false" ht="15" hidden="false" customHeight="false" outlineLevel="0" collapsed="false">
      <c r="A14" s="12" t="n">
        <v>4000</v>
      </c>
      <c r="B14" s="12" t="n">
        <v>26.7</v>
      </c>
    </row>
    <row r="15" customFormat="false" ht="15" hidden="false" customHeight="false" outlineLevel="0" collapsed="false">
      <c r="A15" s="12" t="n">
        <v>4500</v>
      </c>
      <c r="B15" s="12" t="n">
        <v>29.8</v>
      </c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21" customFormat="false" ht="15" hidden="false" customHeight="false" outlineLevel="0" collapsed="false">
      <c r="A21" s="9" t="s">
        <v>21</v>
      </c>
    </row>
    <row r="22" customFormat="false" ht="31.5" hidden="false" customHeight="true" outlineLevel="0" collapsed="false">
      <c r="A22" s="10" t="s">
        <v>22</v>
      </c>
      <c r="B22" s="10" t="s">
        <v>23</v>
      </c>
      <c r="C22" s="10" t="s">
        <v>24</v>
      </c>
      <c r="D22" s="10" t="s">
        <v>25</v>
      </c>
      <c r="E22" s="10" t="s">
        <v>26</v>
      </c>
      <c r="F22" s="10" t="s">
        <v>27</v>
      </c>
      <c r="G22" s="10" t="s">
        <v>28</v>
      </c>
      <c r="H22" s="10" t="s">
        <v>29</v>
      </c>
      <c r="I22" s="10" t="s">
        <v>30</v>
      </c>
      <c r="J22" s="10" t="s">
        <v>31</v>
      </c>
      <c r="K22" s="10" t="s">
        <v>32</v>
      </c>
      <c r="L22" s="10" t="s">
        <v>33</v>
      </c>
      <c r="M22" s="10" t="s">
        <v>34</v>
      </c>
      <c r="N22" s="10" t="s">
        <v>35</v>
      </c>
    </row>
    <row r="23" customFormat="false" ht="15" hidden="false" customHeight="false" outlineLevel="0" collapsed="false">
      <c r="A23" s="11" t="s">
        <v>36</v>
      </c>
      <c r="B23" s="11" t="s">
        <v>37</v>
      </c>
      <c r="C23" s="11" t="n">
        <v>157</v>
      </c>
      <c r="D23" s="11" t="n">
        <v>3400</v>
      </c>
      <c r="E23" s="11" t="n">
        <v>3350</v>
      </c>
      <c r="F23" s="11" t="n">
        <v>3200</v>
      </c>
      <c r="G23" s="11" t="n">
        <v>500</v>
      </c>
      <c r="H23" s="11" t="n">
        <v>900</v>
      </c>
    </row>
    <row r="24" customFormat="false" ht="15" hidden="false" customHeight="false" outlineLevel="0" collapsed="false">
      <c r="A24" s="12" t="s">
        <v>36</v>
      </c>
      <c r="B24" s="12" t="s">
        <v>37</v>
      </c>
      <c r="C24" s="12" t="n">
        <v>158</v>
      </c>
      <c r="D24" s="12" t="n">
        <v>3600</v>
      </c>
      <c r="E24" s="12" t="n">
        <v>3550</v>
      </c>
      <c r="F24" s="12" t="n">
        <v>3450</v>
      </c>
      <c r="G24" s="12" t="n">
        <v>600</v>
      </c>
      <c r="H24" s="12" t="n">
        <v>850</v>
      </c>
      <c r="I24" s="13" t="n">
        <f aca="false">IF(COUNT(D24:F24)=0,0,IF(COUNT(D24:F24)&lt;2,D24,IF((LARGE(D24:F24,1)-LARGE(D24:F24,2))/LARGE(D24:F24,1)&lt;=Results!$C$5,(LARGE(D24:F24,1)+LARGE(D24:F24,2))/2,AVERAGE(D24:F24))))</f>
        <v>3575</v>
      </c>
      <c r="J24" s="14" t="n">
        <f aca="false">IF(AND(I24&gt;0,ISNUMBER(G24),ISNUMBER(H24)),I24-G24-H24,"")</f>
        <v>2125</v>
      </c>
      <c r="K24" s="13" t="n">
        <f aca="false">IF(I24&gt;0,C24,0)</f>
        <v>158</v>
      </c>
      <c r="L24" s="13" t="n">
        <f aca="false">IF(I24&gt;0,IF(B24="M",1,0),0)</f>
        <v>0</v>
      </c>
      <c r="M24" s="13" t="n">
        <f aca="false">IF(I24&gt;0,I24,0)</f>
        <v>3575</v>
      </c>
      <c r="N24" s="13" t="n">
        <f aca="false">IF(I24&gt;0,1,0)</f>
        <v>1</v>
      </c>
    </row>
    <row r="25" customFormat="false" ht="15" hidden="false" customHeight="false" outlineLevel="0" collapsed="false">
      <c r="A25" s="12" t="s">
        <v>38</v>
      </c>
      <c r="B25" s="12" t="s">
        <v>37</v>
      </c>
      <c r="C25" s="12" t="n">
        <v>158</v>
      </c>
      <c r="D25" s="12" t="n">
        <v>3400</v>
      </c>
      <c r="E25" s="12" t="n">
        <v>3350</v>
      </c>
      <c r="F25" s="12" t="n">
        <v>3250</v>
      </c>
      <c r="G25" s="12" t="n">
        <v>500</v>
      </c>
      <c r="H25" s="12" t="n">
        <v>1050</v>
      </c>
      <c r="I25" s="13" t="n">
        <f aca="false">IF(COUNT(D25:F25)=0,0,IF(COUNT(D25:F25)&lt;2,D25,IF((LARGE(D25:F25,1)-LARGE(D25:F25,2))/LARGE(D25:F25,1)&lt;=Results!$C$5,(LARGE(D25:F25,1)+LARGE(D25:F25,2))/2,AVERAGE(D25:F25))))</f>
        <v>3375</v>
      </c>
      <c r="J25" s="14" t="n">
        <f aca="false">IF(AND(I25&gt;0,ISNUMBER(G25),ISNUMBER(H25)),I25-G25-H25,"")</f>
        <v>1825</v>
      </c>
      <c r="K25" s="13" t="n">
        <f aca="false">IF(I25&gt;0,C25,0)</f>
        <v>158</v>
      </c>
      <c r="L25" s="13" t="n">
        <f aca="false">IF(I25&gt;0,IF(B25="M",1,0),0)</f>
        <v>0</v>
      </c>
      <c r="M25" s="13" t="n">
        <f aca="false">IF(I25&gt;0,I25,0)</f>
        <v>3375</v>
      </c>
      <c r="N25" s="13" t="n">
        <f aca="false">IF(I25&gt;0,1,0)</f>
        <v>1</v>
      </c>
    </row>
    <row r="26" customFormat="false" ht="15" hidden="false" customHeight="false" outlineLevel="0" collapsed="false">
      <c r="A26" s="12" t="s">
        <v>39</v>
      </c>
      <c r="B26" s="12" t="s">
        <v>37</v>
      </c>
      <c r="C26" s="12" t="n">
        <v>166</v>
      </c>
      <c r="D26" s="12" t="n">
        <v>3850</v>
      </c>
      <c r="E26" s="12" t="n">
        <v>3850</v>
      </c>
      <c r="F26" s="12" t="n">
        <v>3700</v>
      </c>
      <c r="G26" s="12" t="n">
        <v>550</v>
      </c>
      <c r="H26" s="12" t="n">
        <v>1050</v>
      </c>
      <c r="I26" s="13" t="n">
        <f aca="false">IF(COUNT(D26:F26)=0,0,IF(COUNT(D26:F26)&lt;2,D26,IF((LARGE(D26:F26,1)-LARGE(D26:F26,2))/LARGE(D26:F26,1)&lt;=Results!$C$5,(LARGE(D26:F26,1)+LARGE(D26:F26,2))/2,AVERAGE(D26:F26))))</f>
        <v>3850</v>
      </c>
      <c r="J26" s="14" t="n">
        <f aca="false">IF(AND(I26&gt;0,ISNUMBER(G26),ISNUMBER(H26)),I26-G26-H26,"")</f>
        <v>2250</v>
      </c>
      <c r="K26" s="13" t="n">
        <f aca="false">IF(I26&gt;0,C26,0)</f>
        <v>166</v>
      </c>
      <c r="L26" s="13" t="n">
        <f aca="false">IF(I26&gt;0,IF(B26="M",1,0),0)</f>
        <v>0</v>
      </c>
      <c r="M26" s="13" t="n">
        <f aca="false">IF(I26&gt;0,I26,0)</f>
        <v>3850</v>
      </c>
      <c r="N26" s="13" t="n">
        <f aca="false">IF(I26&gt;0,1,0)</f>
        <v>1</v>
      </c>
    </row>
    <row r="27" customFormat="false" ht="15" hidden="false" customHeight="false" outlineLevel="0" collapsed="false">
      <c r="A27" s="12" t="s">
        <v>40</v>
      </c>
      <c r="B27" s="12" t="s">
        <v>37</v>
      </c>
      <c r="C27" s="12" t="n">
        <v>159</v>
      </c>
      <c r="D27" s="12" t="n">
        <v>3600</v>
      </c>
      <c r="E27" s="12" t="n">
        <v>3600</v>
      </c>
      <c r="F27" s="12" t="n">
        <v>3450</v>
      </c>
      <c r="G27" s="12" t="n">
        <v>500</v>
      </c>
      <c r="H27" s="12" t="n">
        <v>900</v>
      </c>
      <c r="I27" s="13" t="n">
        <f aca="false">IF(COUNT(D27:F27)=0,0,IF(COUNT(D27:F27)&lt;2,D27,IF((LARGE(D27:F27,1)-LARGE(D27:F27,2))/LARGE(D27:F27,1)&lt;=Results!$C$5,(LARGE(D27:F27,1)+LARGE(D27:F27,2))/2,AVERAGE(D27:F27))))</f>
        <v>3600</v>
      </c>
      <c r="J27" s="14" t="n">
        <f aca="false">IF(AND(I27&gt;0,ISNUMBER(G27),ISNUMBER(H27)),I27-G27-H27,"")</f>
        <v>2200</v>
      </c>
      <c r="K27" s="13" t="n">
        <f aca="false">IF(I27&gt;0,C27,0)</f>
        <v>159</v>
      </c>
      <c r="L27" s="13" t="n">
        <f aca="false">IF(I27&gt;0,IF(B27="M",1,0),0)</f>
        <v>0</v>
      </c>
      <c r="M27" s="13" t="n">
        <f aca="false">IF(I27&gt;0,I27,0)</f>
        <v>3600</v>
      </c>
      <c r="N27" s="13" t="n">
        <f aca="false">IF(I27&gt;0,1,0)</f>
        <v>1</v>
      </c>
    </row>
    <row r="28" customFormat="false" ht="15" hidden="false" customHeight="false" outlineLevel="0" collapsed="false">
      <c r="A28" s="12" t="s">
        <v>41</v>
      </c>
      <c r="B28" s="12" t="s">
        <v>37</v>
      </c>
      <c r="C28" s="12" t="n">
        <v>160</v>
      </c>
      <c r="D28" s="12" t="n">
        <v>3200</v>
      </c>
      <c r="E28" s="12" t="n">
        <v>3150</v>
      </c>
      <c r="F28" s="12" t="n">
        <v>3050</v>
      </c>
      <c r="G28" s="12" t="n">
        <v>500</v>
      </c>
      <c r="H28" s="12" t="n">
        <v>750</v>
      </c>
      <c r="I28" s="13" t="n">
        <f aca="false">IF(COUNT(D28:F28)=0,0,IF(COUNT(D28:F28)&lt;2,D28,IF((LARGE(D28:F28,1)-LARGE(D28:F28,2))/LARGE(D28:F28,1)&lt;=Results!$C$5,(LARGE(D28:F28,1)+LARGE(D28:F28,2))/2,AVERAGE(D28:F28))))</f>
        <v>3175</v>
      </c>
      <c r="J28" s="14" t="n">
        <f aca="false">IF(AND(I28&gt;0,ISNUMBER(G28),ISNUMBER(H28)),I28-G28-H28,"")</f>
        <v>1925</v>
      </c>
      <c r="K28" s="13" t="n">
        <f aca="false">IF(I28&gt;0,C28,0)</f>
        <v>160</v>
      </c>
      <c r="L28" s="13" t="n">
        <f aca="false">IF(I28&gt;0,IF(B28="M",1,0),0)</f>
        <v>0</v>
      </c>
      <c r="M28" s="13" t="n">
        <f aca="false">IF(I28&gt;0,I28,0)</f>
        <v>3175</v>
      </c>
      <c r="N28" s="13" t="n">
        <f aca="false">IF(I28&gt;0,1,0)</f>
        <v>1</v>
      </c>
    </row>
    <row r="29" customFormat="false" ht="15" hidden="false" customHeight="false" outlineLevel="0" collapsed="false">
      <c r="A29" s="12" t="s">
        <v>42</v>
      </c>
      <c r="B29" s="12" t="s">
        <v>37</v>
      </c>
      <c r="C29" s="12" t="n">
        <v>148</v>
      </c>
      <c r="D29" s="12" t="n">
        <v>2850</v>
      </c>
      <c r="E29" s="12" t="n">
        <v>2850</v>
      </c>
      <c r="F29" s="12" t="n">
        <v>2750</v>
      </c>
      <c r="G29" s="12" t="n">
        <v>550</v>
      </c>
      <c r="H29" s="12" t="n">
        <v>800</v>
      </c>
      <c r="I29" s="13" t="n">
        <f aca="false">IF(COUNT(D29:F29)=0,0,IF(COUNT(D29:F29)&lt;2,D29,IF((LARGE(D29:F29,1)-LARGE(D29:F29,2))/LARGE(D29:F29,1)&lt;=Results!$C$5,(LARGE(D29:F29,1)+LARGE(D29:F29,2))/2,AVERAGE(D29:F29))))</f>
        <v>2850</v>
      </c>
      <c r="J29" s="14" t="n">
        <f aca="false">IF(AND(I29&gt;0,ISNUMBER(G29),ISNUMBER(H29)),I29-G29-H29,"")</f>
        <v>1500</v>
      </c>
      <c r="K29" s="13" t="n">
        <f aca="false">IF(I29&gt;0,C29,0)</f>
        <v>148</v>
      </c>
      <c r="L29" s="13" t="n">
        <f aca="false">IF(I29&gt;0,IF(B29="M",1,0),0)</f>
        <v>0</v>
      </c>
      <c r="M29" s="13" t="n">
        <f aca="false">IF(I29&gt;0,I29,0)</f>
        <v>2850</v>
      </c>
      <c r="N29" s="13" t="n">
        <f aca="false">IF(I29&gt;0,1,0)</f>
        <v>1</v>
      </c>
    </row>
    <row r="30" customFormat="false" ht="15" hidden="false" customHeight="false" outlineLevel="0" collapsed="false">
      <c r="A30" s="12" t="s">
        <v>43</v>
      </c>
      <c r="B30" s="12" t="s">
        <v>37</v>
      </c>
      <c r="C30" s="12" t="n">
        <v>171</v>
      </c>
      <c r="D30" s="12" t="n">
        <v>3700</v>
      </c>
      <c r="E30" s="12" t="n">
        <v>3700</v>
      </c>
      <c r="F30" s="12" t="n">
        <v>3550</v>
      </c>
      <c r="G30" s="12" t="n">
        <v>400</v>
      </c>
      <c r="H30" s="12" t="n">
        <v>1200</v>
      </c>
      <c r="I30" s="13" t="n">
        <f aca="false">IF(COUNT(D30:F30)=0,0,IF(COUNT(D30:F30)&lt;2,D30,IF((LARGE(D30:F30,1)-LARGE(D30:F30,2))/LARGE(D30:F30,1)&lt;=Results!$C$5,(LARGE(D30:F30,1)+LARGE(D30:F30,2))/2,AVERAGE(D30:F30))))</f>
        <v>3700</v>
      </c>
      <c r="J30" s="14" t="n">
        <f aca="false">IF(AND(I30&gt;0,ISNUMBER(G30),ISNUMBER(H30)),I30-G30-H30,"")</f>
        <v>2100</v>
      </c>
      <c r="K30" s="13" t="n">
        <f aca="false">IF(I30&gt;0,C30,0)</f>
        <v>171</v>
      </c>
      <c r="L30" s="13" t="n">
        <f aca="false">IF(I30&gt;0,IF(B30="M",1,0),0)</f>
        <v>0</v>
      </c>
      <c r="M30" s="13" t="n">
        <f aca="false">IF(I30&gt;0,I30,0)</f>
        <v>3700</v>
      </c>
      <c r="N30" s="13" t="n">
        <f aca="false">IF(I30&gt;0,1,0)</f>
        <v>1</v>
      </c>
    </row>
    <row r="31" customFormat="false" ht="15" hidden="false" customHeight="false" outlineLevel="0" collapsed="false">
      <c r="A31" s="12" t="s">
        <v>44</v>
      </c>
      <c r="B31" s="12" t="s">
        <v>37</v>
      </c>
      <c r="C31" s="12" t="n">
        <v>146</v>
      </c>
      <c r="D31" s="12" t="n">
        <v>3150</v>
      </c>
      <c r="E31" s="12" t="n">
        <v>3100</v>
      </c>
      <c r="F31" s="12" t="n">
        <v>3000</v>
      </c>
      <c r="G31" s="12" t="n">
        <v>500</v>
      </c>
      <c r="H31" s="12" t="n">
        <v>700</v>
      </c>
      <c r="I31" s="13" t="n">
        <f aca="false">IF(COUNT(D31:F31)=0,0,IF(COUNT(D31:F31)&lt;2,D31,IF((LARGE(D31:F31,1)-LARGE(D31:F31,2))/LARGE(D31:F31,1)&lt;=Results!$C$5,(LARGE(D31:F31,1)+LARGE(D31:F31,2))/2,AVERAGE(D31:F31))))</f>
        <v>3125</v>
      </c>
      <c r="J31" s="14" t="n">
        <f aca="false">IF(AND(I31&gt;0,ISNUMBER(G31),ISNUMBER(H31)),I31-G31-H31,"")</f>
        <v>1925</v>
      </c>
      <c r="K31" s="13" t="n">
        <f aca="false">IF(I31&gt;0,C31,0)</f>
        <v>146</v>
      </c>
      <c r="L31" s="13" t="n">
        <f aca="false">IF(I31&gt;0,IF(B31="M",1,0),0)</f>
        <v>0</v>
      </c>
      <c r="M31" s="13" t="n">
        <f aca="false">IF(I31&gt;0,I31,0)</f>
        <v>3125</v>
      </c>
      <c r="N31" s="13" t="n">
        <f aca="false">IF(I31&gt;0,1,0)</f>
        <v>1</v>
      </c>
    </row>
    <row r="32" customFormat="false" ht="15" hidden="false" customHeight="false" outlineLevel="0" collapsed="false">
      <c r="A32" s="12" t="s">
        <v>45</v>
      </c>
      <c r="B32" s="12" t="s">
        <v>37</v>
      </c>
      <c r="C32" s="12" t="n">
        <v>164</v>
      </c>
      <c r="D32" s="12" t="n">
        <v>3750</v>
      </c>
      <c r="E32" s="12" t="n">
        <v>3700</v>
      </c>
      <c r="F32" s="12" t="n">
        <v>3600</v>
      </c>
      <c r="G32" s="12" t="n">
        <v>600</v>
      </c>
      <c r="H32" s="12" t="n">
        <v>850</v>
      </c>
      <c r="I32" s="13" t="n">
        <f aca="false">IF(COUNT(D32:F32)=0,0,IF(COUNT(D32:F32)&lt;2,D32,IF((LARGE(D32:F32,1)-LARGE(D32:F32,2))/LARGE(D32:F32,1)&lt;=Results!$C$5,(LARGE(D32:F32,1)+LARGE(D32:F32,2))/2,AVERAGE(D32:F32))))</f>
        <v>3725</v>
      </c>
      <c r="J32" s="14" t="n">
        <f aca="false">IF(AND(I32&gt;0,ISNUMBER(G32),ISNUMBER(H32)),I32-G32-H32,"")</f>
        <v>2275</v>
      </c>
      <c r="K32" s="13" t="n">
        <f aca="false">IF(I32&gt;0,C32,0)</f>
        <v>164</v>
      </c>
      <c r="L32" s="13" t="n">
        <f aca="false">IF(I32&gt;0,IF(B32="M",1,0),0)</f>
        <v>0</v>
      </c>
      <c r="M32" s="13" t="n">
        <f aca="false">IF(I32&gt;0,I32,0)</f>
        <v>3725</v>
      </c>
      <c r="N32" s="13" t="n">
        <f aca="false">IF(I32&gt;0,1,0)</f>
        <v>1</v>
      </c>
    </row>
    <row r="33" customFormat="false" ht="15" hidden="false" customHeight="false" outlineLevel="0" collapsed="false">
      <c r="A33" s="12" t="s">
        <v>46</v>
      </c>
      <c r="B33" s="12" t="s">
        <v>37</v>
      </c>
      <c r="C33" s="12" t="n">
        <v>155</v>
      </c>
      <c r="D33" s="12" t="n">
        <v>3100</v>
      </c>
      <c r="E33" s="12" t="n">
        <v>3050</v>
      </c>
      <c r="F33" s="12" t="n">
        <v>2950</v>
      </c>
      <c r="G33" s="12" t="n">
        <v>550</v>
      </c>
      <c r="H33" s="12" t="n">
        <v>800</v>
      </c>
      <c r="I33" s="13" t="n">
        <f aca="false">IF(COUNT(D33:F33)=0,0,IF(COUNT(D33:F33)&lt;2,D33,IF((LARGE(D33:F33,1)-LARGE(D33:F33,2))/LARGE(D33:F33,1)&lt;=Results!$C$5,(LARGE(D33:F33,1)+LARGE(D33:F33,2))/2,AVERAGE(D33:F33))))</f>
        <v>3075</v>
      </c>
      <c r="J33" s="14" t="n">
        <f aca="false">IF(AND(I33&gt;0,ISNUMBER(G33),ISNUMBER(H33)),I33-G33-H33,"")</f>
        <v>1725</v>
      </c>
      <c r="K33" s="13" t="n">
        <f aca="false">IF(I33&gt;0,C33,0)</f>
        <v>155</v>
      </c>
      <c r="L33" s="13" t="n">
        <f aca="false">IF(I33&gt;0,IF(B33="M",1,0),0)</f>
        <v>0</v>
      </c>
      <c r="M33" s="13" t="n">
        <f aca="false">IF(I33&gt;0,I33,0)</f>
        <v>3075</v>
      </c>
      <c r="N33" s="13" t="n">
        <f aca="false">IF(I33&gt;0,1,0)</f>
        <v>1</v>
      </c>
    </row>
    <row r="34" customFormat="false" ht="15" hidden="false" customHeight="false" outlineLevel="0" collapsed="false">
      <c r="A34" s="12" t="s">
        <v>47</v>
      </c>
      <c r="B34" s="12" t="s">
        <v>37</v>
      </c>
      <c r="C34" s="12" t="n">
        <v>152</v>
      </c>
      <c r="D34" s="12" t="n">
        <v>3050</v>
      </c>
      <c r="E34" s="12" t="n">
        <v>3000</v>
      </c>
      <c r="F34" s="12" t="n">
        <v>2900</v>
      </c>
      <c r="G34" s="12" t="n">
        <v>500</v>
      </c>
      <c r="H34" s="12" t="n">
        <v>650</v>
      </c>
      <c r="I34" s="13" t="n">
        <f aca="false">IF(COUNT(D34:F34)=0,0,IF(COUNT(D34:F34)&lt;2,D34,IF((LARGE(D34:F34,1)-LARGE(D34:F34,2))/LARGE(D34:F34,1)&lt;=Results!$C$5,(LARGE(D34:F34,1)+LARGE(D34:F34,2))/2,AVERAGE(D34:F34))))</f>
        <v>3025</v>
      </c>
      <c r="J34" s="14" t="n">
        <f aca="false">IF(AND(I34&gt;0,ISNUMBER(G34),ISNUMBER(H34)),I34-G34-H34,"")</f>
        <v>1875</v>
      </c>
      <c r="K34" s="13" t="n">
        <f aca="false">IF(I34&gt;0,C34,0)</f>
        <v>152</v>
      </c>
      <c r="L34" s="13" t="n">
        <f aca="false">IF(I34&gt;0,IF(B34="M",1,0),0)</f>
        <v>0</v>
      </c>
      <c r="M34" s="13" t="n">
        <f aca="false">IF(I34&gt;0,I34,0)</f>
        <v>3025</v>
      </c>
      <c r="N34" s="13" t="n">
        <f aca="false">IF(I34&gt;0,1,0)</f>
        <v>1</v>
      </c>
    </row>
    <row r="35" customFormat="false" ht="15" hidden="false" customHeight="false" outlineLevel="0" collapsed="false">
      <c r="A35" s="12" t="s">
        <v>48</v>
      </c>
      <c r="B35" s="12" t="s">
        <v>37</v>
      </c>
      <c r="C35" s="12" t="n">
        <v>153</v>
      </c>
      <c r="D35" s="12" t="n">
        <v>3000</v>
      </c>
      <c r="E35" s="12" t="n">
        <v>3000</v>
      </c>
      <c r="F35" s="12" t="n">
        <v>2900</v>
      </c>
      <c r="G35" s="12" t="n">
        <v>400</v>
      </c>
      <c r="H35" s="12" t="n">
        <v>750</v>
      </c>
      <c r="I35" s="13" t="n">
        <f aca="false">IF(COUNT(D35:F35)=0,0,IF(COUNT(D35:F35)&lt;2,D35,IF((LARGE(D35:F35,1)-LARGE(D35:F35,2))/LARGE(D35:F35,1)&lt;=Results!$C$5,(LARGE(D35:F35,1)+LARGE(D35:F35,2))/2,AVERAGE(D35:F35))))</f>
        <v>3000</v>
      </c>
      <c r="J35" s="14" t="n">
        <f aca="false">IF(AND(I35&gt;0,ISNUMBER(G35),ISNUMBER(H35)),I35-G35-H35,"")</f>
        <v>1850</v>
      </c>
      <c r="K35" s="13" t="n">
        <f aca="false">IF(I35&gt;0,C35,0)</f>
        <v>153</v>
      </c>
      <c r="L35" s="13" t="n">
        <f aca="false">IF(I35&gt;0,IF(B35="M",1,0),0)</f>
        <v>0</v>
      </c>
      <c r="M35" s="13" t="n">
        <f aca="false">IF(I35&gt;0,I35,0)</f>
        <v>3000</v>
      </c>
      <c r="N35" s="13" t="n">
        <f aca="false">IF(I35&gt;0,1,0)</f>
        <v>1</v>
      </c>
    </row>
    <row r="36" customFormat="false" ht="15" hidden="false" customHeight="false" outlineLevel="0" collapsed="false">
      <c r="A36" s="12" t="s">
        <v>49</v>
      </c>
      <c r="B36" s="12" t="s">
        <v>50</v>
      </c>
      <c r="C36" s="12" t="n">
        <v>165</v>
      </c>
      <c r="D36" s="12" t="n">
        <v>3850</v>
      </c>
      <c r="E36" s="12" t="n">
        <v>3850</v>
      </c>
      <c r="F36" s="12" t="n">
        <v>3700</v>
      </c>
      <c r="G36" s="12" t="n">
        <v>500</v>
      </c>
      <c r="H36" s="12" t="n">
        <v>1300</v>
      </c>
      <c r="I36" s="13" t="n">
        <f aca="false">IF(COUNT(D36:F36)=0,0,IF(COUNT(D36:F36)&lt;2,D36,IF((LARGE(D36:F36,1)-LARGE(D36:F36,2))/LARGE(D36:F36,1)&lt;=Results!$C$5,(LARGE(D36:F36,1)+LARGE(D36:F36,2))/2,AVERAGE(D36:F36))))</f>
        <v>3850</v>
      </c>
      <c r="J36" s="14" t="n">
        <f aca="false">IF(AND(I36&gt;0,ISNUMBER(G36),ISNUMBER(H36)),I36-G36-H36,"")</f>
        <v>2050</v>
      </c>
      <c r="K36" s="13" t="n">
        <f aca="false">IF(I36&gt;0,C36,0)</f>
        <v>165</v>
      </c>
      <c r="L36" s="13" t="n">
        <f aca="false">IF(I36&gt;0,IF(B36="M",1,0),0)</f>
        <v>1</v>
      </c>
      <c r="M36" s="13" t="n">
        <f aca="false">IF(I36&gt;0,I36,0)</f>
        <v>3850</v>
      </c>
      <c r="N36" s="13" t="n">
        <f aca="false">IF(I36&gt;0,1,0)</f>
        <v>1</v>
      </c>
    </row>
    <row r="37" customFormat="false" ht="15" hidden="false" customHeight="false" outlineLevel="0" collapsed="false">
      <c r="A37" s="12" t="s">
        <v>51</v>
      </c>
      <c r="B37" s="12" t="s">
        <v>50</v>
      </c>
      <c r="C37" s="12" t="n">
        <v>171</v>
      </c>
      <c r="D37" s="12" t="n">
        <v>4200</v>
      </c>
      <c r="E37" s="12" t="n">
        <v>4150</v>
      </c>
      <c r="F37" s="12" t="n">
        <v>4050</v>
      </c>
      <c r="G37" s="12" t="n">
        <v>650</v>
      </c>
      <c r="H37" s="12" t="n">
        <v>1050</v>
      </c>
      <c r="I37" s="13" t="n">
        <f aca="false">IF(COUNT(D37:F37)=0,0,IF(COUNT(D37:F37)&lt;2,D37,IF((LARGE(D37:F37,1)-LARGE(D37:F37,2))/LARGE(D37:F37,1)&lt;=Results!$C$5,(LARGE(D37:F37,1)+LARGE(D37:F37,2))/2,AVERAGE(D37:F37))))</f>
        <v>4175</v>
      </c>
      <c r="J37" s="14" t="n">
        <f aca="false">IF(AND(I37&gt;0,ISNUMBER(G37),ISNUMBER(H37)),I37-G37-H37,"")</f>
        <v>2475</v>
      </c>
      <c r="K37" s="13" t="n">
        <f aca="false">IF(I37&gt;0,C37,0)</f>
        <v>171</v>
      </c>
      <c r="L37" s="13" t="n">
        <f aca="false">IF(I37&gt;0,IF(B37="M",1,0),0)</f>
        <v>1</v>
      </c>
      <c r="M37" s="13" t="n">
        <f aca="false">IF(I37&gt;0,I37,0)</f>
        <v>4175</v>
      </c>
      <c r="N37" s="13" t="n">
        <f aca="false">IF(I37&gt;0,1,0)</f>
        <v>1</v>
      </c>
    </row>
    <row r="38" customFormat="false" ht="15" hidden="false" customHeight="false" outlineLevel="0" collapsed="false">
      <c r="A38" s="12" t="s">
        <v>52</v>
      </c>
      <c r="B38" s="12" t="s">
        <v>50</v>
      </c>
      <c r="C38" s="12" t="n">
        <v>168</v>
      </c>
      <c r="D38" s="12" t="n">
        <v>4100</v>
      </c>
      <c r="E38" s="12" t="n">
        <v>4050</v>
      </c>
      <c r="F38" s="12" t="n">
        <v>3950</v>
      </c>
      <c r="G38" s="12" t="n">
        <v>550</v>
      </c>
      <c r="H38" s="12" t="n">
        <v>1100</v>
      </c>
      <c r="I38" s="13" t="n">
        <f aca="false">IF(COUNT(D38:F38)=0,0,IF(COUNT(D38:F38)&lt;2,D38,IF((LARGE(D38:F38,1)-LARGE(D38:F38,2))/LARGE(D38:F38,1)&lt;=Results!$C$5,(LARGE(D38:F38,1)+LARGE(D38:F38,2))/2,AVERAGE(D38:F38))))</f>
        <v>4075</v>
      </c>
      <c r="J38" s="14" t="n">
        <f aca="false">IF(AND(I38&gt;0,ISNUMBER(G38),ISNUMBER(H38)),I38-G38-H38,"")</f>
        <v>2425</v>
      </c>
      <c r="K38" s="13" t="n">
        <f aca="false">IF(I38&gt;0,C38,0)</f>
        <v>168</v>
      </c>
      <c r="L38" s="13" t="n">
        <f aca="false">IF(I38&gt;0,IF(B38="M",1,0),0)</f>
        <v>1</v>
      </c>
      <c r="M38" s="13" t="n">
        <f aca="false">IF(I38&gt;0,I38,0)</f>
        <v>4075</v>
      </c>
      <c r="N38" s="13" t="n">
        <f aca="false">IF(I38&gt;0,1,0)</f>
        <v>1</v>
      </c>
    </row>
    <row r="39" customFormat="false" ht="15" hidden="false" customHeight="false" outlineLevel="0" collapsed="false">
      <c r="A39" s="12" t="s">
        <v>53</v>
      </c>
      <c r="B39" s="12" t="s">
        <v>50</v>
      </c>
      <c r="C39" s="12" t="n">
        <v>178</v>
      </c>
      <c r="D39" s="12" t="n">
        <v>5200</v>
      </c>
      <c r="E39" s="12" t="n">
        <v>5150</v>
      </c>
      <c r="F39" s="12" t="n">
        <v>5000</v>
      </c>
      <c r="G39" s="12" t="n">
        <v>500</v>
      </c>
      <c r="H39" s="12" t="n">
        <v>1000</v>
      </c>
      <c r="I39" s="13" t="n">
        <f aca="false">IF(COUNT(D39:F39)=0,0,IF(COUNT(D39:F39)&lt;2,D39,IF((LARGE(D39:F39,1)-LARGE(D39:F39,2))/LARGE(D39:F39,1)&lt;=Results!$C$5,(LARGE(D39:F39,1)+LARGE(D39:F39,2))/2,AVERAGE(D39:F39))))</f>
        <v>5175</v>
      </c>
      <c r="J39" s="14" t="n">
        <f aca="false">IF(AND(I39&gt;0,ISNUMBER(G39),ISNUMBER(H39)),I39-G39-H39,"")</f>
        <v>3675</v>
      </c>
      <c r="K39" s="13" t="n">
        <f aca="false">IF(I39&gt;0,C39,0)</f>
        <v>178</v>
      </c>
      <c r="L39" s="13" t="n">
        <f aca="false">IF(I39&gt;0,IF(B39="M",1,0),0)</f>
        <v>1</v>
      </c>
      <c r="M39" s="13" t="n">
        <f aca="false">IF(I39&gt;0,I39,0)</f>
        <v>5175</v>
      </c>
      <c r="N39" s="13" t="n">
        <f aca="false">IF(I39&gt;0,1,0)</f>
        <v>1</v>
      </c>
    </row>
    <row r="40" customFormat="false" ht="15" hidden="false" customHeight="false" outlineLevel="0" collapsed="false">
      <c r="A40" s="12" t="s">
        <v>54</v>
      </c>
      <c r="B40" s="12" t="s">
        <v>50</v>
      </c>
      <c r="C40" s="12" t="n">
        <v>158</v>
      </c>
      <c r="D40" s="12" t="n">
        <v>3650</v>
      </c>
      <c r="E40" s="12" t="n">
        <v>3600</v>
      </c>
      <c r="F40" s="12" t="n">
        <v>3500</v>
      </c>
      <c r="G40" s="12" t="n">
        <v>400</v>
      </c>
      <c r="H40" s="12" t="n">
        <v>1100</v>
      </c>
      <c r="I40" s="13" t="n">
        <f aca="false">IF(COUNT(D40:F40)=0,0,IF(COUNT(D40:F40)&lt;2,D40,IF((LARGE(D40:F40,1)-LARGE(D40:F40,2))/LARGE(D40:F40,1)&lt;=Results!$C$5,(LARGE(D40:F40,1)+LARGE(D40:F40,2))/2,AVERAGE(D40:F40))))</f>
        <v>3625</v>
      </c>
      <c r="J40" s="14" t="n">
        <f aca="false">IF(AND(I40&gt;0,ISNUMBER(G40),ISNUMBER(H40)),I40-G40-H40,"")</f>
        <v>2125</v>
      </c>
      <c r="K40" s="13" t="n">
        <f aca="false">IF(I40&gt;0,C40,0)</f>
        <v>158</v>
      </c>
      <c r="L40" s="13" t="n">
        <f aca="false">IF(I40&gt;0,IF(B40="M",1,0),0)</f>
        <v>1</v>
      </c>
      <c r="M40" s="13" t="n">
        <f aca="false">IF(I40&gt;0,I40,0)</f>
        <v>3625</v>
      </c>
      <c r="N40" s="13" t="n">
        <f aca="false">IF(I40&gt;0,1,0)</f>
        <v>1</v>
      </c>
    </row>
    <row r="41" customFormat="false" ht="15" hidden="false" customHeight="false" outlineLevel="0" collapsed="false">
      <c r="A41" s="12" t="s">
        <v>55</v>
      </c>
      <c r="B41" s="12" t="s">
        <v>50</v>
      </c>
      <c r="C41" s="12" t="n">
        <v>169</v>
      </c>
      <c r="D41" s="12" t="n">
        <v>4100</v>
      </c>
      <c r="E41" s="12" t="n">
        <v>4050</v>
      </c>
      <c r="F41" s="12" t="n">
        <v>3950</v>
      </c>
      <c r="G41" s="12" t="n">
        <v>450</v>
      </c>
      <c r="H41" s="12" t="n">
        <v>1200</v>
      </c>
      <c r="I41" s="13" t="n">
        <f aca="false">IF(COUNT(D41:F41)=0,0,IF(COUNT(D41:F41)&lt;2,D41,IF((LARGE(D41:F41,1)-LARGE(D41:F41,2))/LARGE(D41:F41,1)&lt;=Results!$C$5,(LARGE(D41:F41,1)+LARGE(D41:F41,2))/2,AVERAGE(D41:F41))))</f>
        <v>4075</v>
      </c>
      <c r="J41" s="14" t="n">
        <f aca="false">IF(AND(I41&gt;0,ISNUMBER(G41),ISNUMBER(H41)),I41-G41-H41,"")</f>
        <v>2425</v>
      </c>
      <c r="K41" s="13" t="n">
        <f aca="false">IF(I41&gt;0,C41,0)</f>
        <v>169</v>
      </c>
      <c r="L41" s="13" t="n">
        <f aca="false">IF(I41&gt;0,IF(B41="M",1,0),0)</f>
        <v>1</v>
      </c>
      <c r="M41" s="13" t="n">
        <f aca="false">IF(I41&gt;0,I41,0)</f>
        <v>4075</v>
      </c>
      <c r="N41" s="13" t="n">
        <f aca="false">IF(I41&gt;0,1,0)</f>
        <v>1</v>
      </c>
    </row>
    <row r="42" customFormat="false" ht="15" hidden="false" customHeight="false" outlineLevel="0" collapsed="false">
      <c r="A42" s="12" t="s">
        <v>56</v>
      </c>
      <c r="B42" s="12" t="s">
        <v>50</v>
      </c>
      <c r="C42" s="12" t="n">
        <v>164</v>
      </c>
      <c r="D42" s="12" t="n">
        <v>4100</v>
      </c>
      <c r="E42" s="12" t="n">
        <v>4100</v>
      </c>
      <c r="F42" s="12" t="n">
        <v>3950</v>
      </c>
      <c r="G42" s="12" t="n">
        <v>450</v>
      </c>
      <c r="H42" s="12" t="n">
        <v>1400</v>
      </c>
      <c r="I42" s="13" t="n">
        <f aca="false">IF(COUNT(D42:F42)=0,0,IF(COUNT(D42:F42)&lt;2,D42,IF((LARGE(D42:F42,1)-LARGE(D42:F42,2))/LARGE(D42:F42,1)&lt;=Results!$C$5,(LARGE(D42:F42,1)+LARGE(D42:F42,2))/2,AVERAGE(D42:F42))))</f>
        <v>4100</v>
      </c>
      <c r="J42" s="14" t="n">
        <f aca="false">IF(AND(I42&gt;0,ISNUMBER(G42),ISNUMBER(H42)),I42-G42-H42,"")</f>
        <v>2250</v>
      </c>
      <c r="K42" s="13" t="n">
        <f aca="false">IF(I42&gt;0,C42,0)</f>
        <v>164</v>
      </c>
      <c r="L42" s="13" t="n">
        <f aca="false">IF(I42&gt;0,IF(B42="M",1,0),0)</f>
        <v>1</v>
      </c>
      <c r="M42" s="13" t="n">
        <f aca="false">IF(I42&gt;0,I42,0)</f>
        <v>4100</v>
      </c>
      <c r="N42" s="13" t="n">
        <f aca="false">IF(I42&gt;0,1,0)</f>
        <v>1</v>
      </c>
    </row>
    <row r="43" customFormat="false" ht="15" hidden="false" customHeight="false" outlineLevel="0" collapsed="false">
      <c r="A43" s="12" t="s">
        <v>57</v>
      </c>
      <c r="B43" s="12" t="s">
        <v>50</v>
      </c>
      <c r="C43" s="12" t="n">
        <v>174</v>
      </c>
      <c r="D43" s="12" t="n">
        <v>4100</v>
      </c>
      <c r="E43" s="12" t="n">
        <v>4050</v>
      </c>
      <c r="F43" s="12" t="n">
        <v>3950</v>
      </c>
      <c r="G43" s="12" t="n">
        <v>500</v>
      </c>
      <c r="H43" s="12" t="n">
        <v>1200</v>
      </c>
      <c r="I43" s="13" t="n">
        <f aca="false">IF(COUNT(D43:F43)=0,0,IF(COUNT(D43:F43)&lt;2,D43,IF((LARGE(D43:F43,1)-LARGE(D43:F43,2))/LARGE(D43:F43,1)&lt;=Results!$C$5,(LARGE(D43:F43,1)+LARGE(D43:F43,2))/2,AVERAGE(D43:F43))))</f>
        <v>4075</v>
      </c>
      <c r="J43" s="14" t="n">
        <f aca="false">IF(AND(I43&gt;0,ISNUMBER(G43),ISNUMBER(H43)),I43-G43-H43,"")</f>
        <v>2375</v>
      </c>
      <c r="K43" s="13" t="n">
        <f aca="false">IF(I43&gt;0,C43,0)</f>
        <v>174</v>
      </c>
      <c r="L43" s="13" t="n">
        <f aca="false">IF(I43&gt;0,IF(B43="M",1,0),0)</f>
        <v>1</v>
      </c>
      <c r="M43" s="13" t="n">
        <f aca="false">IF(I43&gt;0,I43,0)</f>
        <v>4075</v>
      </c>
      <c r="N43" s="13" t="n">
        <f aca="false">IF(I43&gt;0,1,0)</f>
        <v>1</v>
      </c>
    </row>
    <row r="44" customFormat="false" ht="15" hidden="false" customHeight="false" outlineLevel="0" collapsed="false">
      <c r="A44" s="12" t="s">
        <v>58</v>
      </c>
      <c r="B44" s="12" t="s">
        <v>50</v>
      </c>
      <c r="C44" s="12" t="n">
        <v>156</v>
      </c>
      <c r="D44" s="12" t="n">
        <v>3600</v>
      </c>
      <c r="E44" s="12" t="n">
        <v>3550</v>
      </c>
      <c r="F44" s="12" t="n">
        <v>3450</v>
      </c>
      <c r="G44" s="12" t="n">
        <v>550</v>
      </c>
      <c r="H44" s="12" t="n">
        <v>1300</v>
      </c>
      <c r="I44" s="13" t="n">
        <f aca="false">IF(COUNT(D44:F44)=0,0,IF(COUNT(D44:F44)&lt;2,D44,IF((LARGE(D44:F44,1)-LARGE(D44:F44,2))/LARGE(D44:F44,1)&lt;=Results!$C$5,(LARGE(D44:F44,1)+LARGE(D44:F44,2))/2,AVERAGE(D44:F44))))</f>
        <v>3575</v>
      </c>
      <c r="J44" s="14" t="n">
        <f aca="false">IF(AND(I44&gt;0,ISNUMBER(G44),ISNUMBER(H44)),I44-G44-H44,"")</f>
        <v>1725</v>
      </c>
      <c r="K44" s="13" t="n">
        <f aca="false">IF(I44&gt;0,C44,0)</f>
        <v>156</v>
      </c>
      <c r="L44" s="13" t="n">
        <f aca="false">IF(I44&gt;0,IF(B44="M",1,0),0)</f>
        <v>1</v>
      </c>
      <c r="M44" s="13" t="n">
        <f aca="false">IF(I44&gt;0,I44,0)</f>
        <v>3575</v>
      </c>
      <c r="N44" s="13" t="n">
        <f aca="false">IF(I44&gt;0,1,0)</f>
        <v>1</v>
      </c>
    </row>
    <row r="45" customFormat="false" ht="15" hidden="false" customHeight="false" outlineLevel="0" collapsed="false">
      <c r="A45" s="12" t="s">
        <v>59</v>
      </c>
      <c r="B45" s="12" t="s">
        <v>50</v>
      </c>
      <c r="C45" s="12" t="n">
        <v>167</v>
      </c>
      <c r="D45" s="12" t="n">
        <v>4100</v>
      </c>
      <c r="E45" s="12" t="n">
        <v>4100</v>
      </c>
      <c r="F45" s="12" t="n">
        <v>3950</v>
      </c>
      <c r="G45" s="12" t="n">
        <v>500</v>
      </c>
      <c r="H45" s="12" t="n">
        <v>1200</v>
      </c>
      <c r="I45" s="13" t="n">
        <f aca="false">IF(COUNT(D45:F45)=0,0,IF(COUNT(D45:F45)&lt;2,D45,IF((LARGE(D45:F45,1)-LARGE(D45:F45,2))/LARGE(D45:F45,1)&lt;=Results!$C$5,(LARGE(D45:F45,1)+LARGE(D45:F45,2))/2,AVERAGE(D45:F45))))</f>
        <v>4100</v>
      </c>
      <c r="J45" s="14" t="n">
        <f aca="false">IF(AND(I45&gt;0,ISNUMBER(G45),ISNUMBER(H45)),I45-G45-H45,"")</f>
        <v>2400</v>
      </c>
      <c r="K45" s="13" t="n">
        <f aca="false">IF(I45&gt;0,C45,0)</f>
        <v>167</v>
      </c>
      <c r="L45" s="13" t="n">
        <f aca="false">IF(I45&gt;0,IF(B45="M",1,0),0)</f>
        <v>1</v>
      </c>
      <c r="M45" s="13" t="n">
        <f aca="false">IF(I45&gt;0,I45,0)</f>
        <v>4100</v>
      </c>
      <c r="N45" s="13" t="n">
        <f aca="false">IF(I45&gt;0,1,0)</f>
        <v>1</v>
      </c>
    </row>
    <row r="46" customFormat="false" ht="15" hidden="false" customHeight="false" outlineLevel="0" collapsed="false">
      <c r="A46" s="12" t="s">
        <v>60</v>
      </c>
      <c r="B46" s="12" t="s">
        <v>50</v>
      </c>
      <c r="C46" s="12" t="n">
        <v>170</v>
      </c>
      <c r="D46" s="12" t="n">
        <v>4450</v>
      </c>
      <c r="E46" s="12" t="n">
        <v>4400</v>
      </c>
      <c r="F46" s="12" t="n">
        <v>4300</v>
      </c>
      <c r="G46" s="12" t="n">
        <v>500</v>
      </c>
      <c r="H46" s="12" t="n">
        <v>1350</v>
      </c>
      <c r="I46" s="13" t="n">
        <f aca="false">IF(COUNT(D46:F46)=0,0,IF(COUNT(D46:F46)&lt;2,D46,IF((LARGE(D46:F46,1)-LARGE(D46:F46,2))/LARGE(D46:F46,1)&lt;=Results!$C$5,(LARGE(D46:F46,1)+LARGE(D46:F46,2))/2,AVERAGE(D46:F46))))</f>
        <v>4425</v>
      </c>
      <c r="J46" s="14" t="n">
        <f aca="false">IF(AND(I46&gt;0,ISNUMBER(G46),ISNUMBER(H46)),I46-G46-H46,"")</f>
        <v>2575</v>
      </c>
      <c r="K46" s="13" t="n">
        <f aca="false">IF(I46&gt;0,C46,0)</f>
        <v>170</v>
      </c>
      <c r="L46" s="13" t="n">
        <f aca="false">IF(I46&gt;0,IF(B46="M",1,0),0)</f>
        <v>1</v>
      </c>
      <c r="M46" s="13" t="n">
        <f aca="false">IF(I46&gt;0,I46,0)</f>
        <v>4425</v>
      </c>
      <c r="N46" s="13" t="n">
        <f aca="false">IF(I46&gt;0,1,0)</f>
        <v>1</v>
      </c>
    </row>
    <row r="47" customFormat="false" ht="15" hidden="false" customHeight="false" outlineLevel="0" collapsed="false">
      <c r="A47" s="12" t="s">
        <v>61</v>
      </c>
      <c r="B47" s="12" t="s">
        <v>50</v>
      </c>
      <c r="C47" s="12" t="n">
        <v>160</v>
      </c>
      <c r="D47" s="12" t="n">
        <v>3500</v>
      </c>
      <c r="E47" s="12" t="n">
        <v>3450</v>
      </c>
      <c r="F47" s="12" t="n">
        <v>3350</v>
      </c>
      <c r="G47" s="12" t="n">
        <v>550</v>
      </c>
      <c r="H47" s="12" t="n">
        <v>1250</v>
      </c>
      <c r="I47" s="13" t="n">
        <f aca="false">IF(COUNT(D47:F47)=0,0,IF(COUNT(D47:F47)&lt;2,D47,IF((LARGE(D47:F47,1)-LARGE(D47:F47,2))/LARGE(D47:F47,1)&lt;=Results!$C$5,(LARGE(D47:F47,1)+LARGE(D47:F47,2))/2,AVERAGE(D47:F47))))</f>
        <v>3475</v>
      </c>
      <c r="J47" s="14" t="n">
        <f aca="false">IF(AND(I47&gt;0,ISNUMBER(G47),ISNUMBER(H47)),I47-G47-H47,"")</f>
        <v>1675</v>
      </c>
      <c r="K47" s="13" t="n">
        <f aca="false">IF(I47&gt;0,C47,0)</f>
        <v>160</v>
      </c>
      <c r="L47" s="13" t="n">
        <f aca="false">IF(I47&gt;0,IF(B47="M",1,0),0)</f>
        <v>1</v>
      </c>
      <c r="M47" s="13" t="n">
        <f aca="false">IF(I47&gt;0,I47,0)</f>
        <v>3475</v>
      </c>
      <c r="N47" s="13" t="n">
        <f aca="false">IF(I47&gt;0,1,0)</f>
        <v>1</v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3" t="n">
        <f aca="false">IF(COUNT(D48:F48)=0,0,IF(COUNT(D48:F48)&lt;2,D48,IF((LARGE(D48:F48,1)-LARGE(D48:F48,2))/LARGE(D48:F48,1)&lt;=Results!$C$5,(LARGE(D48:F48,1)+LARGE(D48:F48,2))/2,AVERAGE(D48:F48))))</f>
        <v>0</v>
      </c>
      <c r="J48" s="14" t="str">
        <f aca="false">IF(AND(I48&gt;0,ISNUMBER(G48),ISNUMBER(H48)),I48-G48-H48,"")</f>
        <v/>
      </c>
      <c r="K48" s="13" t="n">
        <f aca="false">IF(I48&gt;0,C48,0)</f>
        <v>0</v>
      </c>
      <c r="L48" s="13" t="n">
        <f aca="false">IF(I48&gt;0,IF(B48="M",1,0),0)</f>
        <v>0</v>
      </c>
      <c r="M48" s="13" t="n">
        <f aca="false">IF(I48&gt;0,I48,0)</f>
        <v>0</v>
      </c>
      <c r="N48" s="13" t="n">
        <f aca="false">IF(I48&gt;0,1,0)</f>
        <v>0</v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3" t="n">
        <f aca="false">IF(COUNT(D49:F49)=0,0,IF(COUNT(D49:F49)&lt;2,D49,IF((LARGE(D49:F49,1)-LARGE(D49:F49,2))/LARGE(D49:F49,1)&lt;=Results!$C$5,(LARGE(D49:F49,1)+LARGE(D49:F49,2))/2,AVERAGE(D49:F49))))</f>
        <v>0</v>
      </c>
      <c r="J49" s="14" t="str">
        <f aca="false">IF(AND(I49&gt;0,ISNUMBER(G49),ISNUMBER(H49)),I49-G49-H49,"")</f>
        <v/>
      </c>
      <c r="K49" s="13" t="n">
        <f aca="false">IF(I49&gt;0,C49,0)</f>
        <v>0</v>
      </c>
      <c r="L49" s="13" t="n">
        <f aca="false">IF(I49&gt;0,IF(B49="M",1,0),0)</f>
        <v>0</v>
      </c>
      <c r="M49" s="13" t="n">
        <f aca="false">IF(I49&gt;0,I49,0)</f>
        <v>0</v>
      </c>
      <c r="N49" s="13" t="n">
        <f aca="false">IF(I49&gt;0,1,0)</f>
        <v>0</v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3" t="n">
        <f aca="false">IF(COUNT(D50:F50)=0,0,IF(COUNT(D50:F50)&lt;2,D50,IF((LARGE(D50:F50,1)-LARGE(D50:F50,2))/LARGE(D50:F50,1)&lt;=Results!$C$5,(LARGE(D50:F50,1)+LARGE(D50:F50,2))/2,AVERAGE(D50:F50))))</f>
        <v>0</v>
      </c>
      <c r="J50" s="14" t="str">
        <f aca="false">IF(AND(I50&gt;0,ISNUMBER(G50),ISNUMBER(H50)),I50-G50-H50,"")</f>
        <v/>
      </c>
      <c r="K50" s="13" t="n">
        <f aca="false">IF(I50&gt;0,C50,0)</f>
        <v>0</v>
      </c>
      <c r="L50" s="13" t="n">
        <f aca="false">IF(I50&gt;0,IF(B50="M",1,0),0)</f>
        <v>0</v>
      </c>
      <c r="M50" s="13" t="n">
        <f aca="false">IF(I50&gt;0,I50,0)</f>
        <v>0</v>
      </c>
      <c r="N50" s="13" t="n">
        <f aca="false">IF(I50&gt;0,1,0)</f>
        <v>0</v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3" t="n">
        <f aca="false">IF(COUNT(D51:F51)=0,0,IF(COUNT(D51:F51)&lt;2,D51,IF((LARGE(D51:F51,1)-LARGE(D51:F51,2))/LARGE(D51:F51,1)&lt;=Results!$C$5,(LARGE(D51:F51,1)+LARGE(D51:F51,2))/2,AVERAGE(D51:F51))))</f>
        <v>0</v>
      </c>
      <c r="J51" s="14" t="str">
        <f aca="false">IF(AND(I51&gt;0,ISNUMBER(G51),ISNUMBER(H51)),I51-G51-H51,"")</f>
        <v/>
      </c>
      <c r="K51" s="13" t="n">
        <f aca="false">IF(I51&gt;0,C51,0)</f>
        <v>0</v>
      </c>
      <c r="L51" s="13" t="n">
        <f aca="false">IF(I51&gt;0,IF(B51="M",1,0),0)</f>
        <v>0</v>
      </c>
      <c r="M51" s="13" t="n">
        <f aca="false">IF(I51&gt;0,I51,0)</f>
        <v>0</v>
      </c>
      <c r="N51" s="13" t="n">
        <f aca="false">IF(I51&gt;0,1,0)</f>
        <v>0</v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3" t="n">
        <f aca="false">IF(COUNT(D52:F52)=0,0,IF(COUNT(D52:F52)&lt;2,D52,IF((LARGE(D52:F52,1)-LARGE(D52:F52,2))/LARGE(D52:F52,1)&lt;=Results!$C$5,(LARGE(D52:F52,1)+LARGE(D52:F52,2))/2,AVERAGE(D52:F52))))</f>
        <v>0</v>
      </c>
      <c r="J52" s="14" t="str">
        <f aca="false">IF(AND(I52&gt;0,ISNUMBER(G52),ISNUMBER(H52)),I52-G52-H52,"")</f>
        <v/>
      </c>
      <c r="K52" s="13" t="n">
        <f aca="false">IF(I52&gt;0,C52,0)</f>
        <v>0</v>
      </c>
      <c r="L52" s="13" t="n">
        <f aca="false">IF(I52&gt;0,IF(B52="M",1,0),0)</f>
        <v>0</v>
      </c>
      <c r="M52" s="13" t="n">
        <f aca="false">IF(I52&gt;0,I52,0)</f>
        <v>0</v>
      </c>
      <c r="N52" s="13" t="n">
        <f aca="false">IF(I52&gt;0,1,0)</f>
        <v>0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3" t="n">
        <f aca="false">IF(COUNT(D53:F53)=0,0,IF(COUNT(D53:F53)&lt;2,D53,IF((LARGE(D53:F53,1)-LARGE(D53:F53,2))/LARGE(D53:F53,1)&lt;=Results!$C$5,(LARGE(D53:F53,1)+LARGE(D53:F53,2))/2,AVERAGE(D53:F53))))</f>
        <v>0</v>
      </c>
      <c r="J53" s="14" t="str">
        <f aca="false">IF(AND(I53&gt;0,ISNUMBER(G53),ISNUMBER(H53)),I53-G53-H53,"")</f>
        <v/>
      </c>
      <c r="K53" s="13" t="n">
        <f aca="false">IF(I53&gt;0,C53,0)</f>
        <v>0</v>
      </c>
      <c r="L53" s="13" t="n">
        <f aca="false">IF(I53&gt;0,IF(B53="M",1,0),0)</f>
        <v>0</v>
      </c>
      <c r="M53" s="13" t="n">
        <f aca="false">IF(I53&gt;0,I53,0)</f>
        <v>0</v>
      </c>
      <c r="N53" s="13" t="n">
        <f aca="false">IF(I53&gt;0,1,0)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18 C24:H5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62</v>
      </c>
    </row>
    <row r="2" customFormat="false" ht="15" hidden="false" customHeight="false" outlineLevel="0" collapsed="false">
      <c r="B2" s="8" t="s">
        <v>63</v>
      </c>
    </row>
    <row r="4" customFormat="false" ht="15" hidden="false" customHeight="false" outlineLevel="0" collapsed="false">
      <c r="B4" s="9" t="s">
        <v>64</v>
      </c>
    </row>
    <row r="5" customFormat="false" ht="15" hidden="false" customHeight="false" outlineLevel="0" collapsed="false">
      <c r="B5" s="15" t="s">
        <v>65</v>
      </c>
      <c r="C5" s="12" t="n">
        <v>0.05</v>
      </c>
      <c r="D5" s="8"/>
    </row>
    <row r="7" customFormat="false" ht="15" hidden="false" customHeight="false" outlineLevel="0" collapsed="false">
      <c r="B7" s="9" t="s">
        <v>66</v>
      </c>
    </row>
    <row r="8" customFormat="false" ht="15" hidden="false" customHeight="false" outlineLevel="0" collapsed="false">
      <c r="B8" s="15" t="s">
        <v>67</v>
      </c>
      <c r="C8" s="16" t="n">
        <f aca="false">IFERROR(SUMPRODUCT(--ISNUMBER('Enter data'!$B$7:$B$18),--ISNUMBER('Enter data'!$A$7:$A$18)),"")</f>
        <v>9</v>
      </c>
    </row>
    <row r="9" customFormat="false" ht="15" hidden="false" customHeight="false" outlineLevel="0" collapsed="false">
      <c r="B9" s="15" t="s">
        <v>68</v>
      </c>
      <c r="C9" s="17" t="n">
        <f aca="false">IFERROR(SLOPE('Enter data'!$A$7:$A$18,'Enter data'!$B$7:$B$18),"")</f>
        <v>150.654779520568</v>
      </c>
    </row>
    <row r="10" customFormat="false" ht="15" hidden="false" customHeight="false" outlineLevel="0" collapsed="false">
      <c r="B10" s="15" t="s">
        <v>69</v>
      </c>
      <c r="C10" s="17" t="n">
        <f aca="false">IFERROR(INTERCEPT('Enter data'!$A$7:$A$18,'Enter data'!$B$7:$B$18),"")</f>
        <v>-7.56510802012463</v>
      </c>
    </row>
    <row r="11" customFormat="false" ht="15" hidden="false" customHeight="false" outlineLevel="0" collapsed="false">
      <c r="B11" s="15" t="s">
        <v>70</v>
      </c>
      <c r="C11" s="18" t="n">
        <f aca="false">IFERROR(RSQ('Enter data'!$A$7:$A$18,'Enter data'!$B$7:$B$18),"")</f>
        <v>0.999845553418171</v>
      </c>
    </row>
    <row r="12" customFormat="false" ht="15" hidden="false" customHeight="false" outlineLevel="0" collapsed="false">
      <c r="B12" s="15" t="s">
        <v>71</v>
      </c>
      <c r="C12" s="17" t="n">
        <f aca="false">IFERROR(STEYX('Enter data'!$A$7:$A$18,'Enter data'!$B$7:$B$18),"")</f>
        <v>18.1922225432208</v>
      </c>
    </row>
    <row r="13" customFormat="false" ht="15" hidden="false" customHeight="false" outlineLevel="0" collapsed="false">
      <c r="B13" s="15" t="s">
        <v>72</v>
      </c>
      <c r="C13" s="17" t="n">
        <f aca="false">IFERROR($C$12/SQRT(DEVSQ('Enter data'!$B$7:$B$18)),"")</f>
        <v>0.707712041367654</v>
      </c>
    </row>
    <row r="14" customFormat="false" ht="15" hidden="false" customHeight="false" outlineLevel="0" collapsed="false">
      <c r="B14" s="15" t="s">
        <v>73</v>
      </c>
      <c r="C14" s="17" t="n">
        <f aca="false">IFERROR($C$9-TINV(0.05,$C$8-2)*$C$13,"")</f>
        <v>148.981306464406</v>
      </c>
    </row>
    <row r="15" customFormat="false" ht="15" hidden="false" customHeight="false" outlineLevel="0" collapsed="false">
      <c r="B15" s="15" t="s">
        <v>74</v>
      </c>
      <c r="C15" s="17" t="n">
        <f aca="false">IFERROR($C$9+TINV(0.05,$C$8-2)*$C$13,"")</f>
        <v>152.32825257673</v>
      </c>
    </row>
    <row r="17" customFormat="false" ht="15" hidden="false" customHeight="false" outlineLevel="0" collapsed="false">
      <c r="B17" s="9" t="s">
        <v>75</v>
      </c>
    </row>
    <row r="18" customFormat="false" ht="30" hidden="false" customHeight="true" outlineLevel="0" collapsed="false">
      <c r="B18" s="10" t="s">
        <v>76</v>
      </c>
      <c r="C18" s="10" t="s">
        <v>77</v>
      </c>
      <c r="D18" s="10" t="s">
        <v>78</v>
      </c>
      <c r="E18" s="10" t="s">
        <v>79</v>
      </c>
      <c r="F18" s="10" t="s">
        <v>80</v>
      </c>
    </row>
    <row r="19" customFormat="false" ht="15" hidden="false" customHeight="false" outlineLevel="0" collapsed="false">
      <c r="B19" s="19" t="str">
        <f aca="false">IFERROR("F","")</f>
        <v>F</v>
      </c>
      <c r="C19" s="20" t="n">
        <f aca="false">IFERROR(COUNTIFS('Enter data'!$B$24:$B$53,"F",'Enter data'!$I$24:$I$53,"&lt;&gt;0"),"")</f>
        <v>12</v>
      </c>
      <c r="D19" s="20" t="n">
        <f aca="false">IFERROR(AVERAGEIFS('Enter data'!$I$24:$I$53,'Enter data'!$B$24:$B$53,"F",'Enter data'!$I$24:$I$53,"&lt;&gt;0"),"")</f>
        <v>3339.58333333333</v>
      </c>
      <c r="E19" s="20" t="n">
        <f aca="false">IFERROR(SQRT(MAX(0,(SUMPRODUCT(('Enter data'!$B$24:$B$53="F")*('Enter data'!$I$24:$I$53&lt;&gt;0)*'Enter data'!$I$24:$I$53^2)-C19*D19^2)/(C19-1))),"")</f>
        <v>338.522581047095</v>
      </c>
      <c r="F19" s="20" t="n">
        <f aca="false">IFERROR(E19/SQRT(C19),"")</f>
        <v>97.7230516471536</v>
      </c>
    </row>
    <row r="20" customFormat="false" ht="15" hidden="false" customHeight="false" outlineLevel="0" collapsed="false">
      <c r="B20" s="19" t="str">
        <f aca="false">IFERROR("M","")</f>
        <v>M</v>
      </c>
      <c r="C20" s="20" t="n">
        <f aca="false">IFERROR(COUNTIFS('Enter data'!$B$24:$B$53,"M",'Enter data'!$I$24:$I$53,"&lt;&gt;0"),"")</f>
        <v>12</v>
      </c>
      <c r="D20" s="20" t="n">
        <f aca="false">IFERROR(AVERAGEIFS('Enter data'!$I$24:$I$53,'Enter data'!$B$24:$B$53,"M",'Enter data'!$I$24:$I$53,"&lt;&gt;0"),"")</f>
        <v>4060.41666666667</v>
      </c>
      <c r="E20" s="20" t="n">
        <f aca="false">IFERROR(SQRT(MAX(0,(SUMPRODUCT(('Enter data'!$B$24:$B$53="M")*('Enter data'!$I$24:$I$53&lt;&gt;0)*'Enter data'!$I$24:$I$53^2)-C20*D20^2)/(C20-1))),"")</f>
        <v>447.652758758666</v>
      </c>
      <c r="F20" s="20" t="n">
        <f aca="false">IFERROR(E20/SQRT(C20),"")</f>
        <v>129.226220386397</v>
      </c>
    </row>
    <row r="23" customFormat="false" ht="15" hidden="false" customHeight="false" outlineLevel="0" collapsed="false">
      <c r="B23" s="9" t="s">
        <v>81</v>
      </c>
    </row>
    <row r="24" customFormat="false" ht="15" hidden="false" customHeight="false" outlineLevel="0" collapsed="false">
      <c r="B24" s="15" t="s">
        <v>82</v>
      </c>
      <c r="C24" s="16" t="n">
        <f aca="false">IFERROR(SUM('Enter data'!$N$24:$N$53),"")</f>
        <v>24</v>
      </c>
    </row>
    <row r="25" customFormat="false" ht="15" hidden="false" customHeight="false" outlineLevel="0" collapsed="false">
      <c r="B25" s="15" t="s">
        <v>83</v>
      </c>
      <c r="C25" s="17" t="n">
        <f aca="false">IFERROR(SUMPRODUCT('Enter data'!$N$24:$N$53,'Enter data'!$K$24:$K$53)/$C$24,"")</f>
        <v>162.083333333333</v>
      </c>
    </row>
    <row r="26" customFormat="false" ht="15" hidden="false" customHeight="false" outlineLevel="0" collapsed="false">
      <c r="B26" s="15" t="s">
        <v>84</v>
      </c>
      <c r="C26" s="17" t="n">
        <f aca="false">IFERROR(SUMPRODUCT('Enter data'!$N$24:$N$53,'Enter data'!$L$24:$L$53)/$C$24,"")</f>
        <v>0.5</v>
      </c>
    </row>
    <row r="27" customFormat="false" ht="15" hidden="false" customHeight="false" outlineLevel="0" collapsed="false">
      <c r="B27" s="15" t="s">
        <v>85</v>
      </c>
      <c r="C27" s="17" t="n">
        <f aca="false">IFERROR(SUMPRODUCT('Enter data'!$N$24:$N$53,'Enter data'!$M$24:$M$53)/$C$24,"")</f>
        <v>3700</v>
      </c>
    </row>
    <row r="28" customFormat="false" ht="15" hidden="false" customHeight="false" outlineLevel="0" collapsed="false">
      <c r="B28" s="15" t="s">
        <v>86</v>
      </c>
      <c r="C28" s="17" t="n">
        <f aca="false">IFERROR(SUMPRODUCT('Enter data'!$N$24:$N$53,('Enter data'!$K$24:$K$53-$C$25)*('Enter data'!$K$24:$K$53-$C$25)),"")</f>
        <v>1551.83333333333</v>
      </c>
    </row>
    <row r="29" customFormat="false" ht="15" hidden="false" customHeight="false" outlineLevel="0" collapsed="false">
      <c r="B29" s="15" t="s">
        <v>87</v>
      </c>
      <c r="C29" s="17" t="n">
        <f aca="false">IFERROR(SUMPRODUCT('Enter data'!$N$24:$N$53,('Enter data'!$L$24:$L$53-$C$26)*('Enter data'!$L$24:$L$53-$C$26)),"")</f>
        <v>6</v>
      </c>
    </row>
    <row r="30" customFormat="false" ht="15" hidden="false" customHeight="false" outlineLevel="0" collapsed="false">
      <c r="B30" s="15" t="s">
        <v>88</v>
      </c>
      <c r="C30" s="17" t="n">
        <f aca="false">IFERROR(SUMPRODUCT('Enter data'!$N$24:$N$53,('Enter data'!$K$24:$K$53-$C$25)*('Enter data'!$L$24:$L$53-$C$26)),"")</f>
        <v>55</v>
      </c>
    </row>
    <row r="31" customFormat="false" ht="15" hidden="false" customHeight="false" outlineLevel="0" collapsed="false">
      <c r="B31" s="15" t="s">
        <v>89</v>
      </c>
      <c r="C31" s="17" t="n">
        <f aca="false">IFERROR(SUMPRODUCT('Enter data'!$N$24:$N$53,('Enter data'!$K$24:$K$53-$C$25)*('Enter data'!$M$24:$M$53-$C$27)),"")</f>
        <v>90125</v>
      </c>
    </row>
    <row r="32" customFormat="false" ht="15" hidden="false" customHeight="false" outlineLevel="0" collapsed="false">
      <c r="B32" s="15" t="s">
        <v>90</v>
      </c>
      <c r="C32" s="17" t="n">
        <f aca="false">IFERROR(SUMPRODUCT('Enter data'!$N$24:$N$53,('Enter data'!$L$24:$L$53-$C$26)*('Enter data'!$M$24:$M$53-$C$27)),"")</f>
        <v>4325</v>
      </c>
    </row>
    <row r="33" customFormat="false" ht="15" hidden="false" customHeight="false" outlineLevel="0" collapsed="false">
      <c r="B33" s="15" t="s">
        <v>91</v>
      </c>
      <c r="C33" s="17" t="n">
        <f aca="false">IFERROR(SUMPRODUCT('Enter data'!$N$24:$N$53,('Enter data'!$M$24:$M$53-$C$27)*('Enter data'!$M$24:$M$53-$C$27)),"")</f>
        <v>6582500</v>
      </c>
    </row>
    <row r="34" customFormat="false" ht="15" hidden="false" customHeight="false" outlineLevel="0" collapsed="false">
      <c r="B34" s="15" t="s">
        <v>92</v>
      </c>
      <c r="C34" s="17" t="n">
        <f aca="false">IFERROR(($C$31*$C$29-$C$32*$C$30)/($C$28*$C$29-$C$30^2),"")</f>
        <v>48.1824689786828</v>
      </c>
    </row>
    <row r="35" customFormat="false" ht="15" hidden="false" customHeight="false" outlineLevel="0" collapsed="false">
      <c r="B35" s="15" t="s">
        <v>93</v>
      </c>
      <c r="C35" s="17" t="n">
        <f aca="false">IFERROR(($C$32*$C$28-$C$31*$C$30)/($C$28*$C$29-$C$30^2),"")</f>
        <v>279.160701028741</v>
      </c>
    </row>
    <row r="36" customFormat="false" ht="15" hidden="false" customHeight="false" outlineLevel="0" collapsed="false">
      <c r="B36" s="15" t="s">
        <v>94</v>
      </c>
      <c r="C36" s="17" t="n">
        <f aca="false">IFERROR($C$27-$C$34*$C$25-$C$35*$C$26,"")</f>
        <v>-4249.15553080921</v>
      </c>
    </row>
    <row r="37" customFormat="false" ht="15" hidden="false" customHeight="false" outlineLevel="0" collapsed="false">
      <c r="B37" s="15" t="s">
        <v>95</v>
      </c>
      <c r="C37" s="17" t="n">
        <f aca="false">IFERROR($C$33-$C$34*$C$31-$C$35*$C$32,"")</f>
        <v>1032684.95134691</v>
      </c>
    </row>
    <row r="38" customFormat="false" ht="15" hidden="false" customHeight="false" outlineLevel="0" collapsed="false">
      <c r="B38" s="15" t="s">
        <v>71</v>
      </c>
      <c r="C38" s="17" t="n">
        <f aca="false">IFERROR(SQRT($C$37/($C$24-3)),"")</f>
        <v>221.755437078017</v>
      </c>
    </row>
    <row r="39" customFormat="false" ht="15" hidden="false" customHeight="false" outlineLevel="0" collapsed="false">
      <c r="B39" s="15" t="s">
        <v>70</v>
      </c>
      <c r="C39" s="21" t="n">
        <f aca="false">IFERROR(1-$C$37/$C$33,"")</f>
        <v>0.843116604428878</v>
      </c>
    </row>
    <row r="40" customFormat="false" ht="15" hidden="false" customHeight="false" outlineLevel="0" collapsed="false">
      <c r="B40" s="15" t="s">
        <v>96</v>
      </c>
      <c r="C40" s="17" t="n">
        <f aca="false">IFERROR($C$38*SQRT($C$29/($C$28*$C$29-$C$30^2)),"")</f>
        <v>6.85113797201669</v>
      </c>
    </row>
    <row r="41" customFormat="false" ht="15" hidden="false" customHeight="false" outlineLevel="0" collapsed="false">
      <c r="B41" s="15" t="s">
        <v>97</v>
      </c>
      <c r="C41" s="17" t="n">
        <f aca="false">IFERROR($C$38*SQRT($C$28/($C$28*$C$29-$C$30^2)),"")</f>
        <v>110.181740025866</v>
      </c>
    </row>
    <row r="42" customFormat="false" ht="15" hidden="false" customHeight="false" outlineLevel="0" collapsed="false">
      <c r="B42" s="15" t="s">
        <v>98</v>
      </c>
      <c r="C42" s="17" t="n">
        <f aca="false">IFERROR($C$34-TINV(0.05,$C$24-3)*$C$40,"")</f>
        <v>33.9347475999374</v>
      </c>
    </row>
    <row r="43" customFormat="false" ht="15" hidden="false" customHeight="false" outlineLevel="0" collapsed="false">
      <c r="B43" s="15" t="s">
        <v>99</v>
      </c>
      <c r="C43" s="17" t="n">
        <f aca="false">IFERROR($C$34+TINV(0.05,$C$24-3)*$C$40,"")</f>
        <v>62.4301903574282</v>
      </c>
    </row>
    <row r="45" customFormat="false" ht="15" hidden="false" customHeight="false" outlineLevel="0" collapsed="false">
      <c r="B45" s="9" t="s">
        <v>100</v>
      </c>
    </row>
    <row r="46" customFormat="false" ht="15" hidden="false" customHeight="false" outlineLevel="0" collapsed="false">
      <c r="B46" s="15" t="s">
        <v>101</v>
      </c>
      <c r="C46" s="16" t="n">
        <f aca="false">IFERROR(AVERAGE('Enter data'!$G$24:$G$53),"")</f>
        <v>510.416666666667</v>
      </c>
    </row>
    <row r="47" customFormat="false" ht="15" hidden="false" customHeight="false" outlineLevel="0" collapsed="false">
      <c r="B47" s="15" t="s">
        <v>102</v>
      </c>
      <c r="C47" s="16" t="n">
        <f aca="false">IFERROR(AVERAGE('Enter data'!$H$24:$H$53),"")</f>
        <v>1033.33333333333</v>
      </c>
    </row>
    <row r="48" customFormat="false" ht="15" hidden="false" customHeight="false" outlineLevel="0" collapsed="false">
      <c r="B48" s="15" t="s">
        <v>103</v>
      </c>
      <c r="C48" s="16" t="n">
        <f aca="false">IFERROR(AVERAGE('Enter data'!$J$24:$J$53),"")</f>
        <v>2156.25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2026-10-01T00:31:10Z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2026-10-01T00:31:10Z</dcterms:modified>
  <cp:revision>0</cp:revision>
  <dc:subject/>
  <dc:title>AP-04 Lung volumes with a homemade spirometer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