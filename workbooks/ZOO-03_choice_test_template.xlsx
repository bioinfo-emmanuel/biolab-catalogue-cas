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<sst xmlns="http://schemas.openxmlformats.org/spreadsheetml/2006/main" count="50" uniqueCount="41">
  <si>
    <t xml:space="preserve">ZOO-03  Two-choice behaviour experiment</t>
  </si>
  <si>
    <t xml:space="preserve">Excel version of the card. It does the same calculations as the R script zoo03_choice_test.R.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</si>
  <si>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</si>
  <si>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</si>
  <si>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</si>
  <si>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</si>
  <si>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</si>
  <si>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</si>
  <si>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</si>
  <si>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</si>
  <si>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Use each animal once. The animal, not the trial, is the unit. A control arena with identical sides tests for side bias.</t>
  </si>
  <si>
    <t xml:space="preserve">Exact two-sided binomial p value against 0.5 = MIN(1, 2 x the smaller tail probability).</t>
  </si>
  <si>
    <t xml:space="preserve">Differences from the R script on the card</t>
  </si>
  <si>
    <t xml:space="preserve">The R script also compares choice and control with Fisher's exact test and runs power simulations. The workbook uses a chi-square test for choice versus control (approximate when counts are small) and a small power table computed from the binomial distribution.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</si>
  <si>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</si>
  <si>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</si>
  <si>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</si>
  <si>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</si>
  <si>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Choice arena: one row per animal</t>
  </si>
  <si>
    <t xml:space="preserve">Animal</t>
  </si>
  <si>
    <t xml:space="preserve">Side chosen (A or B)</t>
  </si>
  <si>
    <t xml:space="preserve">woodlouse 1</t>
  </si>
  <si>
    <t xml:space="preserve">A</t>
  </si>
  <si>
    <t xml:space="preserve">2. Control arena (both sides the same): one row per animal</t>
  </si>
  <si>
    <t xml:space="preserve">B</t>
  </si>
  <si>
    <t xml:space="preserve">Results</t>
  </si>
  <si>
    <t xml:space="preserve">Everything on this sheet is calculated. Change only the yellow settings.</t>
  </si>
  <si>
    <t xml:space="preserve">Choice arena</t>
  </si>
  <si>
    <t xml:space="preserve">Animals tested</t>
  </si>
  <si>
    <t xml:space="preserve">Chose side A</t>
  </si>
  <si>
    <t xml:space="preserve">Proportion choosing A</t>
  </si>
  <si>
    <t xml:space="preserve">95% interval (exact), lower</t>
  </si>
  <si>
    <t xml:space="preserve">95% interval (exact), upper</t>
  </si>
  <si>
    <t xml:space="preserve">Exact two-sided p against 0.5</t>
  </si>
  <si>
    <t xml:space="preserve">Control arena (side bias check)</t>
  </si>
  <si>
    <t xml:space="preserve">Choice versus control</t>
  </si>
  <si>
    <t xml:space="preserve">Chi-square (1 df)</t>
  </si>
  <si>
    <t xml:space="preserve">p value (approximate)</t>
  </si>
  <si>
    <t xml:space="preserve">Power: chance of detecting a true 70% preference by the number of animals (exact binomial test, alpha = 0.05)</t>
  </si>
  <si>
    <t xml:space="preserve">Animals</t>
  </si>
  <si>
    <t xml:space="preserve">Power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</si>
</sst>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0"/>
    <numFmt numFmtId="167" formatCode="0.0000"/>
    <numFmt numFmtId="168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1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23.8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6" t="s">
        <v>14</v>
      </c>
    </row>
    <row r="21" customFormat="false" ht="15" hidden="false" customHeight="false" outlineLevel="0" collapsed="false">
      <c r="B21" s="2"/>
    </row>
    <row r="22" customFormat="false" ht="22.35" hidden="false" customHeight="false" outlineLevel="0" collapsed="false">
      <c r="B22" s="6" t="s">
        <v>15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16</v>
      </c>
    </row>
    <row r="2" customFormat="false" ht="15" hidden="false" customHeight="false" outlineLevel="0" collapsed="false">
      <c r="A2" s="8" t="s">
        <v>17</v>
      </c>
    </row>
    <row r="4" customFormat="false" ht="15" hidden="false" customHeight="false" outlineLevel="0" collapsed="false">
      <c r="A4" s="9" t="s">
        <v>18</v>
      </c>
    </row>
    <row r="5" customFormat="false" ht="31.5" hidden="false" customHeight="true" outlineLevel="0" collapsed="false">
      <c r="A5" s="10" t="s">
        <v>19</v>
      </c>
      <c r="B5" s="10" t="s">
        <v>20</v>
      </c>
    </row>
    <row r="6" customFormat="false" ht="15" hidden="false" customHeight="false" outlineLevel="0" collapsed="false">
      <c r="A6" s="11" t="s">
        <v>21</v>
      </c>
      <c r="B6" s="11" t="s">
        <v>22</v>
      </c>
    </row>
    <row r="7" customFormat="false" ht="15" hidden="false" customHeight="false" outlineLevel="0" collapsed="false">
      <c r="A7" s="12"/>
      <c r="B7" s="12"/>
    </row>
    <row r="8" customFormat="false" ht="15" hidden="false" customHeight="false" outlineLevel="0" collapsed="false">
      <c r="A8" s="12"/>
      <c r="B8" s="12"/>
    </row>
    <row r="9" customFormat="false" ht="15" hidden="false" customHeight="false" outlineLevel="0" collapsed="false">
      <c r="A9" s="12"/>
      <c r="B9" s="12"/>
    </row>
    <row r="10" customFormat="false" ht="15" hidden="false" customHeight="false" outlineLevel="0" collapsed="false">
      <c r="A10" s="12"/>
      <c r="B10" s="12"/>
    </row>
    <row r="11" customFormat="false" ht="15" hidden="false" customHeight="false" outlineLevel="0" collapsed="false">
      <c r="A11" s="12"/>
      <c r="B11" s="12"/>
    </row>
    <row r="12" customFormat="false" ht="15" hidden="false" customHeight="false" outlineLevel="0" collapsed="false">
      <c r="A12" s="12"/>
      <c r="B12" s="12"/>
    </row>
    <row r="13" customFormat="false" ht="15" hidden="false" customHeight="false" outlineLevel="0" collapsed="false">
      <c r="A13" s="12"/>
      <c r="B13" s="12"/>
    </row>
    <row r="14" customFormat="false" ht="15" hidden="false" customHeight="false" outlineLevel="0" collapsed="false">
      <c r="A14" s="12"/>
      <c r="B14" s="12"/>
    </row>
    <row r="15" customFormat="false" ht="15" hidden="false" customHeight="false" outlineLevel="0" collapsed="false">
      <c r="A15" s="12"/>
      <c r="B15" s="12"/>
    </row>
    <row r="16" customFormat="false" ht="15" hidden="false" customHeight="false" outlineLevel="0" collapsed="false">
      <c r="A16" s="12"/>
      <c r="B16" s="12"/>
    </row>
    <row r="17" customFormat="false" ht="15" hidden="false" customHeight="false" outlineLevel="0" collapsed="false">
      <c r="A17" s="12"/>
      <c r="B17" s="12"/>
    </row>
    <row r="18" customFormat="false" ht="15" hidden="false" customHeight="false" outlineLevel="0" collapsed="false">
      <c r="A18" s="12"/>
      <c r="B18" s="12"/>
    </row>
    <row r="19" customFormat="false" ht="15" hidden="false" customHeight="false" outlineLevel="0" collapsed="false">
      <c r="A19" s="12"/>
      <c r="B19" s="12"/>
    </row>
    <row r="20" customFormat="false" ht="15" hidden="false" customHeight="false" outlineLevel="0" collapsed="false">
      <c r="A20" s="12"/>
      <c r="B20" s="12"/>
    </row>
    <row r="21" customFormat="false" ht="15" hidden="false" customHeight="false" outlineLevel="0" collapsed="false">
      <c r="A21" s="12"/>
      <c r="B21" s="12"/>
    </row>
    <row r="22" customFormat="false" ht="15" hidden="false" customHeight="false" outlineLevel="0" collapsed="false">
      <c r="A22" s="12"/>
      <c r="B22" s="12"/>
    </row>
    <row r="23" customFormat="false" ht="15" hidden="false" customHeight="false" outlineLevel="0" collapsed="false">
      <c r="A23" s="12"/>
      <c r="B23" s="12"/>
    </row>
    <row r="24" customFormat="false" ht="15" hidden="false" customHeight="false" outlineLevel="0" collapsed="false">
      <c r="A24" s="12"/>
      <c r="B24" s="12"/>
    </row>
    <row r="25" customFormat="false" ht="15" hidden="false" customHeight="false" outlineLevel="0" collapsed="false">
      <c r="A25" s="12"/>
      <c r="B25" s="12"/>
    </row>
    <row r="26" customFormat="false" ht="15" hidden="false" customHeight="false" outlineLevel="0" collapsed="false">
      <c r="A26" s="12"/>
      <c r="B26" s="12"/>
    </row>
    <row r="27" customFormat="false" ht="15" hidden="false" customHeight="false" outlineLevel="0" collapsed="false">
      <c r="A27" s="12"/>
      <c r="B27" s="12"/>
    </row>
    <row r="28" customFormat="false" ht="15" hidden="false" customHeight="false" outlineLevel="0" collapsed="false">
      <c r="A28" s="12"/>
      <c r="B28" s="12"/>
    </row>
    <row r="29" customFormat="false" ht="15" hidden="false" customHeight="false" outlineLevel="0" collapsed="false">
      <c r="A29" s="12"/>
      <c r="B29" s="12"/>
    </row>
    <row r="30" customFormat="false" ht="15" hidden="false" customHeight="false" outlineLevel="0" collapsed="false">
      <c r="A30" s="12"/>
      <c r="B30" s="12"/>
    </row>
    <row r="31" customFormat="false" ht="15" hidden="false" customHeight="false" outlineLevel="0" collapsed="false">
      <c r="A31" s="12"/>
      <c r="B31" s="12"/>
    </row>
    <row r="32" customFormat="false" ht="15" hidden="false" customHeight="false" outlineLevel="0" collapsed="false">
      <c r="A32" s="12"/>
      <c r="B32" s="12"/>
    </row>
    <row r="33" customFormat="false" ht="15" hidden="false" customHeight="false" outlineLevel="0" collapsed="false">
      <c r="A33" s="12"/>
      <c r="B33" s="12"/>
    </row>
    <row r="34" customFormat="false" ht="15" hidden="false" customHeight="false" outlineLevel="0" collapsed="false">
      <c r="A34" s="12"/>
      <c r="B34" s="12"/>
    </row>
    <row r="35" customFormat="false" ht="15" hidden="false" customHeight="false" outlineLevel="0" collapsed="false">
      <c r="A35" s="12"/>
      <c r="B35" s="12"/>
    </row>
    <row r="36" customFormat="false" ht="15" hidden="false" customHeight="false" outlineLevel="0" collapsed="false">
      <c r="A36" s="12"/>
      <c r="B36" s="12"/>
    </row>
    <row r="37" customFormat="false" ht="15" hidden="false" customHeight="false" outlineLevel="0" collapsed="false">
      <c r="A37" s="12"/>
      <c r="B37" s="12"/>
    </row>
    <row r="38" customFormat="false" ht="15" hidden="false" customHeight="false" outlineLevel="0" collapsed="false">
      <c r="A38" s="12"/>
      <c r="B38" s="12"/>
    </row>
    <row r="39" customFormat="false" ht="15" hidden="false" customHeight="false" outlineLevel="0" collapsed="false">
      <c r="A39" s="12"/>
      <c r="B39" s="12"/>
    </row>
    <row r="40" customFormat="false" ht="15" hidden="false" customHeight="false" outlineLevel="0" collapsed="false">
      <c r="A40" s="12"/>
      <c r="B40" s="12"/>
    </row>
    <row r="41" customFormat="false" ht="15" hidden="false" customHeight="false" outlineLevel="0" collapsed="false">
      <c r="A41" s="12"/>
      <c r="B41" s="12"/>
    </row>
    <row r="42" customFormat="false" ht="15" hidden="false" customHeight="false" outlineLevel="0" collapsed="false">
      <c r="A42" s="12"/>
      <c r="B42" s="12"/>
    </row>
    <row r="43" customFormat="false" ht="15" hidden="false" customHeight="false" outlineLevel="0" collapsed="false">
      <c r="A43" s="12"/>
      <c r="B43" s="12"/>
    </row>
    <row r="44" customFormat="false" ht="15" hidden="false" customHeight="false" outlineLevel="0" collapsed="false">
      <c r="A44" s="12"/>
      <c r="B44" s="12"/>
    </row>
    <row r="45" customFormat="false" ht="15" hidden="false" customHeight="false" outlineLevel="0" collapsed="false">
      <c r="A45" s="12"/>
      <c r="B45" s="12"/>
    </row>
    <row r="46" customFormat="false" ht="15" hidden="false" customHeight="false" outlineLevel="0" collapsed="false">
      <c r="A46" s="12"/>
      <c r="B46" s="12"/>
    </row>
    <row r="47" customFormat="false" ht="15" hidden="false" customHeight="false" outlineLevel="0" collapsed="false">
      <c r="A47" s="12"/>
      <c r="B47" s="12"/>
    </row>
    <row r="48" customFormat="false" ht="15" hidden="false" customHeight="false" outlineLevel="0" collapsed="false">
      <c r="A48" s="12"/>
      <c r="B48" s="12"/>
    </row>
    <row r="49" customFormat="false" ht="15" hidden="false" customHeight="false" outlineLevel="0" collapsed="false">
      <c r="A49" s="12"/>
      <c r="B49" s="12"/>
    </row>
    <row r="50" customFormat="false" ht="15" hidden="false" customHeight="false" outlineLevel="0" collapsed="false">
      <c r="A50" s="12"/>
      <c r="B50" s="12"/>
    </row>
    <row r="51" customFormat="false" ht="15" hidden="false" customHeight="false" outlineLevel="0" collapsed="false">
      <c r="A51" s="12"/>
      <c r="B51" s="12"/>
    </row>
    <row r="52" customFormat="false" ht="15" hidden="false" customHeight="false" outlineLevel="0" collapsed="false">
      <c r="A52" s="12"/>
      <c r="B52" s="12"/>
    </row>
    <row r="53" customFormat="false" ht="15" hidden="false" customHeight="false" outlineLevel="0" collapsed="false">
      <c r="A53" s="12"/>
      <c r="B53" s="12"/>
    </row>
    <row r="54" customFormat="false" ht="15" hidden="false" customHeight="false" outlineLevel="0" collapsed="false">
      <c r="A54" s="12"/>
      <c r="B54" s="12"/>
    </row>
    <row r="55" customFormat="false" ht="15" hidden="false" customHeight="false" outlineLevel="0" collapsed="false">
      <c r="A55" s="12"/>
      <c r="B55" s="12"/>
    </row>
    <row r="56" customFormat="false" ht="15" hidden="false" customHeight="false" outlineLevel="0" collapsed="false">
      <c r="A56" s="12"/>
      <c r="B56" s="12"/>
    </row>
    <row r="57" customFormat="false" ht="15" hidden="false" customHeight="false" outlineLevel="0" collapsed="false">
      <c r="A57" s="12"/>
      <c r="B57" s="12"/>
    </row>
    <row r="58" customFormat="false" ht="15" hidden="false" customHeight="false" outlineLevel="0" collapsed="false">
      <c r="A58" s="12"/>
      <c r="B58" s="12"/>
    </row>
    <row r="59" customFormat="false" ht="15" hidden="false" customHeight="false" outlineLevel="0" collapsed="false">
      <c r="A59" s="12"/>
      <c r="B59" s="12"/>
    </row>
    <row r="60" customFormat="false" ht="15" hidden="false" customHeight="false" outlineLevel="0" collapsed="false">
      <c r="A60" s="12"/>
      <c r="B60" s="12"/>
    </row>
    <row r="61" customFormat="false" ht="15" hidden="false" customHeight="false" outlineLevel="0" collapsed="false">
      <c r="A61" s="12"/>
      <c r="B61" s="12"/>
    </row>
    <row r="62" customFormat="false" ht="15" hidden="false" customHeight="false" outlineLevel="0" collapsed="false">
      <c r="A62" s="12"/>
      <c r="B62" s="12"/>
    </row>
    <row r="63" customFormat="false" ht="15" hidden="false" customHeight="false" outlineLevel="0" collapsed="false">
      <c r="A63" s="12"/>
      <c r="B63" s="12"/>
    </row>
    <row r="64" customFormat="false" ht="15" hidden="false" customHeight="false" outlineLevel="0" collapsed="false">
      <c r="A64" s="12"/>
      <c r="B64" s="12"/>
    </row>
    <row r="65" customFormat="false" ht="15" hidden="false" customHeight="false" outlineLevel="0" collapsed="false">
      <c r="A65" s="12"/>
      <c r="B65" s="12"/>
    </row>
    <row r="66" customFormat="false" ht="15" hidden="false" customHeight="false" outlineLevel="0" collapsed="false">
      <c r="A66" s="12"/>
      <c r="B66" s="12"/>
    </row>
    <row r="69" customFormat="false" ht="15" hidden="false" customHeight="false" outlineLevel="0" collapsed="false">
      <c r="A69" s="9" t="s">
        <v>23</v>
      </c>
    </row>
    <row r="70" customFormat="false" ht="31.5" hidden="false" customHeight="true" outlineLevel="0" collapsed="false">
      <c r="A70" s="10" t="s">
        <v>19</v>
      </c>
      <c r="B70" s="10" t="s">
        <v>20</v>
      </c>
    </row>
    <row r="71" customFormat="false" ht="15" hidden="false" customHeight="false" outlineLevel="0" collapsed="false">
      <c r="A71" s="11" t="s">
        <v>21</v>
      </c>
      <c r="B71" s="11" t="s">
        <v>24</v>
      </c>
    </row>
    <row r="72" customFormat="false" ht="15" hidden="false" customHeight="false" outlineLevel="0" collapsed="false">
      <c r="A72" s="12"/>
      <c r="B72" s="12"/>
    </row>
    <row r="73" customFormat="false" ht="15" hidden="false" customHeight="false" outlineLevel="0" collapsed="false">
      <c r="A73" s="12"/>
      <c r="B73" s="12"/>
    </row>
    <row r="74" customFormat="false" ht="15" hidden="false" customHeight="false" outlineLevel="0" collapsed="false">
      <c r="A74" s="12"/>
      <c r="B74" s="12"/>
    </row>
    <row r="75" customFormat="false" ht="15" hidden="false" customHeight="false" outlineLevel="0" collapsed="false">
      <c r="A75" s="12"/>
      <c r="B75" s="12"/>
    </row>
    <row r="76" customFormat="false" ht="15" hidden="false" customHeight="false" outlineLevel="0" collapsed="false">
      <c r="A76" s="12"/>
      <c r="B76" s="12"/>
    </row>
    <row r="77" customFormat="false" ht="15" hidden="false" customHeight="false" outlineLevel="0" collapsed="false">
      <c r="A77" s="12"/>
      <c r="B77" s="12"/>
    </row>
    <row r="78" customFormat="false" ht="15" hidden="false" customHeight="false" outlineLevel="0" collapsed="false">
      <c r="A78" s="12"/>
      <c r="B78" s="12"/>
    </row>
    <row r="79" customFormat="false" ht="15" hidden="false" customHeight="false" outlineLevel="0" collapsed="false">
      <c r="A79" s="12"/>
      <c r="B79" s="12"/>
    </row>
    <row r="80" customFormat="false" ht="15" hidden="false" customHeight="false" outlineLevel="0" collapsed="false">
      <c r="A80" s="12"/>
      <c r="B80" s="12"/>
    </row>
    <row r="81" customFormat="false" ht="15" hidden="false" customHeight="false" outlineLevel="0" collapsed="false">
      <c r="A81" s="12"/>
      <c r="B81" s="12"/>
    </row>
    <row r="82" customFormat="false" ht="15" hidden="false" customHeight="false" outlineLevel="0" collapsed="false">
      <c r="A82" s="12"/>
      <c r="B82" s="12"/>
    </row>
    <row r="83" customFormat="false" ht="15" hidden="false" customHeight="false" outlineLevel="0" collapsed="false">
      <c r="A83" s="12"/>
      <c r="B83" s="12"/>
    </row>
    <row r="84" customFormat="false" ht="15" hidden="false" customHeight="false" outlineLevel="0" collapsed="false">
      <c r="A84" s="12"/>
      <c r="B84" s="12"/>
    </row>
    <row r="85" customFormat="false" ht="15" hidden="false" customHeight="false" outlineLevel="0" collapsed="false">
      <c r="A85" s="12"/>
      <c r="B85" s="12"/>
    </row>
    <row r="86" customFormat="false" ht="15" hidden="false" customHeight="false" outlineLevel="0" collapsed="false">
      <c r="A86" s="12"/>
      <c r="B86" s="12"/>
    </row>
    <row r="87" customFormat="false" ht="15" hidden="false" customHeight="false" outlineLevel="0" collapsed="false">
      <c r="A87" s="12"/>
      <c r="B87" s="12"/>
    </row>
    <row r="88" customFormat="false" ht="15" hidden="false" customHeight="false" outlineLevel="0" collapsed="false">
      <c r="A88" s="12"/>
      <c r="B88" s="12"/>
    </row>
    <row r="89" customFormat="false" ht="15" hidden="false" customHeight="false" outlineLevel="0" collapsed="false">
      <c r="A89" s="12"/>
      <c r="B89" s="12"/>
    </row>
    <row r="90" customFormat="false" ht="15" hidden="false" customHeight="false" outlineLevel="0" collapsed="false">
      <c r="A90" s="12"/>
      <c r="B90" s="12"/>
    </row>
    <row r="91" customFormat="false" ht="15" hidden="false" customHeight="false" outlineLevel="0" collapsed="false">
      <c r="A91" s="12"/>
      <c r="B91" s="12"/>
    </row>
    <row r="92" customFormat="false" ht="15" hidden="false" customHeight="false" outlineLevel="0" collapsed="false">
      <c r="A92" s="12"/>
      <c r="B92" s="12"/>
    </row>
    <row r="93" customFormat="false" ht="15" hidden="false" customHeight="false" outlineLevel="0" collapsed="false">
      <c r="A93" s="12"/>
      <c r="B93" s="12"/>
    </row>
    <row r="94" customFormat="false" ht="15" hidden="false" customHeight="false" outlineLevel="0" collapsed="false">
      <c r="A94" s="12"/>
      <c r="B94" s="12"/>
    </row>
    <row r="95" customFormat="false" ht="15" hidden="false" customHeight="false" outlineLevel="0" collapsed="false">
      <c r="A95" s="12"/>
      <c r="B95" s="12"/>
    </row>
    <row r="96" customFormat="false" ht="15" hidden="false" customHeight="false" outlineLevel="0" collapsed="false">
      <c r="A96" s="12"/>
      <c r="B96" s="12"/>
    </row>
    <row r="97" customFormat="false" ht="15" hidden="false" customHeight="false" outlineLevel="0" collapsed="false">
      <c r="A97" s="12"/>
      <c r="B97" s="12"/>
    </row>
    <row r="98" customFormat="false" ht="15" hidden="false" customHeight="false" outlineLevel="0" collapsed="false">
      <c r="A98" s="12"/>
      <c r="B98" s="12"/>
    </row>
    <row r="99" customFormat="false" ht="15" hidden="false" customHeight="false" outlineLevel="0" collapsed="false">
      <c r="A99" s="12"/>
      <c r="B99" s="12"/>
    </row>
    <row r="100" customFormat="false" ht="15" hidden="false" customHeight="false" outlineLevel="0" collapsed="false">
      <c r="A100" s="12"/>
      <c r="B100" s="12"/>
    </row>
    <row r="101" customFormat="false" ht="15" hidden="false" customHeight="false" outlineLevel="0" collapsed="false">
      <c r="A101" s="12"/>
      <c r="B101" s="12"/>
    </row>
    <row r="102" customFormat="false" ht="15" hidden="false" customHeight="false" outlineLevel="0" collapsed="false">
      <c r="A102" s="12"/>
      <c r="B102" s="12"/>
    </row>
    <row r="103" customFormat="false" ht="15" hidden="false" customHeight="false" outlineLevel="0" collapsed="false">
      <c r="A103" s="12"/>
      <c r="B103" s="12"/>
    </row>
    <row r="104" customFormat="false" ht="15" hidden="false" customHeight="false" outlineLevel="0" collapsed="false">
      <c r="A104" s="12"/>
      <c r="B104" s="12"/>
    </row>
    <row r="105" customFormat="false" ht="15" hidden="false" customHeight="false" outlineLevel="0" collapsed="false">
      <c r="A105" s="12"/>
      <c r="B105" s="12"/>
    </row>
    <row r="106" customFormat="false" ht="15" hidden="false" customHeight="false" outlineLevel="0" collapsed="false">
      <c r="A106" s="12"/>
      <c r="B106" s="12"/>
    </row>
    <row r="107" customFormat="false" ht="15" hidden="false" customHeight="false" outlineLevel="0" collapsed="false">
      <c r="A107" s="12"/>
      <c r="B107" s="12"/>
    </row>
    <row r="108" customFormat="false" ht="15" hidden="false" customHeight="false" outlineLevel="0" collapsed="false">
      <c r="A108" s="12"/>
      <c r="B108" s="12"/>
    </row>
    <row r="109" customFormat="false" ht="15" hidden="false" customHeight="false" outlineLevel="0" collapsed="false">
      <c r="A109" s="12"/>
      <c r="B109" s="12"/>
    </row>
    <row r="110" customFormat="false" ht="15" hidden="false" customHeight="false" outlineLevel="0" collapsed="false">
      <c r="A110" s="12"/>
      <c r="B110" s="12"/>
    </row>
    <row r="111" customFormat="false" ht="15" hidden="false" customHeight="false" outlineLevel="0" collapsed="false">
      <c r="A111" s="12"/>
      <c r="B111" s="12"/>
    </row>
    <row r="112" customFormat="false" ht="15" hidden="false" customHeight="false" outlineLevel="0" collapsed="false">
      <c r="A112" s="12"/>
      <c r="B112" s="12"/>
    </row>
    <row r="113" customFormat="false" ht="15" hidden="false" customHeight="false" outlineLevel="0" collapsed="false">
      <c r="A113" s="12"/>
      <c r="B113" s="12"/>
    </row>
    <row r="114" customFormat="false" ht="15" hidden="false" customHeight="false" outlineLevel="0" collapsed="false">
      <c r="A114" s="12"/>
      <c r="B114" s="12"/>
    </row>
    <row r="115" customFormat="false" ht="15" hidden="false" customHeight="false" outlineLevel="0" collapsed="false">
      <c r="A115" s="12"/>
      <c r="B115" s="12"/>
    </row>
    <row r="116" customFormat="false" ht="15" hidden="false" customHeight="false" outlineLevel="0" collapsed="false">
      <c r="A116" s="12"/>
      <c r="B116" s="12"/>
    </row>
    <row r="117" customFormat="false" ht="15" hidden="false" customHeight="false" outlineLevel="0" collapsed="false">
      <c r="A117" s="12"/>
      <c r="B117" s="12"/>
    </row>
    <row r="118" customFormat="false" ht="15" hidden="false" customHeight="false" outlineLevel="0" collapsed="false">
      <c r="A118" s="12"/>
      <c r="B118" s="12"/>
    </row>
    <row r="119" customFormat="false" ht="15" hidden="false" customHeight="false" outlineLevel="0" collapsed="false">
      <c r="A119" s="12"/>
      <c r="B119" s="12"/>
    </row>
    <row r="120" customFormat="false" ht="15" hidden="false" customHeight="false" outlineLevel="0" collapsed="false">
      <c r="A120" s="12"/>
      <c r="B120" s="12"/>
    </row>
    <row r="121" customFormat="false" ht="15" hidden="false" customHeight="false" outlineLevel="0" collapsed="false">
      <c r="A121" s="12"/>
      <c r="B121" s="12"/>
    </row>
    <row r="122" customFormat="false" ht="15" hidden="false" customHeight="false" outlineLevel="0" collapsed="false">
      <c r="A122" s="12"/>
      <c r="B122" s="12"/>
    </row>
    <row r="123" customFormat="false" ht="15" hidden="false" customHeight="false" outlineLevel="0" collapsed="false">
      <c r="A123" s="12"/>
      <c r="B123" s="12"/>
    </row>
    <row r="124" customFormat="false" ht="15" hidden="false" customHeight="false" outlineLevel="0" collapsed="false">
      <c r="A124" s="12"/>
      <c r="B124" s="12"/>
    </row>
    <row r="125" customFormat="false" ht="15" hidden="false" customHeight="false" outlineLevel="0" collapsed="false">
      <c r="A125" s="12"/>
      <c r="B125" s="12"/>
    </row>
    <row r="126" customFormat="false" ht="15" hidden="false" customHeight="false" outlineLevel="0" collapsed="false">
      <c r="A126" s="12"/>
      <c r="B126" s="12"/>
    </row>
    <row r="127" customFormat="false" ht="15" hidden="false" customHeight="false" outlineLevel="0" collapsed="false">
      <c r="A127" s="12"/>
      <c r="B127" s="12"/>
    </row>
    <row r="128" customFormat="false" ht="15" hidden="false" customHeight="false" outlineLevel="0" collapsed="false">
      <c r="A128" s="12"/>
      <c r="B128" s="12"/>
    </row>
    <row r="129" customFormat="false" ht="15" hidden="false" customHeight="false" outlineLevel="0" collapsed="false">
      <c r="A129" s="12"/>
      <c r="B129" s="12"/>
    </row>
    <row r="130" customFormat="false" ht="15" hidden="false" customHeight="false" outlineLevel="0" collapsed="false">
      <c r="A130" s="12"/>
      <c r="B130" s="12"/>
    </row>
    <row r="131" customFormat="false" ht="15" hidden="false" customHeight="false" outlineLevel="0" collapsed="false">
      <c r="A131" s="12"/>
      <c r="B131" s="12"/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C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25</v>
      </c>
    </row>
    <row r="2" customFormat="false" ht="15" hidden="false" customHeight="false" outlineLevel="0" collapsed="false">
      <c r="B2" s="8" t="s">
        <v>26</v>
      </c>
    </row>
    <row r="4" customFormat="false" ht="15" hidden="false" customHeight="false" outlineLevel="0" collapsed="false">
      <c r="B4" s="9" t="s">
        <v>27</v>
      </c>
    </row>
    <row r="5" customFormat="false" ht="15" hidden="false" customHeight="false" outlineLevel="0" collapsed="false">
      <c r="B5" s="13" t="s">
        <v>28</v>
      </c>
      <c r="C5" s="14" t="n">
        <f aca="false">IFERROR(COUNTIF('Enter data'!$B$7:$B$66,"A")+COUNTIF('Enter data'!$B$7:$B$66,"B"),"")</f>
        <v>0</v>
      </c>
    </row>
    <row r="6" customFormat="false" ht="15" hidden="false" customHeight="false" outlineLevel="0" collapsed="false">
      <c r="B6" s="13" t="s">
        <v>29</v>
      </c>
      <c r="C6" s="14" t="n">
        <f aca="false">IFERROR(COUNTIF('Enter data'!$B$7:$B$66,"A"),"")</f>
        <v>0</v>
      </c>
    </row>
    <row r="7" customFormat="false" ht="15" hidden="false" customHeight="false" outlineLevel="0" collapsed="false">
      <c r="B7" s="13" t="s">
        <v>30</v>
      </c>
      <c r="C7" s="15" t="str">
        <f aca="false">IFERROR($C$6/$C$5,"")</f>
        <v/>
      </c>
    </row>
    <row r="8" customFormat="false" ht="15" hidden="false" customHeight="false" outlineLevel="0" collapsed="false">
      <c r="B8" s="13" t="s">
        <v>31</v>
      </c>
      <c r="C8" s="15" t="n">
        <f aca="false">IFERROR(IF($C$6=0,0,BETAINV(0.025,$C$6,$C$5-$C$6+1)),"")</f>
        <v>0</v>
      </c>
    </row>
    <row r="9" customFormat="false" ht="15" hidden="false" customHeight="false" outlineLevel="0" collapsed="false">
      <c r="B9" s="13" t="s">
        <v>32</v>
      </c>
      <c r="C9" s="15" t="n">
        <f aca="false">IFERROR(IF($C$6=$C$5,1,BETAINV(0.975,$C$6+1,$C$5-$C$6)),"")</f>
        <v>1</v>
      </c>
    </row>
    <row r="10" customFormat="false" ht="15" hidden="false" customHeight="false" outlineLevel="0" collapsed="false">
      <c r="B10" s="13" t="s">
        <v>33</v>
      </c>
      <c r="C10" s="16" t="str">
        <f aca="false">IFERROR(MIN(1,2*MIN(BINOMDIST($C$6,$C$5,0.5,TRUE()),1-BINOMDIST($C$6-1,$C$5,0.5,TRUE()))),"")</f>
        <v/>
      </c>
    </row>
    <row r="12" customFormat="false" ht="15" hidden="false" customHeight="false" outlineLevel="0" collapsed="false">
      <c r="B12" s="9" t="s">
        <v>34</v>
      </c>
    </row>
    <row r="13" customFormat="false" ht="15" hidden="false" customHeight="false" outlineLevel="0" collapsed="false">
      <c r="B13" s="13" t="s">
        <v>28</v>
      </c>
      <c r="C13" s="14" t="n">
        <f aca="false">IFERROR(COUNTIF('Enter data'!$B$72:$B$131,"A")+COUNTIF('Enter data'!$B$72:$B$131,"B"),"")</f>
        <v>0</v>
      </c>
    </row>
    <row r="14" customFormat="false" ht="15" hidden="false" customHeight="false" outlineLevel="0" collapsed="false">
      <c r="B14" s="13" t="s">
        <v>29</v>
      </c>
      <c r="C14" s="14" t="n">
        <f aca="false">IFERROR(COUNTIF('Enter data'!$B$72:$B$131,"A"),"")</f>
        <v>0</v>
      </c>
    </row>
    <row r="15" customFormat="false" ht="15" hidden="false" customHeight="false" outlineLevel="0" collapsed="false">
      <c r="B15" s="13" t="s">
        <v>30</v>
      </c>
      <c r="C15" s="15" t="str">
        <f aca="false">IFERROR($C$14/$C$13,"")</f>
        <v/>
      </c>
    </row>
    <row r="16" customFormat="false" ht="15" hidden="false" customHeight="false" outlineLevel="0" collapsed="false">
      <c r="B16" s="13" t="s">
        <v>31</v>
      </c>
      <c r="C16" s="15" t="n">
        <f aca="false">IFERROR(IF($C$14=0,0,BETAINV(0.025,$C$14,$C$13-$C$14+1)),"")</f>
        <v>0</v>
      </c>
    </row>
    <row r="17" customFormat="false" ht="15" hidden="false" customHeight="false" outlineLevel="0" collapsed="false">
      <c r="B17" s="13" t="s">
        <v>32</v>
      </c>
      <c r="C17" s="15" t="n">
        <f aca="false">IFERROR(IF($C$14=$C$13,1,BETAINV(0.975,$C$14+1,$C$13-$C$14)),"")</f>
        <v>1</v>
      </c>
    </row>
    <row r="18" customFormat="false" ht="15" hidden="false" customHeight="false" outlineLevel="0" collapsed="false">
      <c r="B18" s="13" t="s">
        <v>33</v>
      </c>
      <c r="C18" s="16" t="str">
        <f aca="false">IFERROR(MIN(1,2*MIN(BINOMDIST($C$14,$C$13,0.5,TRUE()),1-BINOMDIST($C$14-1,$C$13,0.5,TRUE()))),"")</f>
        <v/>
      </c>
    </row>
    <row r="20" customFormat="false" ht="15" hidden="false" customHeight="false" outlineLevel="0" collapsed="false">
      <c r="B20" s="9" t="s">
        <v>35</v>
      </c>
    </row>
    <row r="21" customFormat="false" ht="15" hidden="false" customHeight="false" outlineLevel="0" collapsed="false">
      <c r="B21" s="13" t="s">
        <v>36</v>
      </c>
      <c r="C21" s="15" t="str">
        <f aca="false">IFERROR((($C$5+$C$13)*($C$6*($C$13-$C$14)-$C$14*($C$5-$C$6))^2)/(($C$6+$C$14)*($C$5-$C$6+$C$13-$C$14)*$C$5*$C$13),"")</f>
        <v/>
      </c>
    </row>
    <row r="22" customFormat="false" ht="15" hidden="false" customHeight="false" outlineLevel="0" collapsed="false">
      <c r="B22" s="13" t="s">
        <v>37</v>
      </c>
      <c r="C22" s="16" t="str">
        <f aca="false">IFERROR(CHIDIST($C$21,1),"")</f>
        <v/>
      </c>
    </row>
    <row r="24" customFormat="false" ht="15" hidden="false" customHeight="false" outlineLevel="0" collapsed="false">
      <c r="B24" s="9" t="s">
        <v>38</v>
      </c>
    </row>
    <row r="25" customFormat="false" ht="30" hidden="false" customHeight="true" outlineLevel="0" collapsed="false">
      <c r="B25" s="10" t="s">
        <v>39</v>
      </c>
      <c r="C25" s="10" t="s">
        <v>40</v>
      </c>
    </row>
    <row r="26" customFormat="false" ht="15" hidden="false" customHeight="false" outlineLevel="0" collapsed="false">
      <c r="B26" s="17" t="n">
        <v>10</v>
      </c>
      <c r="C26" s="18" t="str">
        <f aca="false">IFERROR(1-BINOMDIST((SUMPRODUCT(--(BINOMDIST(ROW($1:$11)-1,10,0.5,FALSE())&gt;=0)*(1-BINOMDIST(ROW($1:$11)-2,10,0.5,TRUE())&gt;0.025))+0)-1,10,0.7,TRUE())+BINOMDIST(10-(SUMPRODUCT(--(BINOMDIST(ROW($1:$11)-1,10,0.5,FALSE())&gt;=0)*(1-BINOMDIST(ROW($1:$11)-2,10,0.5,TRUE())&gt;0.025))+0),10,0.7,TRUE()),"")</f>
        <v/>
      </c>
    </row>
    <row r="27" customFormat="false" ht="15" hidden="false" customHeight="false" outlineLevel="0" collapsed="false">
      <c r="B27" s="17" t="n">
        <v>20</v>
      </c>
      <c r="C27" s="18" t="str">
        <f aca="false">IFERROR(1-BINOMDIST((SUMPRODUCT(--(BINOMDIST(ROW($1:$21)-1,20,0.5,FALSE())&gt;=0)*(1-BINOMDIST(ROW($1:$21)-2,20,0.5,TRUE())&gt;0.025))+0)-1,20,0.7,TRUE())+BINOMDIST(20-(SUMPRODUCT(--(BINOMDIST(ROW($1:$21)-1,20,0.5,FALSE())&gt;=0)*(1-BINOMDIST(ROW($1:$21)-2,20,0.5,TRUE())&gt;0.025))+0),20,0.7,TRUE()),"")</f>
        <v/>
      </c>
    </row>
    <row r="28" customFormat="false" ht="15" hidden="false" customHeight="false" outlineLevel="0" collapsed="false">
      <c r="B28" s="17" t="n">
        <v>30</v>
      </c>
      <c r="C28" s="18" t="str">
        <f aca="false">IFERROR(1-BINOMDIST((SUMPRODUCT(--(BINOMDIST(ROW($1:$31)-1,30,0.5,FALSE())&gt;=0)*(1-BINOMDIST(ROW($1:$31)-2,30,0.5,TRUE())&gt;0.025))+0)-1,30,0.7,TRUE())+BINOMDIST(30-(SUMPRODUCT(--(BINOMDIST(ROW($1:$31)-1,30,0.5,FALSE())&gt;=0)*(1-BINOMDIST(ROW($1:$31)-2,30,0.5,TRUE())&gt;0.025))+0),30,0.7,TRUE()),"")</f>
        <v/>
      </c>
    </row>
    <row r="29" customFormat="false" ht="15" hidden="false" customHeight="false" outlineLevel="0" collapsed="false">
      <c r="B29" s="17" t="n">
        <v>50</v>
      </c>
      <c r="C29" s="18" t="str">
        <f aca="false">IFERROR(1-BINOMDIST((SUMPRODUCT(--(BINOMDIST(ROW($1:$51)-1,50,0.5,FALSE())&gt;=0)*(1-BINOMDIST(ROW($1:$51)-2,50,0.5,TRUE())&gt;0.025))+0)-1,50,0.7,TRUE())+BINOMDIST(50-(SUMPRODUCT(--(BINOMDIST(ROW($1:$51)-1,50,0.5,FALSE())&gt;=0)*(1-BINOMDIST(ROW($1:$51)-2,50,0.5,TRUE())&gt;0.025))+0),50,0.7,TRUE()),"")</f>
        <v/>
      </c>
    </row>
    <row r="30" customFormat="false" ht="15" hidden="false" customHeight="false" outlineLevel="0" collapsed="false">
      <c r="B30" s="17" t="n">
        <v>80</v>
      </c>
      <c r="C30" s="18" t="str">
        <f aca="false">IFERROR(1-BINOMDIST((SUMPRODUCT(--(BINOMDIST(ROW($1:$81)-1,80,0.5,FALSE())&gt;=0)*(1-BINOMDIST(ROW($1:$81)-2,80,0.5,TRUE())&gt;0.025))+0)-1,80,0.7,TRUE())+BINOMDIST(80-(SUMPRODUCT(--(BINOMDIST(ROW($1:$81)-1,80,0.5,FALSE())&gt;=0)*(1-BINOMDIST(ROW($1:$81)-2,80,0.5,TRUE())&gt;0.025))+0),80,0.7,TRUE()),"")</f>
        <v/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2026-10-01T00:29:22Z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2026-10-01T00:29:23Z</dcterms:modified>
  <cp:revision>0</cp:revision>
  <dc:subject/>
  <dc:title>ZOO-03 Two-choice behaviour experiment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