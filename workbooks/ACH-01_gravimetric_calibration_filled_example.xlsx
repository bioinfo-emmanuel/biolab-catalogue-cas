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<sst xmlns="http://schemas.openxmlformats.org/spreadsheetml/2006/main" count="57" uniqueCount="50">
  <si>
    <t xml:space="preserve">ACH-01  Gravimetric calibration of glassware</t>
  </si>
  <si>
    <t xml:space="preserve">Excel version of the card. It does the same calculations as the R script ach01_gravimetric_calibration.R.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</si>
  <si>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</si>
  <si>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</si>
  <si>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</si>
  <si>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</si>
  <si>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</si>
  <si>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</si>
  <si>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</si>
  <si>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</si>
  <si>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Water density: Tanaka M, Girard G, Davis R, Peuto A, Bignell N (2001) Metrologia 38:301-309 (0 to 40 C).</t>
  </si>
  <si>
    <t xml:space="preserve">Volume = mass / (water density - air density) x (1 - air density / density of the balance weights). The air density (0.0012 g/mL) and balance weight density (8.0 g/mL) are on the Results sheet.</t>
  </si>
  <si>
    <t xml:space="preserve">If your balance reads to 0.1 g, weigh several deliveries together and enter the total mass with the total nominal volume as the device's nominal volume.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</si>
  <si>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</si>
  <si>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</si>
  <si>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</si>
  <si>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</si>
  <si>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Devices</t>
  </si>
  <si>
    <t xml:space="preserve">Device name</t>
  </si>
  <si>
    <t xml:space="preserve">Nominal volume (mL)</t>
  </si>
  <si>
    <t xml:space="preserve">100 mL cylinder</t>
  </si>
  <si>
    <t xml:space="preserve">25 mL pipette</t>
  </si>
  <si>
    <t xml:space="preserve">10 mL syringe</t>
  </si>
  <si>
    <t xml:space="preserve">2. Deliveries for device 1 (one row per delivery)</t>
  </si>
  <si>
    <t xml:space="preserve">Mass of water (g)</t>
  </si>
  <si>
    <t xml:space="preserve">Water temperature (C)</t>
  </si>
  <si>
    <t xml:space="preserve">Delivered volume (mL)</t>
  </si>
  <si>
    <t xml:space="preserve">3. Deliveries for device 2 (one row per delivery)</t>
  </si>
  <si>
    <t xml:space="preserve">4. Deliveries for device 3 (one row per delivery)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</si>
  <si>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</si>
  <si>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</si>
  <si>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</si>
  <si>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Air density (g/mL)</t>
  </si>
  <si>
    <t xml:space="preserve">Density of balance weights (g/mL)</t>
  </si>
  <si>
    <t xml:space="preserve">Balance resolution (g)</t>
  </si>
  <si>
    <t xml:space="preserve">Readability of your balance.</t>
  </si>
  <si>
    <t xml:space="preserve">Results by device</t>
  </si>
  <si>
    <t xml:space="preserve">Device</t>
  </si>
  <si>
    <t xml:space="preserve">n</t>
  </si>
  <si>
    <t xml:space="preserve">Nominal (mL)</t>
  </si>
  <si>
    <t xml:space="preserve">Mean (mL)</t>
  </si>
  <si>
    <t xml:space="preserve">SD (mL)</t>
  </si>
  <si>
    <t xml:space="preserve">RSD (%)</t>
  </si>
  <si>
    <t xml:space="preserve">Bias (mL)</t>
  </si>
  <si>
    <t xml:space="preserve">Bias (%)</t>
  </si>
  <si>
    <t xml:space="preserve">p (bias = 0)</t>
  </si>
  <si>
    <t xml:space="preserve">Balance reading uncertainty (mL)</t>
  </si>
  <si>
    <t xml:space="preserve">Reference values</t>
  </si>
  <si>
    <t xml:space="preserve">Water density at 20 C (g/mL)</t>
  </si>
  <si>
    <t xml:space="preserve">Volume of 1 g of water in air at 20 C (mL)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</si>
</sst>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"/>
    <numFmt numFmtId="167" formatCode="0.0"/>
    <numFmt numFmtId="168" formatCode="0.00"/>
    <numFmt numFmtId="169" formatCode="0.0000"/>
    <numFmt numFmtId="170" formatCode="0.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</row>
    <row r="6" customFormat="false" ht="15" hidden="false" customHeight="false" outlineLevel="0" collapsed="false">
      <c r="A6" s="11" t="s">
        <v>20</v>
      </c>
      <c r="B6" s="11" t="n">
        <v>100</v>
      </c>
    </row>
    <row r="7" customFormat="false" ht="15" hidden="false" customHeight="false" outlineLevel="0" collapsed="false">
      <c r="A7" s="12" t="s">
        <v>20</v>
      </c>
      <c r="B7" s="12" t="n">
        <v>100</v>
      </c>
    </row>
    <row r="8" customFormat="false" ht="15" hidden="false" customHeight="false" outlineLevel="0" collapsed="false">
      <c r="A8" s="12" t="s">
        <v>21</v>
      </c>
      <c r="B8" s="12" t="n">
        <v>25</v>
      </c>
    </row>
    <row r="9" customFormat="false" ht="15" hidden="false" customHeight="false" outlineLevel="0" collapsed="false">
      <c r="A9" s="12" t="s">
        <v>22</v>
      </c>
      <c r="B9" s="12" t="n">
        <v>10</v>
      </c>
    </row>
    <row r="12" customFormat="false" ht="15" hidden="false" customHeight="false" outlineLevel="0" collapsed="false">
      <c r="A12" s="9" t="s">
        <v>23</v>
      </c>
    </row>
    <row r="13" customFormat="false" ht="31.5" hidden="false" customHeight="true" outlineLevel="0" collapsed="false">
      <c r="A13" s="10" t="s">
        <v>24</v>
      </c>
      <c r="B13" s="10" t="s">
        <v>25</v>
      </c>
      <c r="C13" s="10" t="s">
        <v>26</v>
      </c>
    </row>
    <row r="14" customFormat="false" ht="15" hidden="false" customHeight="false" outlineLevel="0" collapsed="false">
      <c r="A14" s="11" t="n">
        <v>99.1</v>
      </c>
      <c r="B14" s="11" t="n">
        <v>27.5</v>
      </c>
    </row>
    <row r="15" customFormat="false" ht="15" hidden="false" customHeight="false" outlineLevel="0" collapsed="false">
      <c r="A15" s="12" t="n">
        <v>98.46</v>
      </c>
      <c r="B15" s="12" t="n">
        <v>27.5</v>
      </c>
      <c r="C15" s="13" t="n">
        <f aca="false">IF(AND(ISNUMBER(A15),ISNUMBER(B15)),A15/(0.99997495*(1-((B15-3.983035)^2*(B15+301.797))/(522528.9*(B15+69.34881)))-Results!$C$5)*(1-Results!$C$5/Results!$C$6),"")</f>
        <v>98.9223990636554</v>
      </c>
    </row>
    <row r="16" customFormat="false" ht="15" hidden="false" customHeight="false" outlineLevel="0" collapsed="false">
      <c r="A16" s="12" t="n">
        <v>98.03</v>
      </c>
      <c r="B16" s="12" t="n">
        <v>27.5</v>
      </c>
      <c r="C16" s="13" t="n">
        <f aca="false">IF(AND(ISNUMBER(A16),ISNUMBER(B16)),A16/(0.99997495*(1-((B16-3.983035)^2*(B16+301.797))/(522528.9*(B16+69.34881)))-Results!$C$5)*(1-Results!$C$5/Results!$C$6),"")</f>
        <v>98.4903796486913</v>
      </c>
    </row>
    <row r="17" customFormat="false" ht="15" hidden="false" customHeight="false" outlineLevel="0" collapsed="false">
      <c r="A17" s="12" t="n">
        <v>98.95</v>
      </c>
      <c r="B17" s="12" t="n">
        <v>27.5</v>
      </c>
      <c r="C17" s="13" t="n">
        <f aca="false">IF(AND(ISNUMBER(A17),ISNUMBER(B17)),A17/(0.99997495*(1-((B17-3.983035)^2*(B17+301.797))/(522528.9*(B17+69.34881)))-Results!$C$5)*(1-Results!$C$5/Results!$C$6),"")</f>
        <v>99.4147002574518</v>
      </c>
    </row>
    <row r="18" customFormat="false" ht="15" hidden="false" customHeight="false" outlineLevel="0" collapsed="false">
      <c r="A18" s="12" t="n">
        <v>99</v>
      </c>
      <c r="B18" s="12" t="n">
        <v>27.5</v>
      </c>
      <c r="C18" s="13" t="n">
        <f aca="false">IF(AND(ISNUMBER(A18),ISNUMBER(B18)),A18/(0.99997495*(1-((B18-3.983035)^2*(B18+301.797))/(522528.9*(B18+69.34881)))-Results!$C$5)*(1-Results!$C$5/Results!$C$6),"")</f>
        <v>99.4649350731453</v>
      </c>
    </row>
    <row r="19" customFormat="false" ht="15" hidden="false" customHeight="false" outlineLevel="0" collapsed="false">
      <c r="A19" s="12" t="n">
        <v>98.63</v>
      </c>
      <c r="B19" s="12" t="n">
        <v>27.5</v>
      </c>
      <c r="C19" s="13" t="n">
        <f aca="false">IF(AND(ISNUMBER(A19),ISNUMBER(B19)),A19/(0.99997495*(1-((B19-3.983035)^2*(B19+301.797))/(522528.9*(B19+69.34881)))-Results!$C$5)*(1-Results!$C$5/Results!$C$6),"")</f>
        <v>99.0931974370133</v>
      </c>
    </row>
    <row r="20" customFormat="false" ht="15" hidden="false" customHeight="false" outlineLevel="0" collapsed="false">
      <c r="A20" s="12" t="n">
        <v>98.86</v>
      </c>
      <c r="B20" s="12" t="n">
        <v>27.5</v>
      </c>
      <c r="C20" s="13" t="n">
        <f aca="false">IF(AND(ISNUMBER(A20),ISNUMBER(B20)),A20/(0.99997495*(1-((B20-3.983035)^2*(B20+301.797))/(522528.9*(B20+69.34881)))-Results!$C$5)*(1-Results!$C$5/Results!$C$6),"")</f>
        <v>99.3242775892035</v>
      </c>
    </row>
    <row r="21" customFormat="false" ht="15" hidden="false" customHeight="false" outlineLevel="0" collapsed="false">
      <c r="A21" s="12" t="n">
        <v>99.33</v>
      </c>
      <c r="B21" s="12" t="n">
        <v>27.5</v>
      </c>
      <c r="C21" s="13" t="n">
        <f aca="false">IF(AND(ISNUMBER(A21),ISNUMBER(B21)),A21/(0.99997495*(1-((B21-3.983035)^2*(B21+301.797))/(522528.9*(B21+69.34881)))-Results!$C$5)*(1-Results!$C$5/Results!$C$6),"")</f>
        <v>99.7964848567224</v>
      </c>
    </row>
    <row r="22" customFormat="false" ht="15" hidden="false" customHeight="false" outlineLevel="0" collapsed="false">
      <c r="A22" s="12" t="n">
        <v>99.11</v>
      </c>
      <c r="B22" s="12" t="n">
        <v>27.5</v>
      </c>
      <c r="C22" s="13" t="n">
        <f aca="false">IF(AND(ISNUMBER(A22),ISNUMBER(B22)),A22/(0.99997495*(1-((B22-3.983035)^2*(B22+301.797))/(522528.9*(B22+69.34881)))-Results!$C$5)*(1-Results!$C$5/Results!$C$6),"")</f>
        <v>99.575451667671</v>
      </c>
    </row>
    <row r="23" customFormat="false" ht="15" hidden="false" customHeight="false" outlineLevel="0" collapsed="false">
      <c r="A23" s="12" t="n">
        <v>98.98</v>
      </c>
      <c r="B23" s="12" t="n">
        <v>27.5</v>
      </c>
      <c r="C23" s="13" t="n">
        <f aca="false">IF(AND(ISNUMBER(A23),ISNUMBER(B23)),A23/(0.99997495*(1-((B23-3.983035)^2*(B23+301.797))/(522528.9*(B23+69.34881)))-Results!$C$5)*(1-Results!$C$5/Results!$C$6),"")</f>
        <v>99.4448411468679</v>
      </c>
    </row>
    <row r="24" customFormat="false" ht="15" hidden="false" customHeight="false" outlineLevel="0" collapsed="false">
      <c r="A24" s="12" t="n">
        <v>98.98</v>
      </c>
      <c r="B24" s="12" t="n">
        <v>27.5</v>
      </c>
      <c r="C24" s="13" t="n">
        <f aca="false">IF(AND(ISNUMBER(A24),ISNUMBER(B24)),A24/(0.99997495*(1-((B24-3.983035)^2*(B24+301.797))/(522528.9*(B24+69.34881)))-Results!$C$5)*(1-Results!$C$5/Results!$C$6),"")</f>
        <v>99.4448411468679</v>
      </c>
    </row>
    <row r="25" customFormat="false" ht="15" hidden="false" customHeight="false" outlineLevel="0" collapsed="false">
      <c r="A25" s="12"/>
      <c r="B25" s="12"/>
      <c r="C25" s="13" t="str">
        <f aca="false">IF(AND(ISNUMBER(A25),ISNUMBER(B25)),A25/(0.99997495*(1-((B25-3.983035)^2*(B25+301.797))/(522528.9*(B25+69.34881)))-Results!$C$5)*(1-Results!$C$5/Results!$C$6),"")</f>
        <v/>
      </c>
    </row>
    <row r="26" customFormat="false" ht="15" hidden="false" customHeight="false" outlineLevel="0" collapsed="false">
      <c r="A26" s="12"/>
      <c r="B26" s="12"/>
      <c r="C26" s="13" t="str">
        <f aca="false">IF(AND(ISNUMBER(A26),ISNUMBER(B26)),A26/(0.99997495*(1-((B26-3.983035)^2*(B26+301.797))/(522528.9*(B26+69.34881)))-Results!$C$5)*(1-Results!$C$5/Results!$C$6),"")</f>
        <v/>
      </c>
    </row>
    <row r="29" customFormat="false" ht="15" hidden="false" customHeight="false" outlineLevel="0" collapsed="false">
      <c r="A29" s="9" t="s">
        <v>27</v>
      </c>
    </row>
    <row r="30" customFormat="false" ht="31.5" hidden="false" customHeight="true" outlineLevel="0" collapsed="false">
      <c r="A30" s="10" t="s">
        <v>24</v>
      </c>
      <c r="B30" s="10" t="s">
        <v>25</v>
      </c>
      <c r="C30" s="10" t="s">
        <v>26</v>
      </c>
    </row>
    <row r="31" customFormat="false" ht="15" hidden="false" customHeight="false" outlineLevel="0" collapsed="false">
      <c r="A31" s="11" t="n">
        <v>99.1</v>
      </c>
      <c r="B31" s="11" t="n">
        <v>27.5</v>
      </c>
    </row>
    <row r="32" customFormat="false" ht="15" hidden="false" customHeight="false" outlineLevel="0" collapsed="false">
      <c r="A32" s="12" t="n">
        <v>24.88</v>
      </c>
      <c r="B32" s="12" t="n">
        <v>27.5</v>
      </c>
      <c r="C32" s="13" t="n">
        <f aca="false">IF(AND(ISNUMBER(A32),ISNUMBER(B32)),A32/(0.99997495*(1-((B32-3.983035)^2*(B32+301.797))/(522528.9*(B32+69.34881)))-Results!$C$5)*(1-Results!$C$5/Results!$C$6),"")</f>
        <v>24.9968442890894</v>
      </c>
    </row>
    <row r="33" customFormat="false" ht="15" hidden="false" customHeight="false" outlineLevel="0" collapsed="false">
      <c r="A33" s="12" t="n">
        <v>24.93</v>
      </c>
      <c r="B33" s="12" t="n">
        <v>27.5</v>
      </c>
      <c r="C33" s="13" t="n">
        <f aca="false">IF(AND(ISNUMBER(A33),ISNUMBER(B33)),A33/(0.99997495*(1-((B33-3.983035)^2*(B33+301.797))/(522528.9*(B33+69.34881)))-Results!$C$5)*(1-Results!$C$5/Results!$C$6),"")</f>
        <v>25.047079104783</v>
      </c>
    </row>
    <row r="34" customFormat="false" ht="15" hidden="false" customHeight="false" outlineLevel="0" collapsed="false">
      <c r="A34" s="12" t="n">
        <v>24.85</v>
      </c>
      <c r="B34" s="12" t="n">
        <v>27.5</v>
      </c>
      <c r="C34" s="13" t="n">
        <f aca="false">IF(AND(ISNUMBER(A34),ISNUMBER(B34)),A34/(0.99997495*(1-((B34-3.983035)^2*(B34+301.797))/(522528.9*(B34+69.34881)))-Results!$C$5)*(1-Results!$C$5/Results!$C$6),"")</f>
        <v>24.9667033996733</v>
      </c>
    </row>
    <row r="35" customFormat="false" ht="15" hidden="false" customHeight="false" outlineLevel="0" collapsed="false">
      <c r="A35" s="12" t="n">
        <v>24.89</v>
      </c>
      <c r="B35" s="12" t="n">
        <v>27.5</v>
      </c>
      <c r="C35" s="13" t="n">
        <f aca="false">IF(AND(ISNUMBER(A35),ISNUMBER(B35)),A35/(0.99997495*(1-((B35-3.983035)^2*(B35+301.797))/(522528.9*(B35+69.34881)))-Results!$C$5)*(1-Results!$C$5/Results!$C$6),"")</f>
        <v>25.0068912522281</v>
      </c>
    </row>
    <row r="36" customFormat="false" ht="15" hidden="false" customHeight="false" outlineLevel="0" collapsed="false">
      <c r="A36" s="12" t="n">
        <v>24.89</v>
      </c>
      <c r="B36" s="12" t="n">
        <v>27.5</v>
      </c>
      <c r="C36" s="13" t="n">
        <f aca="false">IF(AND(ISNUMBER(A36),ISNUMBER(B36)),A36/(0.99997495*(1-((B36-3.983035)^2*(B36+301.797))/(522528.9*(B36+69.34881)))-Results!$C$5)*(1-Results!$C$5/Results!$C$6),"")</f>
        <v>25.0068912522281</v>
      </c>
    </row>
    <row r="37" customFormat="false" ht="15" hidden="false" customHeight="false" outlineLevel="0" collapsed="false">
      <c r="A37" s="12" t="n">
        <v>24.85</v>
      </c>
      <c r="B37" s="12" t="n">
        <v>27.5</v>
      </c>
      <c r="C37" s="13" t="n">
        <f aca="false">IF(AND(ISNUMBER(A37),ISNUMBER(B37)),A37/(0.99997495*(1-((B37-3.983035)^2*(B37+301.797))/(522528.9*(B37+69.34881)))-Results!$C$5)*(1-Results!$C$5/Results!$C$6),"")</f>
        <v>24.9667033996733</v>
      </c>
    </row>
    <row r="38" customFormat="false" ht="15" hidden="false" customHeight="false" outlineLevel="0" collapsed="false">
      <c r="A38" s="12" t="n">
        <v>24.9</v>
      </c>
      <c r="B38" s="12" t="n">
        <v>27.5</v>
      </c>
      <c r="C38" s="13" t="n">
        <f aca="false">IF(AND(ISNUMBER(A38),ISNUMBER(B38)),A38/(0.99997495*(1-((B38-3.983035)^2*(B38+301.797))/(522528.9*(B38+69.34881)))-Results!$C$5)*(1-Results!$C$5/Results!$C$6),"")</f>
        <v>25.0169382153668</v>
      </c>
    </row>
    <row r="39" customFormat="false" ht="15" hidden="false" customHeight="false" outlineLevel="0" collapsed="false">
      <c r="A39" s="12" t="n">
        <v>24.95</v>
      </c>
      <c r="B39" s="12" t="n">
        <v>27.5</v>
      </c>
      <c r="C39" s="13" t="n">
        <f aca="false">IF(AND(ISNUMBER(A39),ISNUMBER(B39)),A39/(0.99997495*(1-((B39-3.983035)^2*(B39+301.797))/(522528.9*(B39+69.34881)))-Results!$C$5)*(1-Results!$C$5/Results!$C$6),"")</f>
        <v>25.0671730310604</v>
      </c>
    </row>
    <row r="40" customFormat="false" ht="15" hidden="false" customHeight="false" outlineLevel="0" collapsed="false">
      <c r="A40" s="12" t="n">
        <v>24.89</v>
      </c>
      <c r="B40" s="12" t="n">
        <v>27.5</v>
      </c>
      <c r="C40" s="13" t="n">
        <f aca="false">IF(AND(ISNUMBER(A40),ISNUMBER(B40)),A40/(0.99997495*(1-((B40-3.983035)^2*(B40+301.797))/(522528.9*(B40+69.34881)))-Results!$C$5)*(1-Results!$C$5/Results!$C$6),"")</f>
        <v>25.0068912522281</v>
      </c>
    </row>
    <row r="41" customFormat="false" ht="15" hidden="false" customHeight="false" outlineLevel="0" collapsed="false">
      <c r="A41" s="12" t="n">
        <v>24.87</v>
      </c>
      <c r="B41" s="12" t="n">
        <v>27.5</v>
      </c>
      <c r="C41" s="13" t="n">
        <f aca="false">IF(AND(ISNUMBER(A41),ISNUMBER(B41)),A41/(0.99997495*(1-((B41-3.983035)^2*(B41+301.797))/(522528.9*(B41+69.34881)))-Results!$C$5)*(1-Results!$C$5/Results!$C$6),"")</f>
        <v>24.9867973259507</v>
      </c>
    </row>
    <row r="42" customFormat="false" ht="15" hidden="false" customHeight="false" outlineLevel="0" collapsed="false">
      <c r="A42" s="12"/>
      <c r="B42" s="12"/>
      <c r="C42" s="13" t="str">
        <f aca="false">IF(AND(ISNUMBER(A42),ISNUMBER(B42)),A42/(0.99997495*(1-((B42-3.983035)^2*(B42+301.797))/(522528.9*(B42+69.34881)))-Results!$C$5)*(1-Results!$C$5/Results!$C$6),"")</f>
        <v/>
      </c>
    </row>
    <row r="43" customFormat="false" ht="15" hidden="false" customHeight="false" outlineLevel="0" collapsed="false">
      <c r="A43" s="12"/>
      <c r="B43" s="12"/>
      <c r="C43" s="13" t="str">
        <f aca="false">IF(AND(ISNUMBER(A43),ISNUMBER(B43)),A43/(0.99997495*(1-((B43-3.983035)^2*(B43+301.797))/(522528.9*(B43+69.34881)))-Results!$C$5)*(1-Results!$C$5/Results!$C$6),"")</f>
        <v/>
      </c>
    </row>
    <row r="46" customFormat="false" ht="15" hidden="false" customHeight="false" outlineLevel="0" collapsed="false">
      <c r="A46" s="9" t="s">
        <v>28</v>
      </c>
    </row>
    <row r="47" customFormat="false" ht="31.5" hidden="false" customHeight="true" outlineLevel="0" collapsed="false">
      <c r="A47" s="10" t="s">
        <v>24</v>
      </c>
      <c r="B47" s="10" t="s">
        <v>25</v>
      </c>
      <c r="C47" s="10" t="s">
        <v>26</v>
      </c>
    </row>
    <row r="48" customFormat="false" ht="15" hidden="false" customHeight="false" outlineLevel="0" collapsed="false">
      <c r="A48" s="11" t="n">
        <v>99.1</v>
      </c>
      <c r="B48" s="11" t="n">
        <v>27.5</v>
      </c>
    </row>
    <row r="49" customFormat="false" ht="15" hidden="false" customHeight="false" outlineLevel="0" collapsed="false">
      <c r="A49" s="12" t="n">
        <v>10.19</v>
      </c>
      <c r="B49" s="12" t="n">
        <v>27.5</v>
      </c>
      <c r="C49" s="13" t="n">
        <f aca="false">IF(AND(ISNUMBER(A49),ISNUMBER(B49)),A49/(0.99997495*(1-((B49-3.983035)^2*(B49+301.797))/(522528.9*(B49+69.34881)))-Results!$C$5)*(1-Results!$C$5/Results!$C$6),"")</f>
        <v>10.2378554383369</v>
      </c>
    </row>
    <row r="50" customFormat="false" ht="15" hidden="false" customHeight="false" outlineLevel="0" collapsed="false">
      <c r="A50" s="12" t="n">
        <v>10.3</v>
      </c>
      <c r="B50" s="12" t="n">
        <v>27.5</v>
      </c>
      <c r="C50" s="13" t="n">
        <f aca="false">IF(AND(ISNUMBER(A50),ISNUMBER(B50)),A50/(0.99997495*(1-((B50-3.983035)^2*(B50+301.797))/(522528.9*(B50+69.34881)))-Results!$C$5)*(1-Results!$C$5/Results!$C$6),"")</f>
        <v>10.3483720328626</v>
      </c>
    </row>
    <row r="51" customFormat="false" ht="15" hidden="false" customHeight="false" outlineLevel="0" collapsed="false">
      <c r="A51" s="12" t="n">
        <v>10.23</v>
      </c>
      <c r="B51" s="12" t="n">
        <v>27.5</v>
      </c>
      <c r="C51" s="13" t="n">
        <f aca="false">IF(AND(ISNUMBER(A51),ISNUMBER(B51)),A51/(0.99997495*(1-((B51-3.983035)^2*(B51+301.797))/(522528.9*(B51+69.34881)))-Results!$C$5)*(1-Results!$C$5/Results!$C$6),"")</f>
        <v>10.2780432908917</v>
      </c>
    </row>
    <row r="52" customFormat="false" ht="15" hidden="false" customHeight="false" outlineLevel="0" collapsed="false">
      <c r="A52" s="12" t="n">
        <v>10.2</v>
      </c>
      <c r="B52" s="12" t="n">
        <v>27.5</v>
      </c>
      <c r="C52" s="13" t="n">
        <f aca="false">IF(AND(ISNUMBER(A52),ISNUMBER(B52)),A52/(0.99997495*(1-((B52-3.983035)^2*(B52+301.797))/(522528.9*(B52+69.34881)))-Results!$C$5)*(1-Results!$C$5/Results!$C$6),"")</f>
        <v>10.2479024014756</v>
      </c>
    </row>
    <row r="53" customFormat="false" ht="15" hidden="false" customHeight="false" outlineLevel="0" collapsed="false">
      <c r="A53" s="12" t="n">
        <v>10.03</v>
      </c>
      <c r="B53" s="12" t="n">
        <v>27.5</v>
      </c>
      <c r="C53" s="13" t="n">
        <f aca="false">IF(AND(ISNUMBER(A53),ISNUMBER(B53)),A53/(0.99997495*(1-((B53-3.983035)^2*(B53+301.797))/(522528.9*(B53+69.34881)))-Results!$C$5)*(1-Results!$C$5/Results!$C$6),"")</f>
        <v>10.0771040281177</v>
      </c>
    </row>
    <row r="54" customFormat="false" ht="15" hidden="false" customHeight="false" outlineLevel="0" collapsed="false">
      <c r="A54" s="12" t="n">
        <v>10.26</v>
      </c>
      <c r="B54" s="12" t="n">
        <v>27.5</v>
      </c>
      <c r="C54" s="13" t="n">
        <f aca="false">IF(AND(ISNUMBER(A54),ISNUMBER(B54)),A54/(0.99997495*(1-((B54-3.983035)^2*(B54+301.797))/(522528.9*(B54+69.34881)))-Results!$C$5)*(1-Results!$C$5/Results!$C$6),"")</f>
        <v>10.3081841803078</v>
      </c>
    </row>
    <row r="55" customFormat="false" ht="15" hidden="false" customHeight="false" outlineLevel="0" collapsed="false">
      <c r="A55" s="12" t="n">
        <v>10.26</v>
      </c>
      <c r="B55" s="12" t="n">
        <v>27.5</v>
      </c>
      <c r="C55" s="13" t="n">
        <f aca="false">IF(AND(ISNUMBER(A55),ISNUMBER(B55)),A55/(0.99997495*(1-((B55-3.983035)^2*(B55+301.797))/(522528.9*(B55+69.34881)))-Results!$C$5)*(1-Results!$C$5/Results!$C$6),"")</f>
        <v>10.3081841803078</v>
      </c>
    </row>
    <row r="56" customFormat="false" ht="15" hidden="false" customHeight="false" outlineLevel="0" collapsed="false">
      <c r="A56" s="12" t="n">
        <v>10.36</v>
      </c>
      <c r="B56" s="12" t="n">
        <v>27.5</v>
      </c>
      <c r="C56" s="13" t="n">
        <f aca="false">IF(AND(ISNUMBER(A56),ISNUMBER(B56)),A56/(0.99997495*(1-((B56-3.983035)^2*(B56+301.797))/(522528.9*(B56+69.34881)))-Results!$C$5)*(1-Results!$C$5/Results!$C$6),"")</f>
        <v>10.4086538116948</v>
      </c>
    </row>
    <row r="57" customFormat="false" ht="15" hidden="false" customHeight="false" outlineLevel="0" collapsed="false">
      <c r="A57" s="12" t="n">
        <v>10.38</v>
      </c>
      <c r="B57" s="12" t="n">
        <v>27.5</v>
      </c>
      <c r="C57" s="13" t="n">
        <f aca="false">IF(AND(ISNUMBER(A57),ISNUMBER(B57)),A57/(0.99997495*(1-((B57-3.983035)^2*(B57+301.797))/(522528.9*(B57+69.34881)))-Results!$C$5)*(1-Results!$C$5/Results!$C$6),"")</f>
        <v>10.4287477379722</v>
      </c>
    </row>
    <row r="58" customFormat="false" ht="15" hidden="false" customHeight="false" outlineLevel="0" collapsed="false">
      <c r="A58" s="12" t="n">
        <v>10.28</v>
      </c>
      <c r="B58" s="12" t="n">
        <v>27.5</v>
      </c>
      <c r="C58" s="13" t="n">
        <f aca="false">IF(AND(ISNUMBER(A58),ISNUMBER(B58)),A58/(0.99997495*(1-((B58-3.983035)^2*(B58+301.797))/(522528.9*(B58+69.34881)))-Results!$C$5)*(1-Results!$C$5/Results!$C$6),"")</f>
        <v>10.3282781065852</v>
      </c>
    </row>
    <row r="59" customFormat="false" ht="15" hidden="false" customHeight="false" outlineLevel="0" collapsed="false">
      <c r="A59" s="12"/>
      <c r="B59" s="12"/>
      <c r="C59" s="13" t="str">
        <f aca="false">IF(AND(ISNUMBER(A59),ISNUMBER(B59)),A59/(0.99997495*(1-((B59-3.983035)^2*(B59+301.797))/(522528.9*(B59+69.34881)))-Results!$C$5)*(1-Results!$C$5/Results!$C$6),"")</f>
        <v/>
      </c>
    </row>
    <row r="60" customFormat="false" ht="15" hidden="false" customHeight="false" outlineLevel="0" collapsed="false">
      <c r="A60" s="12"/>
      <c r="B60" s="12"/>
      <c r="C60" s="13" t="str">
        <f aca="false">IF(AND(ISNUMBER(A60),ISNUMBER(B60)),A60/(0.99997495*(1-((B60-3.983035)^2*(B60+301.797))/(522528.9*(B60+69.34881)))-Results!$C$5)*(1-Results!$C$5/Results!$C$6),"")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B9 A15:B26 A32:B43 A49:B60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29</v>
      </c>
    </row>
    <row r="2" customFormat="false" ht="15" hidden="false" customHeight="false" outlineLevel="0" collapsed="false">
      <c r="B2" s="8" t="s">
        <v>30</v>
      </c>
    </row>
    <row r="4" customFormat="false" ht="15" hidden="false" customHeight="false" outlineLevel="0" collapsed="false">
      <c r="B4" s="9" t="s">
        <v>31</v>
      </c>
    </row>
    <row r="5" customFormat="false" ht="15" hidden="false" customHeight="false" outlineLevel="0" collapsed="false">
      <c r="B5" s="14" t="s">
        <v>32</v>
      </c>
      <c r="C5" s="12" t="n">
        <v>0.0012</v>
      </c>
      <c r="D5" s="8"/>
    </row>
    <row r="6" customFormat="false" ht="15" hidden="false" customHeight="false" outlineLevel="0" collapsed="false">
      <c r="B6" s="14" t="s">
        <v>33</v>
      </c>
      <c r="C6" s="12" t="n">
        <v>8</v>
      </c>
      <c r="D6" s="8"/>
    </row>
    <row r="7" customFormat="false" ht="15" hidden="false" customHeight="false" outlineLevel="0" collapsed="false">
      <c r="B7" s="14" t="s">
        <v>34</v>
      </c>
      <c r="C7" s="12" t="n">
        <v>0.01</v>
      </c>
      <c r="D7" s="8" t="s">
        <v>35</v>
      </c>
    </row>
    <row r="9" customFormat="false" ht="15" hidden="false" customHeight="false" outlineLevel="0" collapsed="false">
      <c r="B9" s="9" t="s">
        <v>36</v>
      </c>
    </row>
    <row r="10" customFormat="false" ht="30" hidden="false" customHeight="true" outlineLevel="0" collapsed="false">
      <c r="B10" s="10" t="s">
        <v>37</v>
      </c>
      <c r="C10" s="10" t="s">
        <v>38</v>
      </c>
      <c r="D10" s="10" t="s">
        <v>39</v>
      </c>
      <c r="E10" s="10" t="s">
        <v>40</v>
      </c>
      <c r="F10" s="10" t="s">
        <v>41</v>
      </c>
      <c r="G10" s="10" t="s">
        <v>42</v>
      </c>
      <c r="H10" s="10" t="s">
        <v>43</v>
      </c>
      <c r="I10" s="10" t="s">
        <v>44</v>
      </c>
      <c r="J10" s="10" t="s">
        <v>45</v>
      </c>
      <c r="K10" s="10" t="s">
        <v>46</v>
      </c>
    </row>
    <row r="11" customFormat="false" ht="15" hidden="false" customHeight="false" outlineLevel="0" collapsed="false">
      <c r="B11" s="15" t="str">
        <f aca="false">IFERROR(IF('Enter data'!$A$7="","",'Enter data'!$A$7),"")</f>
        <v>100 mL cylinder</v>
      </c>
      <c r="C11" s="16" t="n">
        <f aca="false">IFERROR(COUNT('Enter data'!$C$15:$C$26),"")</f>
        <v>10</v>
      </c>
      <c r="D11" s="17" t="n">
        <f aca="false">IFERROR('Enter data'!$B$7,"")</f>
        <v>100</v>
      </c>
      <c r="E11" s="18" t="n">
        <f aca="false">IFERROR(AVERAGE('Enter data'!$C$15:$C$26),"")</f>
        <v>99.297150788729</v>
      </c>
      <c r="F11" s="18" t="n">
        <f aca="false">IFERROR(STDEV('Enter data'!$C$15:$C$26),"")</f>
        <v>0.372085948698649</v>
      </c>
      <c r="G11" s="19" t="n">
        <f aca="false">IFERROR(100*F11/E11,"")</f>
        <v>0.374719662893775</v>
      </c>
      <c r="H11" s="18" t="n">
        <f aca="false">IFERROR(E11-D11,"")</f>
        <v>-0.702849211271015</v>
      </c>
      <c r="I11" s="19" t="n">
        <f aca="false">IFERROR(100*(E11-D11)/D11,"")</f>
        <v>-0.702849211271015</v>
      </c>
      <c r="J11" s="20" t="n">
        <f aca="false">IFERROR(TDIST(ABS((E11-D11)/(F11/SQRT(C11))),C11-1,2),"")</f>
        <v>0.000209233453185834</v>
      </c>
      <c r="K11" s="20" t="n">
        <f aca="false">IFERROR(SQRT(2)*Results!$C$7/SQRT(12)/(0.99997495*(1-((AVERAGE('Enter data'!$B$15:$B$26)-3.983035)^2*(AVERAGE('Enter data'!$B$15:$B$26)+301.797))/(522528.9*(AVERAGE('Enter data'!$B$15:$B$26)+69.34881)))-Results!$C$5),"")</f>
        <v>0.00410227086635831</v>
      </c>
    </row>
    <row r="12" customFormat="false" ht="15" hidden="false" customHeight="false" outlineLevel="0" collapsed="false">
      <c r="B12" s="15" t="str">
        <f aca="false">IFERROR(IF('Enter data'!$A$8="","",'Enter data'!$A$8),"")</f>
        <v>25 mL pipette</v>
      </c>
      <c r="C12" s="16" t="n">
        <f aca="false">IFERROR(COUNT('Enter data'!$C$32:$C$43),"")</f>
        <v>10</v>
      </c>
      <c r="D12" s="17" t="n">
        <f aca="false">IFERROR('Enter data'!$B$8,"")</f>
        <v>25</v>
      </c>
      <c r="E12" s="18" t="n">
        <f aca="false">IFERROR(AVERAGE('Enter data'!$C$32:$C$43),"")</f>
        <v>25.0068912522281</v>
      </c>
      <c r="F12" s="18" t="n">
        <f aca="false">IFERROR(STDEV('Enter data'!$C$32:$C$43),"")</f>
        <v>0.0317712870860503</v>
      </c>
      <c r="G12" s="19" t="n">
        <f aca="false">IFERROR(100*F12/E12,"")</f>
        <v>0.12705012696538</v>
      </c>
      <c r="H12" s="18" t="n">
        <f aca="false">IFERROR(E12-D12,"")</f>
        <v>0.00689125222814724</v>
      </c>
      <c r="I12" s="19" t="n">
        <f aca="false">IFERROR(100*(E12-D12)/D12,"")</f>
        <v>0.027565008912589</v>
      </c>
      <c r="J12" s="20" t="n">
        <f aca="false">IFERROR(TDIST(ABS((E12-D12)/(F12/SQRT(C12))),C12-1,2),"")</f>
        <v>0.510054798693307</v>
      </c>
      <c r="K12" s="20" t="n">
        <f aca="false">IFERROR(SQRT(2)*Results!$C$7/SQRT(12)/(0.99997495*(1-((AVERAGE('Enter data'!$B$32:$B$43)-3.983035)^2*(AVERAGE('Enter data'!$B$32:$B$43)+301.797))/(522528.9*(AVERAGE('Enter data'!$B$32:$B$43)+69.34881)))-Results!$C$5),"")</f>
        <v>0.00410227086635831</v>
      </c>
    </row>
    <row r="13" customFormat="false" ht="15" hidden="false" customHeight="false" outlineLevel="0" collapsed="false">
      <c r="B13" s="15" t="str">
        <f aca="false">IFERROR(IF('Enter data'!$A$9="","",'Enter data'!$A$9),"")</f>
        <v>10 mL syringe</v>
      </c>
      <c r="C13" s="16" t="n">
        <f aca="false">IFERROR(COUNT('Enter data'!$C$49:$C$60),"")</f>
        <v>10</v>
      </c>
      <c r="D13" s="17" t="n">
        <f aca="false">IFERROR('Enter data'!$B$9,"")</f>
        <v>10</v>
      </c>
      <c r="E13" s="18" t="n">
        <f aca="false">IFERROR(AVERAGE('Enter data'!$C$49:$C$60),"")</f>
        <v>10.2971325208552</v>
      </c>
      <c r="F13" s="18" t="n">
        <f aca="false">IFERROR(STDEV('Enter data'!$C$49:$C$60),"")</f>
        <v>0.0990587315265225</v>
      </c>
      <c r="G13" s="19" t="n">
        <f aca="false">IFERROR(100*F13/E13,"")</f>
        <v>0.962003075379429</v>
      </c>
      <c r="H13" s="18" t="n">
        <f aca="false">IFERROR(E13-D13,"")</f>
        <v>0.297132520855214</v>
      </c>
      <c r="I13" s="19" t="n">
        <f aca="false">IFERROR(100*(E13-D13)/D13,"")</f>
        <v>2.97132520855214</v>
      </c>
      <c r="J13" s="20" t="n">
        <f aca="false">IFERROR(TDIST(ABS((E13-D13)/(F13/SQRT(C13))),C13-1,2),"")</f>
        <v>5.54445066616615E-006</v>
      </c>
      <c r="K13" s="20" t="n">
        <f aca="false">IFERROR(SQRT(2)*Results!$C$7/SQRT(12)/(0.99997495*(1-((AVERAGE('Enter data'!$B$49:$B$60)-3.983035)^2*(AVERAGE('Enter data'!$B$49:$B$60)+301.797))/(522528.9*(AVERAGE('Enter data'!$B$49:$B$60)+69.34881)))-Results!$C$5),"")</f>
        <v>0.00410227086635831</v>
      </c>
    </row>
    <row r="16" customFormat="false" ht="15" hidden="false" customHeight="false" outlineLevel="0" collapsed="false">
      <c r="B16" s="9" t="s">
        <v>47</v>
      </c>
    </row>
    <row r="17" customFormat="false" ht="15" hidden="false" customHeight="false" outlineLevel="0" collapsed="false">
      <c r="B17" s="14" t="s">
        <v>48</v>
      </c>
      <c r="C17" s="21" t="n">
        <f aca="false">IFERROR(0.99997495*(1-((20-3.983035)^2*(20+301.797))/(522528.9*(20+69.34881))),"")</f>
        <v>0.998206745559617</v>
      </c>
    </row>
    <row r="18" customFormat="false" ht="15" hidden="false" customHeight="false" outlineLevel="0" collapsed="false">
      <c r="B18" s="14" t="s">
        <v>49</v>
      </c>
      <c r="C18" s="22" t="n">
        <f aca="false">IFERROR(1/(0.99997495*(1-((20-3.983035)^2*(20+301.797))/(522528.9*(20+69.34881)))-Results!$C$5)*(1-Results!$C$5/Results!$C$6),"")</f>
        <v>1.00285179057519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ACH-01 Gravimetric calibration of glassware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