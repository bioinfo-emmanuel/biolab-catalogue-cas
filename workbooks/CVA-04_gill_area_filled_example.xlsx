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<sst xmlns="http://schemas.openxmlformats.org/spreadsheetml/2006/main" count="68" uniqueCount="67">
  <si>
    <t xml:space="preserve">CVA-04  Gill respiratory surface area and body size in fish</t>
  </si>
  <si>
    <t xml:space="preserve">Excel version of the card. It does the same calculations as the R script cva04_gill_area.R.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</si>
  <si>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</si>
  <si>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</si>
  <si>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</si>
  <si>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</si>
  <si>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</si>
  <si>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</si>
  <si>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</si>
  <si>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</si>
  <si>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Hughes (1984), J Mar Biol Assoc UK 64:637-655: total lamellae = 2 x L x n; gill area = total lamellae x bilateral area of an average lamella. L = total length of all filaments on all gill arches (both sides); n = lamellae per mm on one side of a filament.</t>
  </si>
  <si>
    <t xml:space="preserve">Bilateral lamellar area = 2 x shape factor x lamella length x height. The shape factor 0.5 treats the lamella as a triangle-like plate; adjust if you trace real outlines.</t>
  </si>
  <si>
    <t xml:space="preserve">The formula reproduces Hughes (1972), J Exp Biol 56(2):481, Table 1 for the icefish Chaenocephalus aceratus (see the check on the Results sheet).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</si>
  <si>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</si>
  <si>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</si>
  <si>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</si>
  <si>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</si>
  <si>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Fish (one row per fish)</t>
  </si>
  <si>
    <t xml:space="preserve">Fish</t>
  </si>
  <si>
    <t xml:space="preserve">Body mass (g)</t>
  </si>
  <si>
    <t xml:space="preserve">Total filament length L (mm)</t>
  </si>
  <si>
    <t xml:space="preserve">Lamellae per mm (one side)</t>
  </si>
  <si>
    <t xml:space="preserve">Lamella length (mm)</t>
  </si>
  <si>
    <t xml:space="preserve">Lamella height (mm)</t>
  </si>
  <si>
    <t xml:space="preserve">Bilateral area of a lamella (mm2)</t>
  </si>
  <si>
    <t xml:space="preserve">Total lamellae</t>
  </si>
  <si>
    <t xml:space="preserve">Gill area (mm2)</t>
  </si>
  <si>
    <t xml:space="preserve">Area per gram (mm2/g)</t>
  </si>
  <si>
    <t xml:space="preserve">log10 mass</t>
  </si>
  <si>
    <t xml:space="preserve">log10 area</t>
  </si>
  <si>
    <t xml:space="preserve">log10 L</t>
  </si>
  <si>
    <t xml:space="preserve">log10 lamellae per mm</t>
  </si>
  <si>
    <t xml:space="preserve">log10 bilateral area</t>
  </si>
  <si>
    <t xml:space="preserve">fish 1</t>
  </si>
  <si>
    <t xml:space="preserve">fish 2</t>
  </si>
  <si>
    <t xml:space="preserve">fish 3</t>
  </si>
  <si>
    <t xml:space="preserve">fish 4</t>
  </si>
  <si>
    <t xml:space="preserve">fish 5</t>
  </si>
  <si>
    <t xml:space="preserve">fish 6</t>
  </si>
  <si>
    <t xml:space="preserve">fish 7</t>
  </si>
  <si>
    <t xml:space="preserve">fish 8</t>
  </si>
  <si>
    <t xml:space="preserve">fish 9</t>
  </si>
  <si>
    <t xml:space="preserve">fish 10</t>
  </si>
  <si>
    <t xml:space="preserve">fish 11</t>
  </si>
  <si>
    <t xml:space="preserve">fish 12</t>
  </si>
  <si>
    <t xml:space="preserve">Results</t>
  </si>
  <si>
    <t xml:space="preserve">Everything on this sheet is calculated. Change only the yellow settings.</t>
  </si>
  <si>
    <t xml:space="preserve">Settings</t>
  </si>
  <si>
    <t xml:space="preserve">Shape factor for the lamella outline</t>
  </si>
  <si>
    <t xml:space="preserve">Scaling of gill area with body mass (log10 area on log10 mass)</t>
  </si>
  <si>
    <t xml:space="preserve">Points used</t>
  </si>
  <si>
    <t xml:space="preserve">Slope (1 = gill area grows in proportion to mass)</t>
  </si>
  <si>
    <t xml:space="preserve">Intercept (1 = gill area grows in proportion to mass)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</si>
  <si>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</si>
  <si>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</si>
  <si>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</si>
  <si>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</si>
  <si>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</si>
  <si>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Slopes of the components against log10 mass</t>
  </si>
  <si>
    <t xml:space="preserve">Total filament length</t>
  </si>
  <si>
    <t xml:space="preserve">Lamellae per mm</t>
  </si>
  <si>
    <t xml:space="preserve">Bilateral lamellar area</t>
  </si>
  <si>
    <t xml:space="preserve">Mean area per gram</t>
  </si>
  <si>
    <t xml:space="preserve">Mean gill area per gram (mm2/g)</t>
  </si>
  <si>
    <t xml:space="preserve">Check of the formula against Hughes (1972), Table 1, Chaenocephalus aceratus</t>
  </si>
  <si>
    <t xml:space="preserve">Total lamellae = 2 x 15,904 x 9.7 (published 308,537)</t>
  </si>
  <si>
    <t xml:space="preserve">Gill area = total lamellae x 0.300 (published 92,561 mm2)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</si>
</sst>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#,##0"/>
    <numFmt numFmtId="167" formatCode="0.0"/>
    <numFmt numFmtId="168" formatCode="0.000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log10 gill area against log10 body mass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data'!$K$7:$K$26</c:f>
              <c:numCache>
                <c:formatCode>0.000</c:formatCode>
                <c:ptCount val="20"/>
                <c:pt idx="0">
                  <c:v>2.08278537031645</c:v>
                </c:pt>
                <c:pt idx="1">
                  <c:v>2.00860017176192</c:v>
                </c:pt>
                <c:pt idx="2">
                  <c:v>2.22271647114758</c:v>
                </c:pt>
                <c:pt idx="3">
                  <c:v>2.1430148002541</c:v>
                </c:pt>
                <c:pt idx="4">
                  <c:v>2.1846914308176</c:v>
                </c:pt>
                <c:pt idx="5">
                  <c:v>2.63548374681491</c:v>
                </c:pt>
                <c:pt idx="6">
                  <c:v>2.33445375115093</c:v>
                </c:pt>
                <c:pt idx="7">
                  <c:v>2.30319605742049</c:v>
                </c:pt>
                <c:pt idx="8">
                  <c:v>2.02938377768521</c:v>
                </c:pt>
                <c:pt idx="9">
                  <c:v>2.43136376415899</c:v>
                </c:pt>
                <c:pt idx="10">
                  <c:v>2.29003461136252</c:v>
                </c:pt>
                <c:pt idx="11">
                  <c:v>2.31597034545692</c:v>
                </c:pt>
              </c:numCache>
            </c:numRef>
          </c:xVal>
          <c:yVal>
            <c:numRef>
              <c:f>'Enter data'!$L$7:$L$26</c:f>
              <c:numCache>
                <c:formatCode>0.000</c:formatCode>
                <c:ptCount val="20"/>
                <c:pt idx="0">
                  <c:v>3.38816779776201</c:v>
                </c:pt>
                <c:pt idx="1">
                  <c:v>3.37065102826256</c:v>
                </c:pt>
                <c:pt idx="2">
                  <c:v>3.5579682277593</c:v>
                </c:pt>
                <c:pt idx="3">
                  <c:v>3.51455427388164</c:v>
                </c:pt>
                <c:pt idx="4">
                  <c:v>3.52121378645927</c:v>
                </c:pt>
                <c:pt idx="5">
                  <c:v>3.86898693215518</c:v>
                </c:pt>
                <c:pt idx="6">
                  <c:v>3.65230038747464</c:v>
                </c:pt>
                <c:pt idx="7">
                  <c:v>3.62672598859703</c:v>
                </c:pt>
                <c:pt idx="8">
                  <c:v>3.39541152210297</c:v>
                </c:pt>
                <c:pt idx="9">
                  <c:v>3.69495329345008</c:v>
                </c:pt>
                <c:pt idx="10">
                  <c:v>3.64725471669514</c:v>
                </c:pt>
                <c:pt idx="11">
                  <c:v>3.62406165515269</c:v>
                </c:pt>
              </c:numCache>
            </c:numRef>
          </c:yVal>
          <c:smooth val="1"/>
        </c:ser>
        <c:axId val="43561446"/>
        <c:axId val="61213168"/>
      </c:scatterChart>
      <c:valAx>
        <c:axId val="435614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log10 mass (g)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13168"/>
        <c:crosses val="autoZero"/>
        <c:crossBetween val="midCat"/>
      </c:valAx>
      <c:valAx>
        <c:axId val="61213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log10 area (mm2)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6144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160920</xdr:rowOff>
    </xdr:from>
    <xdr:to>
      <xdr:col>3</xdr:col>
      <xdr:colOff>536040</xdr:colOff>
      <xdr:row>43</xdr:row>
      <xdr:rowOff>172440</xdr:rowOff>
    </xdr:to>
    <xdr:graphicFrame>
      <xdr:nvGraphicFramePr>
        <xdr:cNvPr id="0" name="Chart 1"/>
        <xdr:cNvGraphicFramePr/>
      </xdr:nvGraphicFramePr>
      <xdr:xfrm>
        <a:off x="211320" y="5334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10" t="s">
        <v>24</v>
      </c>
      <c r="H5" s="10" t="s">
        <v>25</v>
      </c>
      <c r="I5" s="10" t="s">
        <v>26</v>
      </c>
      <c r="J5" s="10" t="s">
        <v>27</v>
      </c>
      <c r="K5" s="10" t="s">
        <v>28</v>
      </c>
      <c r="L5" s="10" t="s">
        <v>29</v>
      </c>
      <c r="M5" s="10" t="s">
        <v>30</v>
      </c>
      <c r="N5" s="10" t="s">
        <v>31</v>
      </c>
      <c r="O5" s="10" t="s">
        <v>32</v>
      </c>
    </row>
    <row r="6" customFormat="false" ht="15" hidden="false" customHeight="false" outlineLevel="0" collapsed="false">
      <c r="A6" s="11" t="s">
        <v>33</v>
      </c>
      <c r="B6" s="11" t="n">
        <v>300</v>
      </c>
      <c r="C6" s="11" t="n">
        <v>5000</v>
      </c>
      <c r="D6" s="11" t="n">
        <v>20</v>
      </c>
      <c r="E6" s="11" t="n">
        <v>0.28</v>
      </c>
      <c r="F6" s="11" t="n">
        <v>0.1</v>
      </c>
    </row>
    <row r="7" customFormat="false" ht="15" hidden="false" customHeight="false" outlineLevel="0" collapsed="false">
      <c r="A7" s="12" t="s">
        <v>33</v>
      </c>
      <c r="B7" s="12" t="n">
        <v>121</v>
      </c>
      <c r="C7" s="12" t="n">
        <v>3129</v>
      </c>
      <c r="D7" s="12" t="n">
        <v>20</v>
      </c>
      <c r="E7" s="12" t="n">
        <v>0.217</v>
      </c>
      <c r="F7" s="12" t="n">
        <v>0.09</v>
      </c>
      <c r="G7" s="13" t="n">
        <f aca="false">IF(AND(ISNUMBER(E7),ISNUMBER(F7)),2*Results!$C$5*E7*F7,"")</f>
        <v>0.01953</v>
      </c>
      <c r="H7" s="14" t="n">
        <f aca="false">IF(AND(ISNUMBER(C7),ISNUMBER(D7)),2*C7*D7,"")</f>
        <v>125160</v>
      </c>
      <c r="I7" s="14" t="n">
        <f aca="false">IF(AND(ISNUMBER(G7),ISNUMBER(H7)),G7*H7,"")</f>
        <v>2444.3748</v>
      </c>
      <c r="J7" s="15" t="n">
        <f aca="false">IF(ISNUMBER(I7),I7/B7,"")</f>
        <v>20.2014446280992</v>
      </c>
      <c r="K7" s="16" t="n">
        <f aca="false">IF(ISNUMBER(I7),LOG10(B7),"")</f>
        <v>2.08278537031645</v>
      </c>
      <c r="L7" s="16" t="n">
        <f aca="false">IF(ISNUMBER(I7),LOG10(I7),"")</f>
        <v>3.38816779776201</v>
      </c>
      <c r="M7" s="16" t="n">
        <f aca="false">IF(ISNUMBER(I7),LOG10(C7),"")</f>
        <v>3.49540556314619</v>
      </c>
      <c r="N7" s="16" t="n">
        <f aca="false">IF(ISNUMBER(I7),LOG10(D7),"")</f>
        <v>1.30102999566398</v>
      </c>
      <c r="O7" s="16" t="n">
        <f aca="false">IF(ISNUMBER(I7),LOG10(G7),"")</f>
        <v>-1.70929775671215</v>
      </c>
    </row>
    <row r="8" customFormat="false" ht="15" hidden="false" customHeight="false" outlineLevel="0" collapsed="false">
      <c r="A8" s="12" t="s">
        <v>34</v>
      </c>
      <c r="B8" s="12" t="n">
        <v>102</v>
      </c>
      <c r="C8" s="12" t="n">
        <v>3067</v>
      </c>
      <c r="D8" s="12" t="n">
        <v>20.7</v>
      </c>
      <c r="E8" s="12" t="n">
        <v>0.215</v>
      </c>
      <c r="F8" s="12" t="n">
        <v>0.086</v>
      </c>
      <c r="G8" s="13" t="n">
        <f aca="false">IF(AND(ISNUMBER(E8),ISNUMBER(F8)),2*Results!$C$5*E8*F8,"")</f>
        <v>0.01849</v>
      </c>
      <c r="H8" s="14" t="n">
        <f aca="false">IF(AND(ISNUMBER(C8),ISNUMBER(D8)),2*C8*D8,"")</f>
        <v>126973.8</v>
      </c>
      <c r="I8" s="14" t="n">
        <f aca="false">IF(AND(ISNUMBER(G8),ISNUMBER(H8)),G8*H8,"")</f>
        <v>2347.745562</v>
      </c>
      <c r="J8" s="15" t="n">
        <f aca="false">IF(ISNUMBER(I8),I8/B8,"")</f>
        <v>23.0171133529412</v>
      </c>
      <c r="K8" s="16" t="n">
        <f aca="false">IF(ISNUMBER(I8),LOG10(B8),"")</f>
        <v>2.00860017176192</v>
      </c>
      <c r="L8" s="16" t="n">
        <f aca="false">IF(ISNUMBER(I8),LOG10(I8),"")</f>
        <v>3.37065102826256</v>
      </c>
      <c r="M8" s="16" t="n">
        <f aca="false">IF(ISNUMBER(I8),LOG10(C8),"")</f>
        <v>3.48671377598249</v>
      </c>
      <c r="N8" s="16" t="n">
        <f aca="false">IF(ISNUMBER(I8),LOG10(D8),"")</f>
        <v>1.31597034545692</v>
      </c>
      <c r="O8" s="16" t="n">
        <f aca="false">IF(ISNUMBER(I8),LOG10(G8),"")</f>
        <v>-1.73306308884083</v>
      </c>
    </row>
    <row r="9" customFormat="false" ht="15" hidden="false" customHeight="false" outlineLevel="0" collapsed="false">
      <c r="A9" s="12" t="s">
        <v>35</v>
      </c>
      <c r="B9" s="12" t="n">
        <v>167</v>
      </c>
      <c r="C9" s="12" t="n">
        <v>3657</v>
      </c>
      <c r="D9" s="12" t="n">
        <v>20.1</v>
      </c>
      <c r="E9" s="12" t="n">
        <v>0.241</v>
      </c>
      <c r="F9" s="12" t="n">
        <v>0.102</v>
      </c>
      <c r="G9" s="13" t="n">
        <f aca="false">IF(AND(ISNUMBER(E9),ISNUMBER(F9)),2*Results!$C$5*E9*F9,"")</f>
        <v>0.024582</v>
      </c>
      <c r="H9" s="14" t="n">
        <f aca="false">IF(AND(ISNUMBER(C9),ISNUMBER(D9)),2*C9*D9,"")</f>
        <v>147011.4</v>
      </c>
      <c r="I9" s="14" t="n">
        <f aca="false">IF(AND(ISNUMBER(G9),ISNUMBER(H9)),G9*H9,"")</f>
        <v>3613.8342348</v>
      </c>
      <c r="J9" s="15" t="n">
        <f aca="false">IF(ISNUMBER(I9),I9/B9,"")</f>
        <v>21.6397259568862</v>
      </c>
      <c r="K9" s="16" t="n">
        <f aca="false">IF(ISNUMBER(I9),LOG10(B9),"")</f>
        <v>2.22271647114758</v>
      </c>
      <c r="L9" s="16" t="n">
        <f aca="false">IF(ISNUMBER(I9),LOG10(I9),"")</f>
        <v>3.5579682277593</v>
      </c>
      <c r="M9" s="16" t="n">
        <f aca="false">IF(ISNUMBER(I9),LOG10(C9),"")</f>
        <v>3.56312496033804</v>
      </c>
      <c r="N9" s="16" t="n">
        <f aca="false">IF(ISNUMBER(I9),LOG10(D9),"")</f>
        <v>1.30319605742049</v>
      </c>
      <c r="O9" s="16" t="n">
        <f aca="false">IF(ISNUMBER(I9),LOG10(G9),"")</f>
        <v>-1.60938278566321</v>
      </c>
    </row>
    <row r="10" customFormat="false" ht="15" hidden="false" customHeight="false" outlineLevel="0" collapsed="false">
      <c r="A10" s="12" t="s">
        <v>36</v>
      </c>
      <c r="B10" s="12" t="n">
        <v>139</v>
      </c>
      <c r="C10" s="12" t="n">
        <v>3566</v>
      </c>
      <c r="D10" s="12" t="n">
        <v>21.3</v>
      </c>
      <c r="E10" s="12" t="n">
        <v>0.229</v>
      </c>
      <c r="F10" s="12" t="n">
        <v>0.094</v>
      </c>
      <c r="G10" s="13" t="n">
        <f aca="false">IF(AND(ISNUMBER(E10),ISNUMBER(F10)),2*Results!$C$5*E10*F10,"")</f>
        <v>0.021526</v>
      </c>
      <c r="H10" s="14" t="n">
        <f aca="false">IF(AND(ISNUMBER(C10),ISNUMBER(D10)),2*C10*D10,"")</f>
        <v>151911.6</v>
      </c>
      <c r="I10" s="14" t="n">
        <f aca="false">IF(AND(ISNUMBER(G10),ISNUMBER(H10)),G10*H10,"")</f>
        <v>3270.0491016</v>
      </c>
      <c r="J10" s="15" t="n">
        <f aca="false">IF(ISNUMBER(I10),I10/B10,"")</f>
        <v>23.525533105036</v>
      </c>
      <c r="K10" s="16" t="n">
        <f aca="false">IF(ISNUMBER(I10),LOG10(B10),"")</f>
        <v>2.1430148002541</v>
      </c>
      <c r="L10" s="16" t="n">
        <f aca="false">IF(ISNUMBER(I10),LOG10(I10),"")</f>
        <v>3.51455427388164</v>
      </c>
      <c r="M10" s="16" t="n">
        <f aca="false">IF(ISNUMBER(I10),LOG10(C10),"")</f>
        <v>3.55218133883934</v>
      </c>
      <c r="N10" s="16" t="n">
        <f aca="false">IF(ISNUMBER(I10),LOG10(D10),"")</f>
        <v>1.32837960343874</v>
      </c>
      <c r="O10" s="16" t="n">
        <f aca="false">IF(ISNUMBER(I10),LOG10(G10),"")</f>
        <v>-1.66703666406041</v>
      </c>
    </row>
    <row r="11" customFormat="false" ht="15" hidden="false" customHeight="false" outlineLevel="0" collapsed="false">
      <c r="A11" s="12" t="s">
        <v>37</v>
      </c>
      <c r="B11" s="12" t="n">
        <v>153</v>
      </c>
      <c r="C11" s="12" t="n">
        <v>3639</v>
      </c>
      <c r="D11" s="12" t="n">
        <v>20.6</v>
      </c>
      <c r="E11" s="12" t="n">
        <v>0.226</v>
      </c>
      <c r="F11" s="12" t="n">
        <v>0.098</v>
      </c>
      <c r="G11" s="13" t="n">
        <f aca="false">IF(AND(ISNUMBER(E11),ISNUMBER(F11)),2*Results!$C$5*E11*F11,"")</f>
        <v>0.022148</v>
      </c>
      <c r="H11" s="14" t="n">
        <f aca="false">IF(AND(ISNUMBER(C11),ISNUMBER(D11)),2*C11*D11,"")</f>
        <v>149926.8</v>
      </c>
      <c r="I11" s="14" t="n">
        <f aca="false">IF(AND(ISNUMBER(G11),ISNUMBER(H11)),G11*H11,"")</f>
        <v>3320.5787664</v>
      </c>
      <c r="J11" s="15" t="n">
        <f aca="false">IF(ISNUMBER(I11),I11/B11,"")</f>
        <v>21.7031291921569</v>
      </c>
      <c r="K11" s="16" t="n">
        <f aca="false">IF(ISNUMBER(I11),LOG10(B11),"")</f>
        <v>2.1846914308176</v>
      </c>
      <c r="L11" s="16" t="n">
        <f aca="false">IF(ISNUMBER(I11),LOG10(I11),"")</f>
        <v>3.52121378645927</v>
      </c>
      <c r="M11" s="16" t="n">
        <f aca="false">IF(ISNUMBER(I11),LOG10(C11),"")</f>
        <v>3.56098205558624</v>
      </c>
      <c r="N11" s="16" t="n">
        <f aca="false">IF(ISNUMBER(I11),LOG10(D11),"")</f>
        <v>1.31386722036915</v>
      </c>
      <c r="O11" s="16" t="n">
        <f aca="false">IF(ISNUMBER(I11),LOG10(G11),"")</f>
        <v>-1.6546654851601</v>
      </c>
    </row>
    <row r="12" customFormat="false" ht="15" hidden="false" customHeight="false" outlineLevel="0" collapsed="false">
      <c r="A12" s="12" t="s">
        <v>38</v>
      </c>
      <c r="B12" s="12" t="n">
        <v>432</v>
      </c>
      <c r="C12" s="12" t="n">
        <v>6330</v>
      </c>
      <c r="D12" s="12" t="n">
        <v>18.6</v>
      </c>
      <c r="E12" s="12" t="n">
        <v>0.302</v>
      </c>
      <c r="F12" s="12" t="n">
        <v>0.104</v>
      </c>
      <c r="G12" s="13" t="n">
        <f aca="false">IF(AND(ISNUMBER(E12),ISNUMBER(F12)),2*Results!$C$5*E12*F12,"")</f>
        <v>0.031408</v>
      </c>
      <c r="H12" s="14" t="n">
        <f aca="false">IF(AND(ISNUMBER(C12),ISNUMBER(D12)),2*C12*D12,"")</f>
        <v>235476</v>
      </c>
      <c r="I12" s="14" t="n">
        <f aca="false">IF(AND(ISNUMBER(G12),ISNUMBER(H12)),G12*H12,"")</f>
        <v>7395.830208</v>
      </c>
      <c r="J12" s="15" t="n">
        <f aca="false">IF(ISNUMBER(I12),I12/B12,"")</f>
        <v>17.1199773333333</v>
      </c>
      <c r="K12" s="16" t="n">
        <f aca="false">IF(ISNUMBER(I12),LOG10(B12),"")</f>
        <v>2.63548374681491</v>
      </c>
      <c r="L12" s="16" t="n">
        <f aca="false">IF(ISNUMBER(I12),LOG10(I12),"")</f>
        <v>3.86898693215518</v>
      </c>
      <c r="M12" s="16" t="n">
        <f aca="false">IF(ISNUMBER(I12),LOG10(C12),"")</f>
        <v>3.80140371001736</v>
      </c>
      <c r="N12" s="16" t="n">
        <f aca="false">IF(ISNUMBER(I12),LOG10(D12),"")</f>
        <v>1.26951294421792</v>
      </c>
      <c r="O12" s="16" t="n">
        <f aca="false">IF(ISNUMBER(I12),LOG10(G12),"")</f>
        <v>-1.50295971774407</v>
      </c>
    </row>
    <row r="13" customFormat="false" ht="15" hidden="false" customHeight="false" outlineLevel="0" collapsed="false">
      <c r="A13" s="12" t="s">
        <v>39</v>
      </c>
      <c r="B13" s="12" t="n">
        <v>216</v>
      </c>
      <c r="C13" s="12" t="n">
        <v>4228</v>
      </c>
      <c r="D13" s="12" t="n">
        <v>21.5</v>
      </c>
      <c r="E13" s="12" t="n">
        <v>0.247</v>
      </c>
      <c r="F13" s="12" t="n">
        <v>0.1</v>
      </c>
      <c r="G13" s="13" t="n">
        <f aca="false">IF(AND(ISNUMBER(E13),ISNUMBER(F13)),2*Results!$C$5*E13*F13,"")</f>
        <v>0.0247</v>
      </c>
      <c r="H13" s="14" t="n">
        <f aca="false">IF(AND(ISNUMBER(C13),ISNUMBER(D13)),2*C13*D13,"")</f>
        <v>181804</v>
      </c>
      <c r="I13" s="14" t="n">
        <f aca="false">IF(AND(ISNUMBER(G13),ISNUMBER(H13)),G13*H13,"")</f>
        <v>4490.5588</v>
      </c>
      <c r="J13" s="15" t="n">
        <f aca="false">IF(ISNUMBER(I13),I13/B13,"")</f>
        <v>20.7896240740741</v>
      </c>
      <c r="K13" s="16" t="n">
        <f aca="false">IF(ISNUMBER(I13),LOG10(B13),"")</f>
        <v>2.33445375115093</v>
      </c>
      <c r="L13" s="16" t="n">
        <f aca="false">IF(ISNUMBER(I13),LOG10(I13),"")</f>
        <v>3.65230038747464</v>
      </c>
      <c r="M13" s="16" t="n">
        <f aca="false">IF(ISNUMBER(I13),LOG10(C13),"")</f>
        <v>3.62613497863539</v>
      </c>
      <c r="N13" s="16" t="n">
        <f aca="false">IF(ISNUMBER(I13),LOG10(D13),"")</f>
        <v>1.33243845991561</v>
      </c>
      <c r="O13" s="16" t="n">
        <f aca="false">IF(ISNUMBER(I13),LOG10(G13),"")</f>
        <v>-1.60730304674033</v>
      </c>
    </row>
    <row r="14" customFormat="false" ht="15" hidden="false" customHeight="false" outlineLevel="0" collapsed="false">
      <c r="A14" s="12" t="s">
        <v>40</v>
      </c>
      <c r="B14" s="12" t="n">
        <v>201</v>
      </c>
      <c r="C14" s="12" t="n">
        <v>4204</v>
      </c>
      <c r="D14" s="12" t="n">
        <v>21.6</v>
      </c>
      <c r="E14" s="12" t="n">
        <v>0.248</v>
      </c>
      <c r="F14" s="12" t="n">
        <v>0.094</v>
      </c>
      <c r="G14" s="13" t="n">
        <f aca="false">IF(AND(ISNUMBER(E14),ISNUMBER(F14)),2*Results!$C$5*E14*F14,"")</f>
        <v>0.023312</v>
      </c>
      <c r="H14" s="14" t="n">
        <f aca="false">IF(AND(ISNUMBER(C14),ISNUMBER(D14)),2*C14*D14,"")</f>
        <v>181612.8</v>
      </c>
      <c r="I14" s="14" t="n">
        <f aca="false">IF(AND(ISNUMBER(G14),ISNUMBER(H14)),G14*H14,"")</f>
        <v>4233.7575936</v>
      </c>
      <c r="J14" s="15" t="n">
        <f aca="false">IF(ISNUMBER(I14),I14/B14,"")</f>
        <v>21.0634706149254</v>
      </c>
      <c r="K14" s="16" t="n">
        <f aca="false">IF(ISNUMBER(I14),LOG10(B14),"")</f>
        <v>2.30319605742049</v>
      </c>
      <c r="L14" s="16" t="n">
        <f aca="false">IF(ISNUMBER(I14),LOG10(I14),"")</f>
        <v>3.62672598859703</v>
      </c>
      <c r="M14" s="16" t="n">
        <f aca="false">IF(ISNUMBER(I14),LOG10(C14),"")</f>
        <v>3.6236627073562</v>
      </c>
      <c r="N14" s="16" t="n">
        <f aca="false">IF(ISNUMBER(I14),LOG10(D14),"")</f>
        <v>1.33445375115093</v>
      </c>
      <c r="O14" s="16" t="n">
        <f aca="false">IF(ISNUMBER(I14),LOG10(G14),"")</f>
        <v>-1.63242046557409</v>
      </c>
    </row>
    <row r="15" customFormat="false" ht="15" hidden="false" customHeight="false" outlineLevel="0" collapsed="false">
      <c r="A15" s="12" t="s">
        <v>41</v>
      </c>
      <c r="B15" s="12" t="n">
        <v>107</v>
      </c>
      <c r="C15" s="12" t="n">
        <v>3041</v>
      </c>
      <c r="D15" s="12" t="n">
        <v>20.6</v>
      </c>
      <c r="E15" s="12" t="n">
        <v>0.218</v>
      </c>
      <c r="F15" s="12" t="n">
        <v>0.091</v>
      </c>
      <c r="G15" s="13" t="n">
        <f aca="false">IF(AND(ISNUMBER(E15),ISNUMBER(F15)),2*Results!$C$5*E15*F15,"")</f>
        <v>0.019838</v>
      </c>
      <c r="H15" s="14" t="n">
        <f aca="false">IF(AND(ISNUMBER(C15),ISNUMBER(D15)),2*C15*D15,"")</f>
        <v>125289.2</v>
      </c>
      <c r="I15" s="14" t="n">
        <f aca="false">IF(AND(ISNUMBER(G15),ISNUMBER(H15)),G15*H15,"")</f>
        <v>2485.4871496</v>
      </c>
      <c r="J15" s="15" t="n">
        <f aca="false">IF(ISNUMBER(I15),I15/B15,"")</f>
        <v>23.2288518654206</v>
      </c>
      <c r="K15" s="16" t="n">
        <f aca="false">IF(ISNUMBER(I15),LOG10(B15),"")</f>
        <v>2.02938377768521</v>
      </c>
      <c r="L15" s="16" t="n">
        <f aca="false">IF(ISNUMBER(I15),LOG10(I15),"")</f>
        <v>3.39541152210297</v>
      </c>
      <c r="M15" s="16" t="n">
        <f aca="false">IF(ISNUMBER(I15),LOG10(C15),"")</f>
        <v>3.48301642014413</v>
      </c>
      <c r="N15" s="16" t="n">
        <f aca="false">IF(ISNUMBER(I15),LOG10(D15),"")</f>
        <v>1.31386722036915</v>
      </c>
      <c r="O15" s="16" t="n">
        <f aca="false">IF(ISNUMBER(I15),LOG10(G15),"")</f>
        <v>-1.7025021140743</v>
      </c>
    </row>
    <row r="16" customFormat="false" ht="15" hidden="false" customHeight="false" outlineLevel="0" collapsed="false">
      <c r="A16" s="12" t="s">
        <v>42</v>
      </c>
      <c r="B16" s="12" t="n">
        <v>270</v>
      </c>
      <c r="C16" s="12" t="n">
        <v>4854</v>
      </c>
      <c r="D16" s="12" t="n">
        <v>19.4</v>
      </c>
      <c r="E16" s="12" t="n">
        <v>0.274</v>
      </c>
      <c r="F16" s="12" t="n">
        <v>0.096</v>
      </c>
      <c r="G16" s="13" t="n">
        <f aca="false">IF(AND(ISNUMBER(E16),ISNUMBER(F16)),2*Results!$C$5*E16*F16,"")</f>
        <v>0.026304</v>
      </c>
      <c r="H16" s="14" t="n">
        <f aca="false">IF(AND(ISNUMBER(C16),ISNUMBER(D16)),2*C16*D16,"")</f>
        <v>188335.2</v>
      </c>
      <c r="I16" s="14" t="n">
        <f aca="false">IF(AND(ISNUMBER(G16),ISNUMBER(H16)),G16*H16,"")</f>
        <v>4953.9691008</v>
      </c>
      <c r="J16" s="15" t="n">
        <f aca="false">IF(ISNUMBER(I16),I16/B16,"")</f>
        <v>18.3480337066667</v>
      </c>
      <c r="K16" s="16" t="n">
        <f aca="false">IF(ISNUMBER(I16),LOG10(B16),"")</f>
        <v>2.43136376415899</v>
      </c>
      <c r="L16" s="16" t="n">
        <f aca="false">IF(ISNUMBER(I16),LOG10(I16),"")</f>
        <v>3.69495329345008</v>
      </c>
      <c r="M16" s="16" t="n">
        <f aca="false">IF(ISNUMBER(I16),LOG10(C16),"")</f>
        <v>3.68609977199592</v>
      </c>
      <c r="N16" s="16" t="n">
        <f aca="false">IF(ISNUMBER(I16),LOG10(D16),"")</f>
        <v>1.28780172993023</v>
      </c>
      <c r="O16" s="16" t="n">
        <f aca="false">IF(ISNUMBER(I16),LOG10(G16),"")</f>
        <v>-1.57997820414004</v>
      </c>
    </row>
    <row r="17" customFormat="false" ht="15" hidden="false" customHeight="false" outlineLevel="0" collapsed="false">
      <c r="A17" s="12" t="s">
        <v>43</v>
      </c>
      <c r="B17" s="12" t="n">
        <v>195</v>
      </c>
      <c r="C17" s="12" t="n">
        <v>4449</v>
      </c>
      <c r="D17" s="12" t="n">
        <v>20.9</v>
      </c>
      <c r="E17" s="12" t="n">
        <v>0.234</v>
      </c>
      <c r="F17" s="12" t="n">
        <v>0.102</v>
      </c>
      <c r="G17" s="13" t="n">
        <f aca="false">IF(AND(ISNUMBER(E17),ISNUMBER(F17)),2*Results!$C$5*E17*F17,"")</f>
        <v>0.023868</v>
      </c>
      <c r="H17" s="14" t="n">
        <f aca="false">IF(AND(ISNUMBER(C17),ISNUMBER(D17)),2*C17*D17,"")</f>
        <v>185968.2</v>
      </c>
      <c r="I17" s="14" t="n">
        <f aca="false">IF(AND(ISNUMBER(G17),ISNUMBER(H17)),G17*H17,"")</f>
        <v>4438.6889976</v>
      </c>
      <c r="J17" s="15" t="n">
        <f aca="false">IF(ISNUMBER(I17),I17/B17,"")</f>
        <v>22.76250768</v>
      </c>
      <c r="K17" s="16" t="n">
        <f aca="false">IF(ISNUMBER(I17),LOG10(B17),"")</f>
        <v>2.29003461136252</v>
      </c>
      <c r="L17" s="16" t="n">
        <f aca="false">IF(ISNUMBER(I17),LOG10(I17),"")</f>
        <v>3.64725471669514</v>
      </c>
      <c r="M17" s="16" t="n">
        <f aca="false">IF(ISNUMBER(I17),LOG10(C17),"")</f>
        <v>3.64826240574804</v>
      </c>
      <c r="N17" s="16" t="n">
        <f aca="false">IF(ISNUMBER(I17),LOG10(D17),"")</f>
        <v>1.32014628611105</v>
      </c>
      <c r="O17" s="16" t="n">
        <f aca="false">IF(ISNUMBER(I17),LOG10(G17),"")</f>
        <v>-1.62218397082794</v>
      </c>
    </row>
    <row r="18" customFormat="false" ht="15" hidden="false" customHeight="false" outlineLevel="0" collapsed="false">
      <c r="A18" s="12" t="s">
        <v>44</v>
      </c>
      <c r="B18" s="12" t="n">
        <v>207</v>
      </c>
      <c r="C18" s="12" t="n">
        <v>4565</v>
      </c>
      <c r="D18" s="12" t="n">
        <v>20.2</v>
      </c>
      <c r="E18" s="12" t="n">
        <v>0.248</v>
      </c>
      <c r="F18" s="12" t="n">
        <v>0.092</v>
      </c>
      <c r="G18" s="13" t="n">
        <f aca="false">IF(AND(ISNUMBER(E18),ISNUMBER(F18)),2*Results!$C$5*E18*F18,"")</f>
        <v>0.022816</v>
      </c>
      <c r="H18" s="14" t="n">
        <f aca="false">IF(AND(ISNUMBER(C18),ISNUMBER(D18)),2*C18*D18,"")</f>
        <v>184426</v>
      </c>
      <c r="I18" s="14" t="n">
        <f aca="false">IF(AND(ISNUMBER(G18),ISNUMBER(H18)),G18*H18,"")</f>
        <v>4207.863616</v>
      </c>
      <c r="J18" s="15" t="n">
        <f aca="false">IF(ISNUMBER(I18),I18/B18,"")</f>
        <v>20.3278435555556</v>
      </c>
      <c r="K18" s="16" t="n">
        <f aca="false">IF(ISNUMBER(I18),LOG10(B18),"")</f>
        <v>2.31597034545692</v>
      </c>
      <c r="L18" s="16" t="n">
        <f aca="false">IF(ISNUMBER(I18),LOG10(I18),"")</f>
        <v>3.62406165515269</v>
      </c>
      <c r="M18" s="16" t="n">
        <f aca="false">IF(ISNUMBER(I18),LOG10(C18),"")</f>
        <v>3.65944078187032</v>
      </c>
      <c r="N18" s="16" t="n">
        <f aca="false">IF(ISNUMBER(I18),LOG10(D18),"")</f>
        <v>1.30535136944662</v>
      </c>
      <c r="O18" s="16" t="n">
        <f aca="false">IF(ISNUMBER(I18),LOG10(G18),"")</f>
        <v>-1.64176049182823</v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3" t="str">
        <f aca="false">IF(AND(ISNUMBER(E19),ISNUMBER(F19)),2*Results!$C$5*E19*F19,"")</f>
        <v/>
      </c>
      <c r="H19" s="14" t="str">
        <f aca="false">IF(AND(ISNUMBER(C19),ISNUMBER(D19)),2*C19*D19,"")</f>
        <v/>
      </c>
      <c r="I19" s="14" t="str">
        <f aca="false">IF(AND(ISNUMBER(G19),ISNUMBER(H19)),G19*H19,"")</f>
        <v/>
      </c>
      <c r="J19" s="15" t="str">
        <f aca="false">IF(ISNUMBER(I19),I19/B19,"")</f>
        <v/>
      </c>
      <c r="K19" s="16" t="str">
        <f aca="false">IF(ISNUMBER(I19),LOG10(B19),"")</f>
        <v/>
      </c>
      <c r="L19" s="16" t="str">
        <f aca="false">IF(ISNUMBER(I19),LOG10(I19),"")</f>
        <v/>
      </c>
      <c r="M19" s="16" t="str">
        <f aca="false">IF(ISNUMBER(I19),LOG10(C19),"")</f>
        <v/>
      </c>
      <c r="N19" s="16" t="str">
        <f aca="false">IF(ISNUMBER(I19),LOG10(D19),"")</f>
        <v/>
      </c>
      <c r="O19" s="16" t="str">
        <f aca="false">IF(ISNUMBER(I19),LOG10(G19),"")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3" t="str">
        <f aca="false">IF(AND(ISNUMBER(E20),ISNUMBER(F20)),2*Results!$C$5*E20*F20,"")</f>
        <v/>
      </c>
      <c r="H20" s="14" t="str">
        <f aca="false">IF(AND(ISNUMBER(C20),ISNUMBER(D20)),2*C20*D20,"")</f>
        <v/>
      </c>
      <c r="I20" s="14" t="str">
        <f aca="false">IF(AND(ISNUMBER(G20),ISNUMBER(H20)),G20*H20,"")</f>
        <v/>
      </c>
      <c r="J20" s="15" t="str">
        <f aca="false">IF(ISNUMBER(I20),I20/B20,"")</f>
        <v/>
      </c>
      <c r="K20" s="16" t="str">
        <f aca="false">IF(ISNUMBER(I20),LOG10(B20),"")</f>
        <v/>
      </c>
      <c r="L20" s="16" t="str">
        <f aca="false">IF(ISNUMBER(I20),LOG10(I20),"")</f>
        <v/>
      </c>
      <c r="M20" s="16" t="str">
        <f aca="false">IF(ISNUMBER(I20),LOG10(C20),"")</f>
        <v/>
      </c>
      <c r="N20" s="16" t="str">
        <f aca="false">IF(ISNUMBER(I20),LOG10(D20),"")</f>
        <v/>
      </c>
      <c r="O20" s="16" t="str">
        <f aca="false">IF(ISNUMBER(I20),LOG10(G20),"")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3" t="str">
        <f aca="false">IF(AND(ISNUMBER(E21),ISNUMBER(F21)),2*Results!$C$5*E21*F21,"")</f>
        <v/>
      </c>
      <c r="H21" s="14" t="str">
        <f aca="false">IF(AND(ISNUMBER(C21),ISNUMBER(D21)),2*C21*D21,"")</f>
        <v/>
      </c>
      <c r="I21" s="14" t="str">
        <f aca="false">IF(AND(ISNUMBER(G21),ISNUMBER(H21)),G21*H21,"")</f>
        <v/>
      </c>
      <c r="J21" s="15" t="str">
        <f aca="false">IF(ISNUMBER(I21),I21/B21,"")</f>
        <v/>
      </c>
      <c r="K21" s="16" t="str">
        <f aca="false">IF(ISNUMBER(I21),LOG10(B21),"")</f>
        <v/>
      </c>
      <c r="L21" s="16" t="str">
        <f aca="false">IF(ISNUMBER(I21),LOG10(I21),"")</f>
        <v/>
      </c>
      <c r="M21" s="16" t="str">
        <f aca="false">IF(ISNUMBER(I21),LOG10(C21),"")</f>
        <v/>
      </c>
      <c r="N21" s="16" t="str">
        <f aca="false">IF(ISNUMBER(I21),LOG10(D21),"")</f>
        <v/>
      </c>
      <c r="O21" s="16" t="str">
        <f aca="false">IF(ISNUMBER(I21),LOG10(G21),"")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3" t="str">
        <f aca="false">IF(AND(ISNUMBER(E22),ISNUMBER(F22)),2*Results!$C$5*E22*F22,"")</f>
        <v/>
      </c>
      <c r="H22" s="14" t="str">
        <f aca="false">IF(AND(ISNUMBER(C22),ISNUMBER(D22)),2*C22*D22,"")</f>
        <v/>
      </c>
      <c r="I22" s="14" t="str">
        <f aca="false">IF(AND(ISNUMBER(G22),ISNUMBER(H22)),G22*H22,"")</f>
        <v/>
      </c>
      <c r="J22" s="15" t="str">
        <f aca="false">IF(ISNUMBER(I22),I22/B22,"")</f>
        <v/>
      </c>
      <c r="K22" s="16" t="str">
        <f aca="false">IF(ISNUMBER(I22),LOG10(B22),"")</f>
        <v/>
      </c>
      <c r="L22" s="16" t="str">
        <f aca="false">IF(ISNUMBER(I22),LOG10(I22),"")</f>
        <v/>
      </c>
      <c r="M22" s="16" t="str">
        <f aca="false">IF(ISNUMBER(I22),LOG10(C22),"")</f>
        <v/>
      </c>
      <c r="N22" s="16" t="str">
        <f aca="false">IF(ISNUMBER(I22),LOG10(D22),"")</f>
        <v/>
      </c>
      <c r="O22" s="16" t="str">
        <f aca="false">IF(ISNUMBER(I22),LOG10(G22),"")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3" t="str">
        <f aca="false">IF(AND(ISNUMBER(E23),ISNUMBER(F23)),2*Results!$C$5*E23*F23,"")</f>
        <v/>
      </c>
      <c r="H23" s="14" t="str">
        <f aca="false">IF(AND(ISNUMBER(C23),ISNUMBER(D23)),2*C23*D23,"")</f>
        <v/>
      </c>
      <c r="I23" s="14" t="str">
        <f aca="false">IF(AND(ISNUMBER(G23),ISNUMBER(H23)),G23*H23,"")</f>
        <v/>
      </c>
      <c r="J23" s="15" t="str">
        <f aca="false">IF(ISNUMBER(I23),I23/B23,"")</f>
        <v/>
      </c>
      <c r="K23" s="16" t="str">
        <f aca="false">IF(ISNUMBER(I23),LOG10(B23),"")</f>
        <v/>
      </c>
      <c r="L23" s="16" t="str">
        <f aca="false">IF(ISNUMBER(I23),LOG10(I23),"")</f>
        <v/>
      </c>
      <c r="M23" s="16" t="str">
        <f aca="false">IF(ISNUMBER(I23),LOG10(C23),"")</f>
        <v/>
      </c>
      <c r="N23" s="16" t="str">
        <f aca="false">IF(ISNUMBER(I23),LOG10(D23),"")</f>
        <v/>
      </c>
      <c r="O23" s="16" t="str">
        <f aca="false">IF(ISNUMBER(I23),LOG10(G23),"")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3" t="str">
        <f aca="false">IF(AND(ISNUMBER(E24),ISNUMBER(F24)),2*Results!$C$5*E24*F24,"")</f>
        <v/>
      </c>
      <c r="H24" s="14" t="str">
        <f aca="false">IF(AND(ISNUMBER(C24),ISNUMBER(D24)),2*C24*D24,"")</f>
        <v/>
      </c>
      <c r="I24" s="14" t="str">
        <f aca="false">IF(AND(ISNUMBER(G24),ISNUMBER(H24)),G24*H24,"")</f>
        <v/>
      </c>
      <c r="J24" s="15" t="str">
        <f aca="false">IF(ISNUMBER(I24),I24/B24,"")</f>
        <v/>
      </c>
      <c r="K24" s="16" t="str">
        <f aca="false">IF(ISNUMBER(I24),LOG10(B24),"")</f>
        <v/>
      </c>
      <c r="L24" s="16" t="str">
        <f aca="false">IF(ISNUMBER(I24),LOG10(I24),"")</f>
        <v/>
      </c>
      <c r="M24" s="16" t="str">
        <f aca="false">IF(ISNUMBER(I24),LOG10(C24),"")</f>
        <v/>
      </c>
      <c r="N24" s="16" t="str">
        <f aca="false">IF(ISNUMBER(I24),LOG10(D24),"")</f>
        <v/>
      </c>
      <c r="O24" s="16" t="str">
        <f aca="false">IF(ISNUMBER(I24),LOG10(G24),"")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3" t="str">
        <f aca="false">IF(AND(ISNUMBER(E25),ISNUMBER(F25)),2*Results!$C$5*E25*F25,"")</f>
        <v/>
      </c>
      <c r="H25" s="14" t="str">
        <f aca="false">IF(AND(ISNUMBER(C25),ISNUMBER(D25)),2*C25*D25,"")</f>
        <v/>
      </c>
      <c r="I25" s="14" t="str">
        <f aca="false">IF(AND(ISNUMBER(G25),ISNUMBER(H25)),G25*H25,"")</f>
        <v/>
      </c>
      <c r="J25" s="15" t="str">
        <f aca="false">IF(ISNUMBER(I25),I25/B25,"")</f>
        <v/>
      </c>
      <c r="K25" s="16" t="str">
        <f aca="false">IF(ISNUMBER(I25),LOG10(B25),"")</f>
        <v/>
      </c>
      <c r="L25" s="16" t="str">
        <f aca="false">IF(ISNUMBER(I25),LOG10(I25),"")</f>
        <v/>
      </c>
      <c r="M25" s="16" t="str">
        <f aca="false">IF(ISNUMBER(I25),LOG10(C25),"")</f>
        <v/>
      </c>
      <c r="N25" s="16" t="str">
        <f aca="false">IF(ISNUMBER(I25),LOG10(D25),"")</f>
        <v/>
      </c>
      <c r="O25" s="16" t="str">
        <f aca="false">IF(ISNUMBER(I25),LOG10(G25),"")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3" t="str">
        <f aca="false">IF(AND(ISNUMBER(E26),ISNUMBER(F26)),2*Results!$C$5*E26*F26,"")</f>
        <v/>
      </c>
      <c r="H26" s="14" t="str">
        <f aca="false">IF(AND(ISNUMBER(C26),ISNUMBER(D26)),2*C26*D26,"")</f>
        <v/>
      </c>
      <c r="I26" s="14" t="str">
        <f aca="false">IF(AND(ISNUMBER(G26),ISNUMBER(H26)),G26*H26,"")</f>
        <v/>
      </c>
      <c r="J26" s="15" t="str">
        <f aca="false">IF(ISNUMBER(I26),I26/B26,"")</f>
        <v/>
      </c>
      <c r="K26" s="16" t="str">
        <f aca="false">IF(ISNUMBER(I26),LOG10(B26),"")</f>
        <v/>
      </c>
      <c r="L26" s="16" t="str">
        <f aca="false">IF(ISNUMBER(I26),LOG10(I26),"")</f>
        <v/>
      </c>
      <c r="M26" s="16" t="str">
        <f aca="false">IF(ISNUMBER(I26),LOG10(C26),"")</f>
        <v/>
      </c>
      <c r="N26" s="16" t="str">
        <f aca="false">IF(ISNUMBER(I26),LOG10(D26),"")</f>
        <v/>
      </c>
      <c r="O26" s="16" t="str">
        <f aca="false">IF(ISNUMBER(I26),LOG10(G26),"")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F2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45</v>
      </c>
    </row>
    <row r="2" customFormat="false" ht="15" hidden="false" customHeight="false" outlineLevel="0" collapsed="false">
      <c r="B2" s="8" t="s">
        <v>46</v>
      </c>
    </row>
    <row r="4" customFormat="false" ht="15" hidden="false" customHeight="false" outlineLevel="0" collapsed="false">
      <c r="B4" s="9" t="s">
        <v>47</v>
      </c>
    </row>
    <row r="5" customFormat="false" ht="15" hidden="false" customHeight="false" outlineLevel="0" collapsed="false">
      <c r="B5" s="17" t="s">
        <v>48</v>
      </c>
      <c r="C5" s="12" t="n">
        <v>0.5</v>
      </c>
      <c r="D5" s="8"/>
    </row>
    <row r="7" customFormat="false" ht="15" hidden="false" customHeight="false" outlineLevel="0" collapsed="false">
      <c r="B7" s="9" t="s">
        <v>49</v>
      </c>
    </row>
    <row r="8" customFormat="false" ht="15" hidden="false" customHeight="false" outlineLevel="0" collapsed="false">
      <c r="B8" s="17" t="s">
        <v>50</v>
      </c>
      <c r="C8" s="18" t="n">
        <f aca="false">IFERROR(SUMPRODUCT(--ISNUMBER('Enter data'!$K$7:$K$26),--ISNUMBER('Enter data'!$L$7:$L$26)),"")</f>
        <v>12</v>
      </c>
    </row>
    <row r="9" customFormat="false" ht="15" hidden="false" customHeight="false" outlineLevel="0" collapsed="false">
      <c r="B9" s="17" t="s">
        <v>51</v>
      </c>
      <c r="C9" s="19" t="n">
        <f aca="false">IFERROR(SLOPE('Enter data'!$L$7:$L$26,'Enter data'!$K$7:$K$26),"")</f>
        <v>0.80595336240119</v>
      </c>
    </row>
    <row r="10" customFormat="false" ht="15" hidden="false" customHeight="false" outlineLevel="0" collapsed="false">
      <c r="B10" s="17" t="s">
        <v>52</v>
      </c>
      <c r="C10" s="19" t="n">
        <f aca="false">IFERROR(INTERCEPT('Enter data'!$L$7:$L$26,'Enter data'!$K$7:$K$26),"")</f>
        <v>1.75968853055985</v>
      </c>
    </row>
    <row r="11" customFormat="false" ht="15" hidden="false" customHeight="false" outlineLevel="0" collapsed="false">
      <c r="B11" s="17" t="s">
        <v>53</v>
      </c>
      <c r="C11" s="19" t="n">
        <f aca="false">IFERROR(RSQ('Enter data'!$L$7:$L$26,'Enter data'!$K$7:$K$26),"")</f>
        <v>0.973351529666954</v>
      </c>
    </row>
    <row r="12" customFormat="false" ht="15" hidden="false" customHeight="false" outlineLevel="0" collapsed="false">
      <c r="B12" s="17" t="s">
        <v>54</v>
      </c>
      <c r="C12" s="19" t="n">
        <f aca="false">IFERROR(STEYX('Enter data'!$L$7:$L$26,'Enter data'!$K$7:$K$26),"")</f>
        <v>0.0249036426659048</v>
      </c>
    </row>
    <row r="13" customFormat="false" ht="15" hidden="false" customHeight="false" outlineLevel="0" collapsed="false">
      <c r="B13" s="17" t="s">
        <v>55</v>
      </c>
      <c r="C13" s="19" t="n">
        <f aca="false">IFERROR($C$12/SQRT(DEVSQ('Enter data'!$K$7:$K$26)),"")</f>
        <v>0.0421707374838291</v>
      </c>
    </row>
    <row r="14" customFormat="false" ht="15" hidden="false" customHeight="false" outlineLevel="0" collapsed="false">
      <c r="B14" s="17" t="s">
        <v>56</v>
      </c>
      <c r="C14" s="19" t="n">
        <f aca="false">IFERROR($C$9-TINV(0.05,$C$8-2)*$C$13,"")</f>
        <v>0.711991103796557</v>
      </c>
    </row>
    <row r="15" customFormat="false" ht="15" hidden="false" customHeight="false" outlineLevel="0" collapsed="false">
      <c r="B15" s="17" t="s">
        <v>57</v>
      </c>
      <c r="C15" s="19" t="n">
        <f aca="false">IFERROR($C$9+TINV(0.05,$C$8-2)*$C$13,"")</f>
        <v>0.899915621005824</v>
      </c>
    </row>
    <row r="17" customFormat="false" ht="15" hidden="false" customHeight="false" outlineLevel="0" collapsed="false">
      <c r="B17" s="9" t="s">
        <v>58</v>
      </c>
    </row>
    <row r="18" customFormat="false" ht="15" hidden="false" customHeight="false" outlineLevel="0" collapsed="false">
      <c r="B18" s="17" t="s">
        <v>59</v>
      </c>
      <c r="C18" s="20" t="n">
        <f aca="false">IFERROR(SLOPE('Enter data'!$M$7:$M$26,'Enter data'!$K$7:$K$26),"")</f>
        <v>0.521497292625394</v>
      </c>
    </row>
    <row r="19" customFormat="false" ht="15" hidden="false" customHeight="false" outlineLevel="0" collapsed="false">
      <c r="B19" s="17" t="s">
        <v>60</v>
      </c>
      <c r="C19" s="20" t="n">
        <f aca="false">IFERROR(SLOPE('Enter data'!$N$7:$N$26,'Enter data'!$K$7:$K$26),"")</f>
        <v>-0.0549297473254091</v>
      </c>
    </row>
    <row r="20" customFormat="false" ht="15" hidden="false" customHeight="false" outlineLevel="0" collapsed="false">
      <c r="B20" s="17" t="s">
        <v>61</v>
      </c>
      <c r="C20" s="20" t="n">
        <f aca="false">IFERROR(SLOPE('Enter data'!$O$7:$O$26,'Enter data'!$K$7:$K$26),"")</f>
        <v>0.339385817101205</v>
      </c>
    </row>
    <row r="22" customFormat="false" ht="15" hidden="false" customHeight="false" outlineLevel="0" collapsed="false">
      <c r="B22" s="9" t="s">
        <v>62</v>
      </c>
    </row>
    <row r="23" customFormat="false" ht="15" hidden="false" customHeight="false" outlineLevel="0" collapsed="false">
      <c r="B23" s="17" t="s">
        <v>63</v>
      </c>
      <c r="C23" s="21" t="n">
        <f aca="false">IFERROR(AVERAGE('Enter data'!$J$7:$J$26),"")</f>
        <v>21.1439379220912</v>
      </c>
    </row>
    <row r="25" customFormat="false" ht="15" hidden="false" customHeight="false" outlineLevel="0" collapsed="false">
      <c r="B25" s="9" t="s">
        <v>64</v>
      </c>
    </row>
    <row r="26" customFormat="false" ht="15" hidden="false" customHeight="false" outlineLevel="0" collapsed="false">
      <c r="B26" s="17" t="s">
        <v>65</v>
      </c>
      <c r="C26" s="22" t="n">
        <f aca="false">IFERROR(2*15904*9.7,"")</f>
        <v>308537.6</v>
      </c>
    </row>
    <row r="27" customFormat="false" ht="15" hidden="false" customHeight="false" outlineLevel="0" collapsed="false">
      <c r="B27" s="17" t="s">
        <v>66</v>
      </c>
      <c r="C27" s="22" t="n">
        <f aca="false">IFERROR(2*15904*9.7*0.3,"")</f>
        <v>92561.28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2026-10-01T00:30:41Z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2026-10-01T00:31:07Z</dcterms:modified>
  <cp:revision>1</cp:revision>
  <dc:subject/>
  <dc:title>CVA-04 Gill respiratory surface area and body size in fish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