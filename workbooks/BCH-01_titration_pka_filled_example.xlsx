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<sst xmlns="http://schemas.openxmlformats.org/spreadsheetml/2006/main" count="44" uniqueCount="44">
  <si>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BCH-01  Titration of a weak acid: equivalence point, pKa, buffer capacity</t>
  </si>
  <si>
    <t xml:space="preserve">Excel version of the card. It does the same calculations as the R script bch01_titration_pka.R.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</si>
  <si>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</si>
  <si>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</si>
  <si>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</si>
  <si>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</si>
  <si>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</si>
  <si>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</si>
  <si>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</si>
  <si>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</si>
  <si>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 the NaOH volume and the pH after each addition, in increasing order of volume (use small steps near the steep part).</t>
  </si>
  <si>
    <t xml:space="preserve">Equivalence volume: the steepest point of pH against volume (first derivative), refined by the zero of the second derivative next to it. pKa = pH at half the equivalence volume (Henderson-Hasselbalch).</t>
  </si>
  <si>
    <t xml:space="preserve">Buffer capacity = (mol of NaOH added / total volume in litres) / change in pH, between successive points.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</si>
  <si>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</si>
  <si>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</si>
  <si>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</si>
  <si>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</si>
  <si>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Titration data (increasing volume)</t>
  </si>
  <si>
    <t xml:space="preserve">NaOH added (mL)</t>
  </si>
  <si>
    <t xml:space="preserve">pH</t>
  </si>
  <si>
    <t xml:space="preserve">Slope dpH/dV</t>
  </si>
  <si>
    <t xml:space="preserve">Mid volume (mL)</t>
  </si>
  <si>
    <t xml:space="preserve">Second derivative</t>
  </si>
  <si>
    <t xml:space="preserve">Mid of mid volumes</t>
  </si>
  <si>
    <t xml:space="preserve">Mid pH</t>
  </si>
  <si>
    <t xml:space="preserve">Buffer capacity (mol/L per pH)</t>
  </si>
  <si>
    <t xml:space="preserve">Capacity below pH 8</t>
  </si>
  <si>
    <t xml:space="preserve">Results</t>
  </si>
  <si>
    <t xml:space="preserve">Everything on this sheet is calculated. Change only the yellow settings.</t>
  </si>
  <si>
    <t xml:space="preserve">Settings</t>
  </si>
  <si>
    <t xml:space="preserve">Volume of acid titrated (mL)</t>
  </si>
  <si>
    <t xml:space="preserve">NaOH molarity (mol/L)</t>
  </si>
  <si>
    <t xml:space="preserve">Equivalence point</t>
  </si>
  <si>
    <t xml:space="preserve">Position of the steepest point in the table</t>
  </si>
  <si>
    <t xml:space="preserve">Equivalence volume from the steepest point (mL)</t>
  </si>
  <si>
    <t xml:space="preserve">Equivalence volume refined with the second derivative (mL)</t>
  </si>
  <si>
    <t xml:space="preserve">Concentration of the acid (mol/L)</t>
  </si>
  <si>
    <t xml:space="preserve">pKa (pH at half the equivalence volume)</t>
  </si>
  <si>
    <t xml:space="preserve">Half of the equivalence volume (mL)</t>
  </si>
  <si>
    <t xml:space="preserve">Table position just below the half volume</t>
  </si>
  <si>
    <t xml:space="preserve">pKa</t>
  </si>
  <si>
    <t xml:space="preserve">Buffer capacity</t>
  </si>
  <si>
    <t xml:space="preserve">Largest buffer capacity below pH 8 (mol/L per pH)</t>
  </si>
  <si>
    <t xml:space="preserve">pH at the largest buffer capacity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</si>
</sst>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000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Titration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'Enter data'!$A$7:$A$61</c:f>
              <c:numCache>
                <c:formatCode>General</c:formatCode>
                <c:ptCount val="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16.5</c:v>
                </c:pt>
                <c:pt idx="18">
                  <c:v>17</c:v>
                </c:pt>
                <c:pt idx="19">
                  <c:v>17.5</c:v>
                </c:pt>
                <c:pt idx="20">
                  <c:v>18</c:v>
                </c:pt>
                <c:pt idx="21">
                  <c:v>18.5</c:v>
                </c:pt>
                <c:pt idx="22">
                  <c:v>19</c:v>
                </c:pt>
                <c:pt idx="23">
                  <c:v>19.5</c:v>
                </c:pt>
                <c:pt idx="24">
                  <c:v>20</c:v>
                </c:pt>
                <c:pt idx="25">
                  <c:v>20.5</c:v>
                </c:pt>
                <c:pt idx="26">
                  <c:v>21</c:v>
                </c:pt>
                <c:pt idx="27">
                  <c:v>21.5</c:v>
                </c:pt>
                <c:pt idx="28">
                  <c:v>22</c:v>
                </c:pt>
                <c:pt idx="29">
                  <c:v>22.5</c:v>
                </c:pt>
                <c:pt idx="30">
                  <c:v>23</c:v>
                </c:pt>
                <c:pt idx="31">
                  <c:v>23.5</c:v>
                </c:pt>
                <c:pt idx="32">
                  <c:v>24</c:v>
                </c:pt>
                <c:pt idx="33">
                  <c:v>24.2</c:v>
                </c:pt>
                <c:pt idx="34">
                  <c:v>24.4</c:v>
                </c:pt>
                <c:pt idx="35">
                  <c:v>24.6</c:v>
                </c:pt>
                <c:pt idx="36">
                  <c:v>24.8</c:v>
                </c:pt>
                <c:pt idx="37">
                  <c:v>25</c:v>
                </c:pt>
                <c:pt idx="38">
                  <c:v>25.2</c:v>
                </c:pt>
                <c:pt idx="39">
                  <c:v>25.4</c:v>
                </c:pt>
                <c:pt idx="40">
                  <c:v>25.6</c:v>
                </c:pt>
                <c:pt idx="41">
                  <c:v>25.8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</c:numCache>
            </c:numRef>
          </c:xVal>
          <c:yVal>
            <c:numRef>
              <c:f>'Enter data'!$B$7:$B$61</c:f>
              <c:numCache>
                <c:formatCode>General</c:formatCode>
                <c:ptCount val="55"/>
                <c:pt idx="0">
                  <c:v>2.93</c:v>
                </c:pt>
                <c:pt idx="1">
                  <c:v>3.54</c:v>
                </c:pt>
                <c:pt idx="2">
                  <c:v>3.84</c:v>
                </c:pt>
                <c:pt idx="3">
                  <c:v>4</c:v>
                </c:pt>
                <c:pt idx="4">
                  <c:v>4.15</c:v>
                </c:pt>
                <c:pt idx="5">
                  <c:v>4.27</c:v>
                </c:pt>
                <c:pt idx="6">
                  <c:v>4.4</c:v>
                </c:pt>
                <c:pt idx="7">
                  <c:v>4.49</c:v>
                </c:pt>
                <c:pt idx="8">
                  <c:v>4.6</c:v>
                </c:pt>
                <c:pt idx="9">
                  <c:v>4.64</c:v>
                </c:pt>
                <c:pt idx="10">
                  <c:v>4.79</c:v>
                </c:pt>
                <c:pt idx="11">
                  <c:v>4.85</c:v>
                </c:pt>
                <c:pt idx="12">
                  <c:v>4.95</c:v>
                </c:pt>
                <c:pt idx="13">
                  <c:v>5.03</c:v>
                </c:pt>
                <c:pt idx="14">
                  <c:v>5.12</c:v>
                </c:pt>
                <c:pt idx="15">
                  <c:v>5.25</c:v>
                </c:pt>
                <c:pt idx="16">
                  <c:v>5.38</c:v>
                </c:pt>
                <c:pt idx="17">
                  <c:v>5.43</c:v>
                </c:pt>
                <c:pt idx="18">
                  <c:v>5.51</c:v>
                </c:pt>
                <c:pt idx="19">
                  <c:v>5.62</c:v>
                </c:pt>
                <c:pt idx="20">
                  <c:v>5.7</c:v>
                </c:pt>
                <c:pt idx="21">
                  <c:v>5.82</c:v>
                </c:pt>
                <c:pt idx="22">
                  <c:v>6.05</c:v>
                </c:pt>
                <c:pt idx="23">
                  <c:v>6.34</c:v>
                </c:pt>
                <c:pt idx="24">
                  <c:v>8.67</c:v>
                </c:pt>
                <c:pt idx="25">
                  <c:v>11.02</c:v>
                </c:pt>
                <c:pt idx="26">
                  <c:v>11.33</c:v>
                </c:pt>
                <c:pt idx="27">
                  <c:v>11.48</c:v>
                </c:pt>
                <c:pt idx="28">
                  <c:v>11.6</c:v>
                </c:pt>
                <c:pt idx="29">
                  <c:v>11.72</c:v>
                </c:pt>
                <c:pt idx="30">
                  <c:v>11.81</c:v>
                </c:pt>
                <c:pt idx="31">
                  <c:v>11.85</c:v>
                </c:pt>
                <c:pt idx="32">
                  <c:v>11.9</c:v>
                </c:pt>
                <c:pt idx="33">
                  <c:v>11.94</c:v>
                </c:pt>
                <c:pt idx="34">
                  <c:v>11.96</c:v>
                </c:pt>
                <c:pt idx="35">
                  <c:v>11.96</c:v>
                </c:pt>
                <c:pt idx="36">
                  <c:v>11.99</c:v>
                </c:pt>
                <c:pt idx="37">
                  <c:v>12.02</c:v>
                </c:pt>
                <c:pt idx="38">
                  <c:v>12.01</c:v>
                </c:pt>
                <c:pt idx="39">
                  <c:v>12.01</c:v>
                </c:pt>
                <c:pt idx="40">
                  <c:v>12.05</c:v>
                </c:pt>
                <c:pt idx="41">
                  <c:v>12.06</c:v>
                </c:pt>
                <c:pt idx="42">
                  <c:v>12.09</c:v>
                </c:pt>
                <c:pt idx="43">
                  <c:v>12.1</c:v>
                </c:pt>
                <c:pt idx="44">
                  <c:v>12.17</c:v>
                </c:pt>
                <c:pt idx="45">
                  <c:v>12.21</c:v>
                </c:pt>
                <c:pt idx="46">
                  <c:v>12.22</c:v>
                </c:pt>
                <c:pt idx="47">
                  <c:v>12.3</c:v>
                </c:pt>
                <c:pt idx="48">
                  <c:v>12.33</c:v>
                </c:pt>
              </c:numCache>
            </c:numRef>
          </c:yVal>
          <c:smooth val="1"/>
        </c:ser>
        <c:axId val="98800245"/>
        <c:axId val="47403636"/>
      </c:scatterChart>
      <c:valAx>
        <c:axId val="988002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NaOH added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03636"/>
        <c:crosses val="autoZero"/>
        <c:crossBetween val="midCat"/>
      </c:valAx>
      <c:valAx>
        <c:axId val="47403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0024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3</xdr:col>
      <xdr:colOff>536040</xdr:colOff>
      <xdr:row>37</xdr:row>
      <xdr:rowOff>172440</xdr:rowOff>
    </xdr:to>
    <xdr:graphicFrame>
      <xdr:nvGraphicFramePr>
        <xdr:cNvPr id="0" name="Chart 1"/>
        <xdr:cNvGraphicFramePr/>
      </xdr:nvGraphicFramePr>
      <xdr:xfrm>
        <a:off x="211320" y="4191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  <c r="I5" s="10" t="s">
        <v>26</v>
      </c>
    </row>
    <row r="6" customFormat="false" ht="15" hidden="false" customHeight="false" outlineLevel="0" collapsed="false">
      <c r="A6" s="11" t="n">
        <v>10</v>
      </c>
      <c r="B6" s="11" t="n">
        <v>4.76</v>
      </c>
    </row>
    <row r="7" customFormat="false" ht="15" hidden="false" customHeight="false" outlineLevel="0" collapsed="false">
      <c r="A7" s="12" t="n">
        <v>0</v>
      </c>
      <c r="B7" s="12" t="n">
        <v>2.93</v>
      </c>
      <c r="C7" s="13" t="n">
        <f aca="false">IF(AND(ISNUMBER(A7),ISNUMBER(A8),ISNUMBER(B7),ISNUMBER(B8)),(B8-B7)/(A8-A7),"")</f>
        <v>0.61</v>
      </c>
      <c r="D7" s="14" t="n">
        <f aca="false">IF(ISNUMBER(C7),(A7+A8)/2,"")</f>
        <v>0.5</v>
      </c>
      <c r="E7" s="13" t="n">
        <f aca="false">IF(AND(ISNUMBER(C7),ISNUMBER(C8)),(C8-C7)/(D8-D7),"")</f>
        <v>-0.31</v>
      </c>
      <c r="F7" s="13" t="n">
        <f aca="false">IF(ISNUMBER(E7),(D7+D8)/2,"")</f>
        <v>1</v>
      </c>
      <c r="G7" s="14" t="n">
        <f aca="false">IF(ISNUMBER(C7),(B7+B8)/2,"")</f>
        <v>3.235</v>
      </c>
      <c r="H7" s="15" t="n">
        <f aca="false">IF(ISNUMBER(C7),IFERROR((Results!$C$6*(A8-A7)/1000/((Results!$C$5+D7)/1000))/(B8-B7),""),"")</f>
        <v>0.00642880102860817</v>
      </c>
      <c r="I7" s="15" t="n">
        <f aca="false">IF(ISNUMBER(H7),IF(G7&lt;8,H7,""),"")</f>
        <v>0.00642880102860817</v>
      </c>
    </row>
    <row r="8" customFormat="false" ht="15" hidden="false" customHeight="false" outlineLevel="0" collapsed="false">
      <c r="A8" s="12" t="n">
        <v>1</v>
      </c>
      <c r="B8" s="12" t="n">
        <v>3.54</v>
      </c>
      <c r="C8" s="13" t="n">
        <f aca="false">IF(AND(ISNUMBER(A8),ISNUMBER(A9),ISNUMBER(B8),ISNUMBER(B9)),(B9-B8)/(A9-A8),"")</f>
        <v>0.3</v>
      </c>
      <c r="D8" s="14" t="n">
        <f aca="false">IF(ISNUMBER(C8),(A8+A9)/2,"")</f>
        <v>1.5</v>
      </c>
      <c r="E8" s="13" t="n">
        <f aca="false">IF(AND(ISNUMBER(C8),ISNUMBER(C9)),(C9-C8)/(D9-D8),"")</f>
        <v>-0.14</v>
      </c>
      <c r="F8" s="13" t="n">
        <f aca="false">IF(ISNUMBER(E8),(D8+D9)/2,"")</f>
        <v>2</v>
      </c>
      <c r="G8" s="14" t="n">
        <f aca="false">IF(ISNUMBER(C8),(B8+B9)/2,"")</f>
        <v>3.69</v>
      </c>
      <c r="H8" s="15" t="n">
        <f aca="false">IF(ISNUMBER(C8),IFERROR((Results!$C$6*(A9-A8)/1000/((Results!$C$5+D8)/1000))/(B9-B8),""),"")</f>
        <v>0.0125786163522013</v>
      </c>
      <c r="I8" s="15" t="n">
        <f aca="false">IF(ISNUMBER(H8),IF(G8&lt;8,H8,""),"")</f>
        <v>0.0125786163522013</v>
      </c>
    </row>
    <row r="9" customFormat="false" ht="15" hidden="false" customHeight="false" outlineLevel="0" collapsed="false">
      <c r="A9" s="12" t="n">
        <v>2</v>
      </c>
      <c r="B9" s="12" t="n">
        <v>3.84</v>
      </c>
      <c r="C9" s="13" t="n">
        <f aca="false">IF(AND(ISNUMBER(A9),ISNUMBER(A10),ISNUMBER(B9),ISNUMBER(B10)),(B10-B9)/(A10-A9),"")</f>
        <v>0.16</v>
      </c>
      <c r="D9" s="14" t="n">
        <f aca="false">IF(ISNUMBER(C9),(A9+A10)/2,"")</f>
        <v>2.5</v>
      </c>
      <c r="E9" s="13" t="n">
        <f aca="false">IF(AND(ISNUMBER(C9),ISNUMBER(C10)),(C10-C9)/(D10-D9),"")</f>
        <v>-0.00999999999999979</v>
      </c>
      <c r="F9" s="13" t="n">
        <f aca="false">IF(ISNUMBER(E9),(D9+D10)/2,"")</f>
        <v>3</v>
      </c>
      <c r="G9" s="14" t="n">
        <f aca="false">IF(ISNUMBER(C9),(B9+B10)/2,"")</f>
        <v>3.92</v>
      </c>
      <c r="H9" s="15" t="n">
        <f aca="false">IF(ISNUMBER(C9),IFERROR((Results!$C$6*(A10-A9)/1000/((Results!$C$5+D9)/1000))/(B10-B9),""),"")</f>
        <v>0.0227272727272727</v>
      </c>
      <c r="I9" s="15" t="n">
        <f aca="false">IF(ISNUMBER(H9),IF(G9&lt;8,H9,""),"")</f>
        <v>0.0227272727272727</v>
      </c>
    </row>
    <row r="10" customFormat="false" ht="15" hidden="false" customHeight="false" outlineLevel="0" collapsed="false">
      <c r="A10" s="12" t="n">
        <v>3</v>
      </c>
      <c r="B10" s="12" t="n">
        <v>4</v>
      </c>
      <c r="C10" s="13" t="n">
        <f aca="false">IF(AND(ISNUMBER(A10),ISNUMBER(A11),ISNUMBER(B10),ISNUMBER(B11)),(B11-B10)/(A11-A10),"")</f>
        <v>0.15</v>
      </c>
      <c r="D10" s="14" t="n">
        <f aca="false">IF(ISNUMBER(C10),(A10+A11)/2,"")</f>
        <v>3.5</v>
      </c>
      <c r="E10" s="13" t="n">
        <f aca="false">IF(AND(ISNUMBER(C10),ISNUMBER(C11)),(C11-C10)/(D11-D10),"")</f>
        <v>-0.0300000000000011</v>
      </c>
      <c r="F10" s="13" t="n">
        <f aca="false">IF(ISNUMBER(E10),(D10+D11)/2,"")</f>
        <v>4</v>
      </c>
      <c r="G10" s="14" t="n">
        <f aca="false">IF(ISNUMBER(C10),(B10+B11)/2,"")</f>
        <v>4.075</v>
      </c>
      <c r="H10" s="15" t="n">
        <f aca="false">IF(ISNUMBER(C10),IFERROR((Results!$C$6*(A11-A10)/1000/((Results!$C$5+D10)/1000))/(B11-B10),""),"")</f>
        <v>0.023391812865497</v>
      </c>
      <c r="I10" s="15" t="n">
        <f aca="false">IF(ISNUMBER(H10),IF(G10&lt;8,H10,""),"")</f>
        <v>0.023391812865497</v>
      </c>
    </row>
    <row r="11" customFormat="false" ht="15" hidden="false" customHeight="false" outlineLevel="0" collapsed="false">
      <c r="A11" s="12" t="n">
        <v>4</v>
      </c>
      <c r="B11" s="12" t="n">
        <v>4.15</v>
      </c>
      <c r="C11" s="13" t="n">
        <f aca="false">IF(AND(ISNUMBER(A11),ISNUMBER(A12),ISNUMBER(B11),ISNUMBER(B12)),(B12-B11)/(A12-A11),"")</f>
        <v>0.119999999999999</v>
      </c>
      <c r="D11" s="14" t="n">
        <f aca="false">IF(ISNUMBER(C11),(A11+A12)/2,"")</f>
        <v>4.5</v>
      </c>
      <c r="E11" s="13" t="n">
        <f aca="false">IF(AND(ISNUMBER(C11),ISNUMBER(C12)),(C12-C11)/(D12-D11),"")</f>
        <v>0.0100000000000016</v>
      </c>
      <c r="F11" s="13" t="n">
        <f aca="false">IF(ISNUMBER(E11),(D11+D12)/2,"")</f>
        <v>5</v>
      </c>
      <c r="G11" s="14" t="n">
        <f aca="false">IF(ISNUMBER(C11),(B11+B12)/2,"")</f>
        <v>4.21</v>
      </c>
      <c r="H11" s="15" t="n">
        <f aca="false">IF(ISNUMBER(C11),IFERROR((Results!$C$6*(A12-A11)/1000/((Results!$C$5+D11)/1000))/(B12-B11),""),"")</f>
        <v>0.0282485875706217</v>
      </c>
      <c r="I11" s="15" t="n">
        <f aca="false">IF(ISNUMBER(H11),IF(G11&lt;8,H11,""),"")</f>
        <v>0.0282485875706217</v>
      </c>
    </row>
    <row r="12" customFormat="false" ht="15" hidden="false" customHeight="false" outlineLevel="0" collapsed="false">
      <c r="A12" s="12" t="n">
        <v>5</v>
      </c>
      <c r="B12" s="12" t="n">
        <v>4.27</v>
      </c>
      <c r="C12" s="13" t="n">
        <f aca="false">IF(AND(ISNUMBER(A12),ISNUMBER(A13),ISNUMBER(B12),ISNUMBER(B13)),(B13-B12)/(A13-A12),"")</f>
        <v>0.130000000000001</v>
      </c>
      <c r="D12" s="14" t="n">
        <f aca="false">IF(ISNUMBER(C12),(A12+A13)/2,"")</f>
        <v>5.5</v>
      </c>
      <c r="E12" s="13" t="n">
        <f aca="false">IF(AND(ISNUMBER(C12),ISNUMBER(C13)),(C13-C12)/(D13-D12),"")</f>
        <v>-0.0400000000000009</v>
      </c>
      <c r="F12" s="13" t="n">
        <f aca="false">IF(ISNUMBER(E12),(D12+D13)/2,"")</f>
        <v>6</v>
      </c>
      <c r="G12" s="14" t="n">
        <f aca="false">IF(ISNUMBER(C12),(B12+B13)/2,"")</f>
        <v>4.335</v>
      </c>
      <c r="H12" s="15" t="n">
        <f aca="false">IF(ISNUMBER(C12),IFERROR((Results!$C$6*(A13-A12)/1000/((Results!$C$5+D12)/1000))/(B13-B12),""),"")</f>
        <v>0.0252206809583857</v>
      </c>
      <c r="I12" s="15" t="n">
        <f aca="false">IF(ISNUMBER(H12),IF(G12&lt;8,H12,""),"")</f>
        <v>0.0252206809583857</v>
      </c>
    </row>
    <row r="13" customFormat="false" ht="15" hidden="false" customHeight="false" outlineLevel="0" collapsed="false">
      <c r="A13" s="12" t="n">
        <v>6</v>
      </c>
      <c r="B13" s="12" t="n">
        <v>4.4</v>
      </c>
      <c r="C13" s="13" t="n">
        <f aca="false">IF(AND(ISNUMBER(A13),ISNUMBER(A14),ISNUMBER(B13),ISNUMBER(B14)),(B14-B13)/(A14-A13),"")</f>
        <v>0.0899999999999999</v>
      </c>
      <c r="D13" s="14" t="n">
        <f aca="false">IF(ISNUMBER(C13),(A13+A14)/2,"")</f>
        <v>6.5</v>
      </c>
      <c r="E13" s="13" t="n">
        <f aca="false">IF(AND(ISNUMBER(C13),ISNUMBER(C14)),(C14-C13)/(D14-D13),"")</f>
        <v>0.0199999999999996</v>
      </c>
      <c r="F13" s="13" t="n">
        <f aca="false">IF(ISNUMBER(E13),(D13+D14)/2,"")</f>
        <v>7</v>
      </c>
      <c r="G13" s="14" t="n">
        <f aca="false">IF(ISNUMBER(C13),(B13+B14)/2,"")</f>
        <v>4.445</v>
      </c>
      <c r="H13" s="15" t="n">
        <f aca="false">IF(ISNUMBER(C13),IFERROR((Results!$C$6*(A14-A13)/1000/((Results!$C$5+D13)/1000))/(B14-B13),""),"")</f>
        <v>0.035273368606702</v>
      </c>
      <c r="I13" s="15" t="n">
        <f aca="false">IF(ISNUMBER(H13),IF(G13&lt;8,H13,""),"")</f>
        <v>0.035273368606702</v>
      </c>
    </row>
    <row r="14" customFormat="false" ht="15" hidden="false" customHeight="false" outlineLevel="0" collapsed="false">
      <c r="A14" s="12" t="n">
        <v>7</v>
      </c>
      <c r="B14" s="12" t="n">
        <v>4.49</v>
      </c>
      <c r="C14" s="13" t="n">
        <f aca="false">IF(AND(ISNUMBER(A14),ISNUMBER(A15),ISNUMBER(B14),ISNUMBER(B15)),(B15-B14)/(A15-A14),"")</f>
        <v>0.109999999999999</v>
      </c>
      <c r="D14" s="14" t="n">
        <f aca="false">IF(ISNUMBER(C14),(A14+A15)/2,"")</f>
        <v>7.5</v>
      </c>
      <c r="E14" s="13" t="n">
        <f aca="false">IF(AND(ISNUMBER(C14),ISNUMBER(C15)),(C15-C14)/(D15-D14),"")</f>
        <v>-0.0699999999999994</v>
      </c>
      <c r="F14" s="13" t="n">
        <f aca="false">IF(ISNUMBER(E14),(D14+D15)/2,"")</f>
        <v>8</v>
      </c>
      <c r="G14" s="14" t="n">
        <f aca="false">IF(ISNUMBER(C14),(B14+B15)/2,"")</f>
        <v>4.545</v>
      </c>
      <c r="H14" s="15" t="n">
        <f aca="false">IF(ISNUMBER(C14),IFERROR((Results!$C$6*(A15-A14)/1000/((Results!$C$5+D14)/1000))/(B15-B14),""),"")</f>
        <v>0.0279720279720281</v>
      </c>
      <c r="I14" s="15" t="n">
        <f aca="false">IF(ISNUMBER(H14),IF(G14&lt;8,H14,""),"")</f>
        <v>0.0279720279720281</v>
      </c>
    </row>
    <row r="15" customFormat="false" ht="15" hidden="false" customHeight="false" outlineLevel="0" collapsed="false">
      <c r="A15" s="12" t="n">
        <v>8</v>
      </c>
      <c r="B15" s="12" t="n">
        <v>4.6</v>
      </c>
      <c r="C15" s="13" t="n">
        <f aca="false">IF(AND(ISNUMBER(A15),ISNUMBER(A16),ISNUMBER(B15),ISNUMBER(B16)),(B16-B15)/(A16-A15),"")</f>
        <v>0.04</v>
      </c>
      <c r="D15" s="14" t="n">
        <f aca="false">IF(ISNUMBER(C15),(A15+A16)/2,"")</f>
        <v>8.5</v>
      </c>
      <c r="E15" s="13" t="n">
        <f aca="false">IF(AND(ISNUMBER(C15),ISNUMBER(C16)),(C16-C15)/(D16-D15),"")</f>
        <v>0.11</v>
      </c>
      <c r="F15" s="13" t="n">
        <f aca="false">IF(ISNUMBER(E15),(D15+D16)/2,"")</f>
        <v>9</v>
      </c>
      <c r="G15" s="14" t="n">
        <f aca="false">IF(ISNUMBER(C15),(B15+B16)/2,"")</f>
        <v>4.62</v>
      </c>
      <c r="H15" s="15" t="n">
        <f aca="false">IF(ISNUMBER(C15),IFERROR((Results!$C$6*(A16-A15)/1000/((Results!$C$5+D15)/1000))/(B16-B15),""),"")</f>
        <v>0.0746268656716417</v>
      </c>
      <c r="I15" s="15" t="n">
        <f aca="false">IF(ISNUMBER(H15),IF(G15&lt;8,H15,""),"")</f>
        <v>0.0746268656716417</v>
      </c>
    </row>
    <row r="16" customFormat="false" ht="15" hidden="false" customHeight="false" outlineLevel="0" collapsed="false">
      <c r="A16" s="12" t="n">
        <v>9</v>
      </c>
      <c r="B16" s="12" t="n">
        <v>4.64</v>
      </c>
      <c r="C16" s="13" t="n">
        <f aca="false">IF(AND(ISNUMBER(A16),ISNUMBER(A17),ISNUMBER(B16),ISNUMBER(B17)),(B17-B16)/(A17-A16),"")</f>
        <v>0.15</v>
      </c>
      <c r="D16" s="14" t="n">
        <f aca="false">IF(ISNUMBER(C16),(A16+A17)/2,"")</f>
        <v>9.5</v>
      </c>
      <c r="E16" s="13" t="n">
        <f aca="false">IF(AND(ISNUMBER(C16),ISNUMBER(C17)),(C17-C16)/(D17-D16),"")</f>
        <v>-0.0900000000000008</v>
      </c>
      <c r="F16" s="13" t="n">
        <f aca="false">IF(ISNUMBER(E16),(D16+D17)/2,"")</f>
        <v>10</v>
      </c>
      <c r="G16" s="14" t="n">
        <f aca="false">IF(ISNUMBER(C16),(B16+B17)/2,"")</f>
        <v>4.715</v>
      </c>
      <c r="H16" s="15" t="n">
        <f aca="false">IF(ISNUMBER(C16),IFERROR((Results!$C$6*(A17-A16)/1000/((Results!$C$5+D16)/1000))/(B17-B16),""),"")</f>
        <v>0.0193236714975845</v>
      </c>
      <c r="I16" s="15" t="n">
        <f aca="false">IF(ISNUMBER(H16),IF(G16&lt;8,H16,""),"")</f>
        <v>0.0193236714975845</v>
      </c>
    </row>
    <row r="17" customFormat="false" ht="15" hidden="false" customHeight="false" outlineLevel="0" collapsed="false">
      <c r="A17" s="12" t="n">
        <v>10</v>
      </c>
      <c r="B17" s="12" t="n">
        <v>4.79</v>
      </c>
      <c r="C17" s="13" t="n">
        <f aca="false">IF(AND(ISNUMBER(A17),ISNUMBER(A18),ISNUMBER(B17),ISNUMBER(B18)),(B18-B17)/(A18-A17),"")</f>
        <v>0.0599999999999996</v>
      </c>
      <c r="D17" s="14" t="n">
        <f aca="false">IF(ISNUMBER(C17),(A17+A18)/2,"")</f>
        <v>10.5</v>
      </c>
      <c r="E17" s="13" t="n">
        <f aca="false">IF(AND(ISNUMBER(C17),ISNUMBER(C18)),(C18-C17)/(D18-D17),"")</f>
        <v>0.0400000000000009</v>
      </c>
      <c r="F17" s="13" t="n">
        <f aca="false">IF(ISNUMBER(E17),(D17+D18)/2,"")</f>
        <v>11</v>
      </c>
      <c r="G17" s="14" t="n">
        <f aca="false">IF(ISNUMBER(C17),(B17+B18)/2,"")</f>
        <v>4.82</v>
      </c>
      <c r="H17" s="15" t="n">
        <f aca="false">IF(ISNUMBER(C17),IFERROR((Results!$C$6*(A18-A17)/1000/((Results!$C$5+D17)/1000))/(B18-B17),""),"")</f>
        <v>0.0469483568075121</v>
      </c>
      <c r="I17" s="15" t="n">
        <f aca="false">IF(ISNUMBER(H17),IF(G17&lt;8,H17,""),"")</f>
        <v>0.0469483568075121</v>
      </c>
    </row>
    <row r="18" customFormat="false" ht="15" hidden="false" customHeight="false" outlineLevel="0" collapsed="false">
      <c r="A18" s="12" t="n">
        <v>11</v>
      </c>
      <c r="B18" s="12" t="n">
        <v>4.85</v>
      </c>
      <c r="C18" s="13" t="n">
        <f aca="false">IF(AND(ISNUMBER(A18),ISNUMBER(A19),ISNUMBER(B18),ISNUMBER(B19)),(B19-B18)/(A19-A18),"")</f>
        <v>0.100000000000001</v>
      </c>
      <c r="D18" s="14" t="n">
        <f aca="false">IF(ISNUMBER(C18),(A18+A19)/2,"")</f>
        <v>11.5</v>
      </c>
      <c r="E18" s="13" t="n">
        <f aca="false">IF(AND(ISNUMBER(C18),ISNUMBER(C19)),(C19-C18)/(D19-D18),"")</f>
        <v>-0.0200000000000005</v>
      </c>
      <c r="F18" s="13" t="n">
        <f aca="false">IF(ISNUMBER(E18),(D18+D19)/2,"")</f>
        <v>12</v>
      </c>
      <c r="G18" s="14" t="n">
        <f aca="false">IF(ISNUMBER(C18),(B18+B19)/2,"")</f>
        <v>4.9</v>
      </c>
      <c r="H18" s="15" t="n">
        <f aca="false">IF(ISNUMBER(C18),IFERROR((Results!$C$6*(A19-A18)/1000/((Results!$C$5+D18)/1000))/(B19-B18),""),"")</f>
        <v>0.0273972602739725</v>
      </c>
      <c r="I18" s="15" t="n">
        <f aca="false">IF(ISNUMBER(H18),IF(G18&lt;8,H18,""),"")</f>
        <v>0.0273972602739725</v>
      </c>
    </row>
    <row r="19" customFormat="false" ht="15" hidden="false" customHeight="false" outlineLevel="0" collapsed="false">
      <c r="A19" s="12" t="n">
        <v>12</v>
      </c>
      <c r="B19" s="12" t="n">
        <v>4.95</v>
      </c>
      <c r="C19" s="13" t="n">
        <f aca="false">IF(AND(ISNUMBER(A19),ISNUMBER(A20),ISNUMBER(B19),ISNUMBER(B20)),(B20-B19)/(A20-A19),"")</f>
        <v>0.0800000000000001</v>
      </c>
      <c r="D19" s="14" t="n">
        <f aca="false">IF(ISNUMBER(C19),(A19+A20)/2,"")</f>
        <v>12.5</v>
      </c>
      <c r="E19" s="13" t="n">
        <f aca="false">IF(AND(ISNUMBER(C19),ISNUMBER(C20)),(C20-C19)/(D20-D19),"")</f>
        <v>0.00999999999999979</v>
      </c>
      <c r="F19" s="13" t="n">
        <f aca="false">IF(ISNUMBER(E19),(D19+D20)/2,"")</f>
        <v>13</v>
      </c>
      <c r="G19" s="14" t="n">
        <f aca="false">IF(ISNUMBER(C19),(B19+B20)/2,"")</f>
        <v>4.99</v>
      </c>
      <c r="H19" s="15" t="n">
        <f aca="false">IF(ISNUMBER(C19),IFERROR((Results!$C$6*(A20-A19)/1000/((Results!$C$5+D19)/1000))/(B20-B19),""),"")</f>
        <v>0.0333333333333333</v>
      </c>
      <c r="I19" s="15" t="n">
        <f aca="false">IF(ISNUMBER(H19),IF(G19&lt;8,H19,""),"")</f>
        <v>0.0333333333333333</v>
      </c>
    </row>
    <row r="20" customFormat="false" ht="15" hidden="false" customHeight="false" outlineLevel="0" collapsed="false">
      <c r="A20" s="12" t="n">
        <v>13</v>
      </c>
      <c r="B20" s="12" t="n">
        <v>5.03</v>
      </c>
      <c r="C20" s="13" t="n">
        <f aca="false">IF(AND(ISNUMBER(A20),ISNUMBER(A21),ISNUMBER(B20),ISNUMBER(B21)),(B21-B20)/(A21-A20),"")</f>
        <v>0.0899999999999999</v>
      </c>
      <c r="D20" s="14" t="n">
        <f aca="false">IF(ISNUMBER(C20),(A20+A21)/2,"")</f>
        <v>13.5</v>
      </c>
      <c r="E20" s="13" t="n">
        <f aca="false">IF(AND(ISNUMBER(C20),ISNUMBER(C21)),(C21-C20)/(D21-D20),"")</f>
        <v>0.04</v>
      </c>
      <c r="F20" s="13" t="n">
        <f aca="false">IF(ISNUMBER(E20),(D20+D21)/2,"")</f>
        <v>14</v>
      </c>
      <c r="G20" s="14" t="n">
        <f aca="false">IF(ISNUMBER(C20),(B20+B21)/2,"")</f>
        <v>5.075</v>
      </c>
      <c r="H20" s="15" t="n">
        <f aca="false">IF(ISNUMBER(C20),IFERROR((Results!$C$6*(A21-A20)/1000/((Results!$C$5+D20)/1000))/(B21-B20),""),"")</f>
        <v>0.0288600288600289</v>
      </c>
      <c r="I20" s="15" t="n">
        <f aca="false">IF(ISNUMBER(H20),IF(G20&lt;8,H20,""),"")</f>
        <v>0.0288600288600289</v>
      </c>
    </row>
    <row r="21" customFormat="false" ht="15" hidden="false" customHeight="false" outlineLevel="0" collapsed="false">
      <c r="A21" s="12" t="n">
        <v>14</v>
      </c>
      <c r="B21" s="12" t="n">
        <v>5.12</v>
      </c>
      <c r="C21" s="13" t="n">
        <f aca="false">IF(AND(ISNUMBER(A21),ISNUMBER(A22),ISNUMBER(B21),ISNUMBER(B22)),(B22-B21)/(A22-A21),"")</f>
        <v>0.13</v>
      </c>
      <c r="D21" s="14" t="n">
        <f aca="false">IF(ISNUMBER(C21),(A21+A22)/2,"")</f>
        <v>14.5</v>
      </c>
      <c r="E21" s="13" t="n">
        <f aca="false">IF(AND(ISNUMBER(C21),ISNUMBER(C22)),(C22-C21)/(D22-D21),"")</f>
        <v>0</v>
      </c>
      <c r="F21" s="13" t="n">
        <f aca="false">IF(ISNUMBER(E21),(D21+D22)/2,"")</f>
        <v>15</v>
      </c>
      <c r="G21" s="14" t="n">
        <f aca="false">IF(ISNUMBER(C21),(B21+B22)/2,"")</f>
        <v>5.185</v>
      </c>
      <c r="H21" s="15" t="n">
        <f aca="false">IF(ISNUMBER(C21),IFERROR((Results!$C$6*(A22-A21)/1000/((Results!$C$5+D21)/1000))/(B22-B21),""),"")</f>
        <v>0.0194741966893866</v>
      </c>
      <c r="I21" s="15" t="n">
        <f aca="false">IF(ISNUMBER(H21),IF(G21&lt;8,H21,""),"")</f>
        <v>0.0194741966893866</v>
      </c>
    </row>
    <row r="22" customFormat="false" ht="15" hidden="false" customHeight="false" outlineLevel="0" collapsed="false">
      <c r="A22" s="12" t="n">
        <v>15</v>
      </c>
      <c r="B22" s="12" t="n">
        <v>5.25</v>
      </c>
      <c r="C22" s="13" t="n">
        <f aca="false">IF(AND(ISNUMBER(A22),ISNUMBER(A23),ISNUMBER(B22),ISNUMBER(B23)),(B23-B22)/(A23-A22),"")</f>
        <v>0.13</v>
      </c>
      <c r="D22" s="14" t="n">
        <f aca="false">IF(ISNUMBER(C22),(A22+A23)/2,"")</f>
        <v>15.5</v>
      </c>
      <c r="E22" s="13" t="n">
        <f aca="false">IF(AND(ISNUMBER(C22),ISNUMBER(C23)),(C23-C22)/(D23-D22),"")</f>
        <v>-0.0400000000000003</v>
      </c>
      <c r="F22" s="13" t="n">
        <f aca="false">IF(ISNUMBER(E22),(D22+D23)/2,"")</f>
        <v>15.875</v>
      </c>
      <c r="G22" s="14" t="n">
        <f aca="false">IF(ISNUMBER(C22),(B22+B23)/2,"")</f>
        <v>5.315</v>
      </c>
      <c r="H22" s="15" t="n">
        <f aca="false">IF(ISNUMBER(C22),IFERROR((Results!$C$6*(A23-A22)/1000/((Results!$C$5+D22)/1000))/(B23-B22),""),"")</f>
        <v>0.0189933523266857</v>
      </c>
      <c r="I22" s="15" t="n">
        <f aca="false">IF(ISNUMBER(H22),IF(G22&lt;8,H22,""),"")</f>
        <v>0.0189933523266857</v>
      </c>
    </row>
    <row r="23" customFormat="false" ht="15" hidden="false" customHeight="false" outlineLevel="0" collapsed="false">
      <c r="A23" s="12" t="n">
        <v>16</v>
      </c>
      <c r="B23" s="12" t="n">
        <v>5.38</v>
      </c>
      <c r="C23" s="13" t="n">
        <f aca="false">IF(AND(ISNUMBER(A23),ISNUMBER(A24),ISNUMBER(B23),ISNUMBER(B24)),(B24-B23)/(A24-A23),"")</f>
        <v>0.0999999999999996</v>
      </c>
      <c r="D23" s="14" t="n">
        <f aca="false">IF(ISNUMBER(C23),(A23+A24)/2,"")</f>
        <v>16.25</v>
      </c>
      <c r="E23" s="13" t="n">
        <f aca="false">IF(AND(ISNUMBER(C23),ISNUMBER(C24)),(C24-C23)/(D24-D23),"")</f>
        <v>0.120000000000001</v>
      </c>
      <c r="F23" s="13" t="n">
        <f aca="false">IF(ISNUMBER(E23),(D23+D24)/2,"")</f>
        <v>16.5</v>
      </c>
      <c r="G23" s="14" t="n">
        <f aca="false">IF(ISNUMBER(C23),(B23+B24)/2,"")</f>
        <v>5.405</v>
      </c>
      <c r="H23" s="15" t="n">
        <f aca="false">IF(ISNUMBER(C23),IFERROR((Results!$C$6*(A24-A23)/1000/((Results!$C$5+D23)/1000))/(B24-B23),""),"")</f>
        <v>0.0242424242424243</v>
      </c>
      <c r="I23" s="15" t="n">
        <f aca="false">IF(ISNUMBER(H23),IF(G23&lt;8,H23,""),"")</f>
        <v>0.0242424242424243</v>
      </c>
    </row>
    <row r="24" customFormat="false" ht="15" hidden="false" customHeight="false" outlineLevel="0" collapsed="false">
      <c r="A24" s="12" t="n">
        <v>16.5</v>
      </c>
      <c r="B24" s="12" t="n">
        <v>5.43</v>
      </c>
      <c r="C24" s="13" t="n">
        <f aca="false">IF(AND(ISNUMBER(A24),ISNUMBER(A25),ISNUMBER(B24),ISNUMBER(B25)),(B25-B24)/(A25-A24),"")</f>
        <v>0.16</v>
      </c>
      <c r="D24" s="14" t="n">
        <f aca="false">IF(ISNUMBER(C24),(A24+A25)/2,"")</f>
        <v>16.75</v>
      </c>
      <c r="E24" s="13" t="n">
        <f aca="false">IF(AND(ISNUMBER(C24),ISNUMBER(C25)),(C25-C24)/(D25-D24),"")</f>
        <v>0.120000000000001</v>
      </c>
      <c r="F24" s="13" t="n">
        <f aca="false">IF(ISNUMBER(E24),(D24+D25)/2,"")</f>
        <v>17</v>
      </c>
      <c r="G24" s="14" t="n">
        <f aca="false">IF(ISNUMBER(C24),(B24+B25)/2,"")</f>
        <v>5.47</v>
      </c>
      <c r="H24" s="15" t="n">
        <f aca="false">IF(ISNUMBER(C24),IFERROR((Results!$C$6*(A25-A24)/1000/((Results!$C$5+D24)/1000))/(B25-B24),""),"")</f>
        <v>0.0149700598802395</v>
      </c>
      <c r="I24" s="15" t="n">
        <f aca="false">IF(ISNUMBER(H24),IF(G24&lt;8,H24,""),"")</f>
        <v>0.0149700598802395</v>
      </c>
    </row>
    <row r="25" customFormat="false" ht="15" hidden="false" customHeight="false" outlineLevel="0" collapsed="false">
      <c r="A25" s="12" t="n">
        <v>17</v>
      </c>
      <c r="B25" s="12" t="n">
        <v>5.51</v>
      </c>
      <c r="C25" s="13" t="n">
        <f aca="false">IF(AND(ISNUMBER(A25),ISNUMBER(A26),ISNUMBER(B25),ISNUMBER(B26)),(B26-B25)/(A26-A25),"")</f>
        <v>0.220000000000001</v>
      </c>
      <c r="D25" s="14" t="n">
        <f aca="false">IF(ISNUMBER(C25),(A25+A26)/2,"")</f>
        <v>17.25</v>
      </c>
      <c r="E25" s="13" t="n">
        <f aca="false">IF(AND(ISNUMBER(C25),ISNUMBER(C26)),(C26-C25)/(D26-D25),"")</f>
        <v>-0.120000000000001</v>
      </c>
      <c r="F25" s="13" t="n">
        <f aca="false">IF(ISNUMBER(E25),(D25+D26)/2,"")</f>
        <v>17.5</v>
      </c>
      <c r="G25" s="14" t="n">
        <f aca="false">IF(ISNUMBER(C25),(B25+B26)/2,"")</f>
        <v>5.565</v>
      </c>
      <c r="H25" s="15" t="n">
        <f aca="false">IF(ISNUMBER(C25),IFERROR((Results!$C$6*(A26-A25)/1000/((Results!$C$5+D25)/1000))/(B26-B25),""),"")</f>
        <v>0.0107584722969338</v>
      </c>
      <c r="I25" s="15" t="n">
        <f aca="false">IF(ISNUMBER(H25),IF(G25&lt;8,H25,""),"")</f>
        <v>0.0107584722969338</v>
      </c>
    </row>
    <row r="26" customFormat="false" ht="15" hidden="false" customHeight="false" outlineLevel="0" collapsed="false">
      <c r="A26" s="12" t="n">
        <v>17.5</v>
      </c>
      <c r="B26" s="12" t="n">
        <v>5.62</v>
      </c>
      <c r="C26" s="13" t="n">
        <f aca="false">IF(AND(ISNUMBER(A26),ISNUMBER(A27),ISNUMBER(B26),ISNUMBER(B27)),(B27-B26)/(A27-A26),"")</f>
        <v>0.16</v>
      </c>
      <c r="D26" s="14" t="n">
        <f aca="false">IF(ISNUMBER(C26),(A26+A27)/2,"")</f>
        <v>17.75</v>
      </c>
      <c r="E26" s="13" t="n">
        <f aca="false">IF(AND(ISNUMBER(C26),ISNUMBER(C27)),(C27-C26)/(D27-D26),"")</f>
        <v>0.16</v>
      </c>
      <c r="F26" s="13" t="n">
        <f aca="false">IF(ISNUMBER(E26),(D26+D27)/2,"")</f>
        <v>18</v>
      </c>
      <c r="G26" s="14" t="n">
        <f aca="false">IF(ISNUMBER(C26),(B26+B27)/2,"")</f>
        <v>5.66</v>
      </c>
      <c r="H26" s="15" t="n">
        <f aca="false">IF(ISNUMBER(C26),IFERROR((Results!$C$6*(A27-A26)/1000/((Results!$C$5+D26)/1000))/(B27-B26),""),"")</f>
        <v>0.0146198830409357</v>
      </c>
      <c r="I26" s="15" t="n">
        <f aca="false">IF(ISNUMBER(H26),IF(G26&lt;8,H26,""),"")</f>
        <v>0.0146198830409357</v>
      </c>
    </row>
    <row r="27" customFormat="false" ht="15" hidden="false" customHeight="false" outlineLevel="0" collapsed="false">
      <c r="A27" s="12" t="n">
        <v>18</v>
      </c>
      <c r="B27" s="12" t="n">
        <v>5.7</v>
      </c>
      <c r="C27" s="13" t="n">
        <f aca="false">IF(AND(ISNUMBER(A27),ISNUMBER(A28),ISNUMBER(B27),ISNUMBER(B28)),(B28-B27)/(A28-A27),"")</f>
        <v>0.24</v>
      </c>
      <c r="D27" s="14" t="n">
        <f aca="false">IF(ISNUMBER(C27),(A27+A28)/2,"")</f>
        <v>18.25</v>
      </c>
      <c r="E27" s="13" t="n">
        <f aca="false">IF(AND(ISNUMBER(C27),ISNUMBER(C28)),(C28-C27)/(D28-D27),"")</f>
        <v>0.439999999999998</v>
      </c>
      <c r="F27" s="13" t="n">
        <f aca="false">IF(ISNUMBER(E27),(D27+D28)/2,"")</f>
        <v>18.5</v>
      </c>
      <c r="G27" s="14" t="n">
        <f aca="false">IF(ISNUMBER(C27),(B27+B28)/2,"")</f>
        <v>5.76</v>
      </c>
      <c r="H27" s="15" t="n">
        <f aca="false">IF(ISNUMBER(C27),IFERROR((Results!$C$6*(A28-A27)/1000/((Results!$C$5+D27)/1000))/(B28-B27),""),"")</f>
        <v>0.00963391136801541</v>
      </c>
      <c r="I27" s="15" t="n">
        <f aca="false">IF(ISNUMBER(H27),IF(G27&lt;8,H27,""),"")</f>
        <v>0.00963391136801541</v>
      </c>
    </row>
    <row r="28" customFormat="false" ht="15" hidden="false" customHeight="false" outlineLevel="0" collapsed="false">
      <c r="A28" s="12" t="n">
        <v>18.5</v>
      </c>
      <c r="B28" s="12" t="n">
        <v>5.82</v>
      </c>
      <c r="C28" s="13" t="n">
        <f aca="false">IF(AND(ISNUMBER(A28),ISNUMBER(A29),ISNUMBER(B28),ISNUMBER(B29)),(B29-B28)/(A29-A28),"")</f>
        <v>0.459999999999999</v>
      </c>
      <c r="D28" s="14" t="n">
        <f aca="false">IF(ISNUMBER(C28),(A28+A29)/2,"")</f>
        <v>18.75</v>
      </c>
      <c r="E28" s="13" t="n">
        <f aca="false">IF(AND(ISNUMBER(C28),ISNUMBER(C29)),(C29-C28)/(D29-D28),"")</f>
        <v>0.240000000000002</v>
      </c>
      <c r="F28" s="13" t="n">
        <f aca="false">IF(ISNUMBER(E28),(D28+D29)/2,"")</f>
        <v>19</v>
      </c>
      <c r="G28" s="14" t="n">
        <f aca="false">IF(ISNUMBER(C28),(B28+B29)/2,"")</f>
        <v>5.935</v>
      </c>
      <c r="H28" s="15" t="n">
        <f aca="false">IF(ISNUMBER(C28),IFERROR((Results!$C$6*(A29-A28)/1000/((Results!$C$5+D28)/1000))/(B29-B28),""),"")</f>
        <v>0.00496894409937889</v>
      </c>
      <c r="I28" s="15" t="n">
        <f aca="false">IF(ISNUMBER(H28),IF(G28&lt;8,H28,""),"")</f>
        <v>0.00496894409937889</v>
      </c>
    </row>
    <row r="29" customFormat="false" ht="15" hidden="false" customHeight="false" outlineLevel="0" collapsed="false">
      <c r="A29" s="12" t="n">
        <v>19</v>
      </c>
      <c r="B29" s="12" t="n">
        <v>6.05</v>
      </c>
      <c r="C29" s="13" t="n">
        <f aca="false">IF(AND(ISNUMBER(A29),ISNUMBER(A30),ISNUMBER(B29),ISNUMBER(B30)),(B30-B29)/(A30-A29),"")</f>
        <v>0.58</v>
      </c>
      <c r="D29" s="14" t="n">
        <f aca="false">IF(ISNUMBER(C29),(A29+A30)/2,"")</f>
        <v>19.25</v>
      </c>
      <c r="E29" s="13" t="n">
        <f aca="false">IF(AND(ISNUMBER(C29),ISNUMBER(C30)),(C30-C29)/(D30-D29),"")</f>
        <v>8.16</v>
      </c>
      <c r="F29" s="13" t="n">
        <f aca="false">IF(ISNUMBER(E29),(D29+D30)/2,"")</f>
        <v>19.5</v>
      </c>
      <c r="G29" s="14" t="n">
        <f aca="false">IF(ISNUMBER(C29),(B29+B30)/2,"")</f>
        <v>6.195</v>
      </c>
      <c r="H29" s="15" t="n">
        <f aca="false">IF(ISNUMBER(C29),IFERROR((Results!$C$6*(A30-A29)/1000/((Results!$C$5+D29)/1000))/(B30-B29),""),"")</f>
        <v>0.00389635690629262</v>
      </c>
      <c r="I29" s="15" t="n">
        <f aca="false">IF(ISNUMBER(H29),IF(G29&lt;8,H29,""),"")</f>
        <v>0.00389635690629262</v>
      </c>
    </row>
    <row r="30" customFormat="false" ht="15" hidden="false" customHeight="false" outlineLevel="0" collapsed="false">
      <c r="A30" s="12" t="n">
        <v>19.5</v>
      </c>
      <c r="B30" s="12" t="n">
        <v>6.34</v>
      </c>
      <c r="C30" s="13" t="n">
        <f aca="false">IF(AND(ISNUMBER(A30),ISNUMBER(A31),ISNUMBER(B30),ISNUMBER(B31)),(B31-B30)/(A31-A30),"")</f>
        <v>4.66</v>
      </c>
      <c r="D30" s="14" t="n">
        <f aca="false">IF(ISNUMBER(C30),(A30+A31)/2,"")</f>
        <v>19.75</v>
      </c>
      <c r="E30" s="13" t="n">
        <f aca="false">IF(AND(ISNUMBER(C30),ISNUMBER(C31)),(C31-C30)/(D31-D30),"")</f>
        <v>0.0799999999999983</v>
      </c>
      <c r="F30" s="13" t="n">
        <f aca="false">IF(ISNUMBER(E30),(D30+D31)/2,"")</f>
        <v>20</v>
      </c>
      <c r="G30" s="14" t="n">
        <f aca="false">IF(ISNUMBER(C30),(B30+B31)/2,"")</f>
        <v>7.505</v>
      </c>
      <c r="H30" s="15" t="n">
        <f aca="false">IF(ISNUMBER(C30),IFERROR((Results!$C$6*(A31-A30)/1000/((Results!$C$5+D30)/1000))/(B31-B30),""),"")</f>
        <v>0.000479535809336562</v>
      </c>
      <c r="I30" s="15" t="n">
        <f aca="false">IF(ISNUMBER(H30),IF(G30&lt;8,H30,""),"")</f>
        <v>0.000479535809336562</v>
      </c>
    </row>
    <row r="31" customFormat="false" ht="15" hidden="false" customHeight="false" outlineLevel="0" collapsed="false">
      <c r="A31" s="12" t="n">
        <v>20</v>
      </c>
      <c r="B31" s="12" t="n">
        <v>8.67</v>
      </c>
      <c r="C31" s="13" t="n">
        <f aca="false">IF(AND(ISNUMBER(A31),ISNUMBER(A32),ISNUMBER(B31),ISNUMBER(B32)),(B32-B31)/(A32-A31),"")</f>
        <v>4.7</v>
      </c>
      <c r="D31" s="14" t="n">
        <f aca="false">IF(ISNUMBER(C31),(A31+A32)/2,"")</f>
        <v>20.25</v>
      </c>
      <c r="E31" s="13" t="n">
        <f aca="false">IF(AND(ISNUMBER(C31),ISNUMBER(C32)),(C32-C31)/(D32-D31),"")</f>
        <v>-8.16</v>
      </c>
      <c r="F31" s="13" t="n">
        <f aca="false">IF(ISNUMBER(E31),(D31+D32)/2,"")</f>
        <v>20.5</v>
      </c>
      <c r="G31" s="14" t="n">
        <f aca="false">IF(ISNUMBER(C31),(B31+B32)/2,"")</f>
        <v>9.845</v>
      </c>
      <c r="H31" s="15" t="n">
        <f aca="false">IF(ISNUMBER(C31),IFERROR((Results!$C$6*(A32-A31)/1000/((Results!$C$5+D31)/1000))/(B32-B31),""),"")</f>
        <v>0.000470201010932174</v>
      </c>
      <c r="I31" s="15" t="str">
        <f aca="false">IF(ISNUMBER(H31),IF(G31&lt;8,H31,""),"")</f>
        <v/>
      </c>
    </row>
    <row r="32" customFormat="false" ht="15" hidden="false" customHeight="false" outlineLevel="0" collapsed="false">
      <c r="A32" s="12" t="n">
        <v>20.5</v>
      </c>
      <c r="B32" s="12" t="n">
        <v>11.02</v>
      </c>
      <c r="C32" s="13" t="n">
        <f aca="false">IF(AND(ISNUMBER(A32),ISNUMBER(A33),ISNUMBER(B32),ISNUMBER(B33)),(B33-B32)/(A33-A32),"")</f>
        <v>0.620000000000001</v>
      </c>
      <c r="D32" s="14" t="n">
        <f aca="false">IF(ISNUMBER(C32),(A32+A33)/2,"")</f>
        <v>20.75</v>
      </c>
      <c r="E32" s="13" t="n">
        <f aca="false">IF(AND(ISNUMBER(C32),ISNUMBER(C33)),(C33-C32)/(D33-D32),"")</f>
        <v>-0.640000000000001</v>
      </c>
      <c r="F32" s="13" t="n">
        <f aca="false">IF(ISNUMBER(E32),(D32+D33)/2,"")</f>
        <v>21</v>
      </c>
      <c r="G32" s="14" t="n">
        <f aca="false">IF(ISNUMBER(C32),(B32+B33)/2,"")</f>
        <v>11.175</v>
      </c>
      <c r="H32" s="15" t="n">
        <f aca="false">IF(ISNUMBER(C32),IFERROR((Results!$C$6*(A33-A32)/1000/((Results!$C$5+D32)/1000))/(B33-B32),""),"")</f>
        <v>0.00352547153181738</v>
      </c>
      <c r="I32" s="15" t="str">
        <f aca="false">IF(ISNUMBER(H32),IF(G32&lt;8,H32,""),"")</f>
        <v/>
      </c>
    </row>
    <row r="33" customFormat="false" ht="15" hidden="false" customHeight="false" outlineLevel="0" collapsed="false">
      <c r="A33" s="12" t="n">
        <v>21</v>
      </c>
      <c r="B33" s="12" t="n">
        <v>11.33</v>
      </c>
      <c r="C33" s="13" t="n">
        <f aca="false">IF(AND(ISNUMBER(A33),ISNUMBER(A34),ISNUMBER(B33),ISNUMBER(B34)),(B34-B33)/(A34-A33),"")</f>
        <v>0.300000000000001</v>
      </c>
      <c r="D33" s="14" t="n">
        <f aca="false">IF(ISNUMBER(C33),(A33+A34)/2,"")</f>
        <v>21.25</v>
      </c>
      <c r="E33" s="13" t="n">
        <f aca="false">IF(AND(ISNUMBER(C33),ISNUMBER(C34)),(C34-C33)/(D34-D33),"")</f>
        <v>-0.120000000000005</v>
      </c>
      <c r="F33" s="13" t="n">
        <f aca="false">IF(ISNUMBER(E33),(D33+D34)/2,"")</f>
        <v>21.5</v>
      </c>
      <c r="G33" s="14" t="n">
        <f aca="false">IF(ISNUMBER(C33),(B33+B34)/2,"")</f>
        <v>11.405</v>
      </c>
      <c r="H33" s="15" t="n">
        <f aca="false">IF(ISNUMBER(C33),IFERROR((Results!$C$6*(A34-A33)/1000/((Results!$C$5+D33)/1000))/(B34-B33),""),"")</f>
        <v>0.00720720720720719</v>
      </c>
      <c r="I33" s="15" t="str">
        <f aca="false">IF(ISNUMBER(H33),IF(G33&lt;8,H33,""),"")</f>
        <v/>
      </c>
    </row>
    <row r="34" customFormat="false" ht="15" hidden="false" customHeight="false" outlineLevel="0" collapsed="false">
      <c r="A34" s="12" t="n">
        <v>21.5</v>
      </c>
      <c r="B34" s="12" t="n">
        <v>11.48</v>
      </c>
      <c r="C34" s="13" t="n">
        <f aca="false">IF(AND(ISNUMBER(A34),ISNUMBER(A35),ISNUMBER(B34),ISNUMBER(B35)),(B35-B34)/(A35-A34),"")</f>
        <v>0.239999999999998</v>
      </c>
      <c r="D34" s="14" t="n">
        <f aca="false">IF(ISNUMBER(C34),(A34+A35)/2,"")</f>
        <v>21.75</v>
      </c>
      <c r="E34" s="13" t="n">
        <f aca="false">IF(AND(ISNUMBER(C34),ISNUMBER(C35)),(C35-C34)/(D35-D34),"")</f>
        <v>7.105427357601E-015</v>
      </c>
      <c r="F34" s="13" t="n">
        <f aca="false">IF(ISNUMBER(E34),(D34+D35)/2,"")</f>
        <v>22</v>
      </c>
      <c r="G34" s="14" t="n">
        <f aca="false">IF(ISNUMBER(C34),(B34+B35)/2,"")</f>
        <v>11.54</v>
      </c>
      <c r="H34" s="15" t="n">
        <f aca="false">IF(ISNUMBER(C34),IFERROR((Results!$C$6*(A35-A34)/1000/((Results!$C$5+D34)/1000))/(B35-B34),""),"")</f>
        <v>0.00891265597147956</v>
      </c>
      <c r="I34" s="15" t="str">
        <f aca="false">IF(ISNUMBER(H34),IF(G34&lt;8,H34,""),"")</f>
        <v/>
      </c>
    </row>
    <row r="35" customFormat="false" ht="15" hidden="false" customHeight="false" outlineLevel="0" collapsed="false">
      <c r="A35" s="12" t="n">
        <v>22</v>
      </c>
      <c r="B35" s="12" t="n">
        <v>11.6</v>
      </c>
      <c r="C35" s="13" t="n">
        <f aca="false">IF(AND(ISNUMBER(A35),ISNUMBER(A36),ISNUMBER(B35),ISNUMBER(B36)),(B36-B35)/(A36-A35),"")</f>
        <v>0.240000000000002</v>
      </c>
      <c r="D35" s="14" t="n">
        <f aca="false">IF(ISNUMBER(C35),(A35+A36)/2,"")</f>
        <v>22.25</v>
      </c>
      <c r="E35" s="13" t="n">
        <f aca="false">IF(AND(ISNUMBER(C35),ISNUMBER(C36)),(C36-C35)/(D36-D35),"")</f>
        <v>-0.120000000000005</v>
      </c>
      <c r="F35" s="13" t="n">
        <f aca="false">IF(ISNUMBER(E35),(D35+D36)/2,"")</f>
        <v>22.5</v>
      </c>
      <c r="G35" s="14" t="n">
        <f aca="false">IF(ISNUMBER(C35),(B35+B36)/2,"")</f>
        <v>11.66</v>
      </c>
      <c r="H35" s="15" t="n">
        <f aca="false">IF(ISNUMBER(C35),IFERROR((Results!$C$6*(A36-A35)/1000/((Results!$C$5+D35)/1000))/(B36-B35),""),"")</f>
        <v>0.00881834215167541</v>
      </c>
      <c r="I35" s="15" t="str">
        <f aca="false">IF(ISNUMBER(H35),IF(G35&lt;8,H35,""),"")</f>
        <v/>
      </c>
    </row>
    <row r="36" customFormat="false" ht="15" hidden="false" customHeight="false" outlineLevel="0" collapsed="false">
      <c r="A36" s="12" t="n">
        <v>22.5</v>
      </c>
      <c r="B36" s="12" t="n">
        <v>11.72</v>
      </c>
      <c r="C36" s="13" t="n">
        <f aca="false">IF(AND(ISNUMBER(A36),ISNUMBER(A37),ISNUMBER(B36),ISNUMBER(B37)),(B37-B36)/(A37-A36),"")</f>
        <v>0.18</v>
      </c>
      <c r="D36" s="14" t="n">
        <f aca="false">IF(ISNUMBER(C36),(A36+A37)/2,"")</f>
        <v>22.75</v>
      </c>
      <c r="E36" s="13" t="n">
        <f aca="false">IF(AND(ISNUMBER(C36),ISNUMBER(C37)),(C37-C36)/(D37-D36),"")</f>
        <v>-0.200000000000003</v>
      </c>
      <c r="F36" s="13" t="n">
        <f aca="false">IF(ISNUMBER(E36),(D36+D37)/2,"")</f>
        <v>23</v>
      </c>
      <c r="G36" s="14" t="n">
        <f aca="false">IF(ISNUMBER(C36),(B36+B37)/2,"")</f>
        <v>11.765</v>
      </c>
      <c r="H36" s="15" t="n">
        <f aca="false">IF(ISNUMBER(C36),IFERROR((Results!$C$6*(A37-A36)/1000/((Results!$C$5+D36)/1000))/(B37-B36),""),"")</f>
        <v>0.0116346713205352</v>
      </c>
      <c r="I36" s="15" t="str">
        <f aca="false">IF(ISNUMBER(H36),IF(G36&lt;8,H36,""),"")</f>
        <v/>
      </c>
    </row>
    <row r="37" customFormat="false" ht="15" hidden="false" customHeight="false" outlineLevel="0" collapsed="false">
      <c r="A37" s="12" t="n">
        <v>23</v>
      </c>
      <c r="B37" s="12" t="n">
        <v>11.81</v>
      </c>
      <c r="C37" s="13" t="n">
        <f aca="false">IF(AND(ISNUMBER(A37),ISNUMBER(A38),ISNUMBER(B37),ISNUMBER(B38)),(B38-B37)/(A38-A37),"")</f>
        <v>0.0799999999999983</v>
      </c>
      <c r="D37" s="14" t="n">
        <f aca="false">IF(ISNUMBER(C37),(A37+A38)/2,"")</f>
        <v>23.25</v>
      </c>
      <c r="E37" s="13" t="n">
        <f aca="false">IF(AND(ISNUMBER(C37),ISNUMBER(C38)),(C38-C37)/(D38-D37),"")</f>
        <v>0.0400000000000063</v>
      </c>
      <c r="F37" s="13" t="n">
        <f aca="false">IF(ISNUMBER(E37),(D37+D38)/2,"")</f>
        <v>23.5</v>
      </c>
      <c r="G37" s="14" t="n">
        <f aca="false">IF(ISNUMBER(C37),(B37+B38)/2,"")</f>
        <v>11.83</v>
      </c>
      <c r="H37" s="15" t="n">
        <f aca="false">IF(ISNUMBER(C37),IFERROR((Results!$C$6*(A38-A37)/1000/((Results!$C$5+D37)/1000))/(B38-B37),""),"")</f>
        <v>0.0259067357512959</v>
      </c>
      <c r="I37" s="15" t="str">
        <f aca="false">IF(ISNUMBER(H37),IF(G37&lt;8,H37,""),"")</f>
        <v/>
      </c>
    </row>
    <row r="38" customFormat="false" ht="15" hidden="false" customHeight="false" outlineLevel="0" collapsed="false">
      <c r="A38" s="12" t="n">
        <v>23.5</v>
      </c>
      <c r="B38" s="12" t="n">
        <v>11.85</v>
      </c>
      <c r="C38" s="13" t="n">
        <f aca="false">IF(AND(ISNUMBER(A38),ISNUMBER(A39),ISNUMBER(B38),ISNUMBER(B39)),(B39-B38)/(A39-A38),"")</f>
        <v>0.100000000000001</v>
      </c>
      <c r="D38" s="14" t="n">
        <f aca="false">IF(ISNUMBER(C38),(A38+A39)/2,"")</f>
        <v>23.75</v>
      </c>
      <c r="E38" s="13" t="n">
        <f aca="false">IF(AND(ISNUMBER(C38),ISNUMBER(C39)),(C39-C38)/(D39-D38),"")</f>
        <v>0.28571428571427</v>
      </c>
      <c r="F38" s="13" t="n">
        <f aca="false">IF(ISNUMBER(E38),(D38+D39)/2,"")</f>
        <v>23.925</v>
      </c>
      <c r="G38" s="14" t="n">
        <f aca="false">IF(ISNUMBER(C38),(B38+B39)/2,"")</f>
        <v>11.875</v>
      </c>
      <c r="H38" s="15" t="n">
        <f aca="false">IF(ISNUMBER(C38),IFERROR((Results!$C$6*(A39-A38)/1000/((Results!$C$5+D38)/1000))/(B39-B38),""),"")</f>
        <v>0.0205128205128202</v>
      </c>
      <c r="I38" s="15" t="str">
        <f aca="false">IF(ISNUMBER(H38),IF(G38&lt;8,H38,""),"")</f>
        <v/>
      </c>
    </row>
    <row r="39" customFormat="false" ht="15" hidden="false" customHeight="false" outlineLevel="0" collapsed="false">
      <c r="A39" s="12" t="n">
        <v>24</v>
      </c>
      <c r="B39" s="12" t="n">
        <v>11.9</v>
      </c>
      <c r="C39" s="13" t="n">
        <f aca="false">IF(AND(ISNUMBER(A39),ISNUMBER(A40),ISNUMBER(B39),ISNUMBER(B40)),(B40-B39)/(A40-A39),"")</f>
        <v>0.199999999999996</v>
      </c>
      <c r="D39" s="14" t="n">
        <f aca="false">IF(ISNUMBER(C39),(A39+A40)/2,"")</f>
        <v>24.1</v>
      </c>
      <c r="E39" s="13" t="n">
        <f aca="false">IF(AND(ISNUMBER(C39),ISNUMBER(C40)),(C40-C39)/(D40-D39),"")</f>
        <v>-0.499999999999957</v>
      </c>
      <c r="F39" s="13" t="n">
        <f aca="false">IF(ISNUMBER(E39),(D39+D40)/2,"")</f>
        <v>24.2</v>
      </c>
      <c r="G39" s="14" t="n">
        <f aca="false">IF(ISNUMBER(C39),(B39+B40)/2,"")</f>
        <v>11.92</v>
      </c>
      <c r="H39" s="15" t="n">
        <f aca="false">IF(ISNUMBER(C39),IFERROR((Results!$C$6*(A40-A39)/1000/((Results!$C$5+D39)/1000))/(B40-B39),""),"")</f>
        <v>0.0101832993890022</v>
      </c>
      <c r="I39" s="15" t="str">
        <f aca="false">IF(ISNUMBER(H39),IF(G39&lt;8,H39,""),"")</f>
        <v/>
      </c>
    </row>
    <row r="40" customFormat="false" ht="15" hidden="false" customHeight="false" outlineLevel="0" collapsed="false">
      <c r="A40" s="12" t="n">
        <v>24.2</v>
      </c>
      <c r="B40" s="12" t="n">
        <v>11.94</v>
      </c>
      <c r="C40" s="13" t="n">
        <f aca="false">IF(AND(ISNUMBER(A40),ISNUMBER(A41),ISNUMBER(B40),ISNUMBER(B41)),(B41-B40)/(A41-A40),"")</f>
        <v>0.100000000000007</v>
      </c>
      <c r="D40" s="14" t="n">
        <f aca="false">IF(ISNUMBER(C40),(A40+A41)/2,"")</f>
        <v>24.3</v>
      </c>
      <c r="E40" s="13" t="n">
        <f aca="false">IF(AND(ISNUMBER(C40),ISNUMBER(C41)),(C41-C40)/(D41-D40),"")</f>
        <v>-0.500000000000028</v>
      </c>
      <c r="F40" s="13" t="n">
        <f aca="false">IF(ISNUMBER(E40),(D40+D41)/2,"")</f>
        <v>24.4</v>
      </c>
      <c r="G40" s="14" t="n">
        <f aca="false">IF(ISNUMBER(C40),(B40+B41)/2,"")</f>
        <v>11.95</v>
      </c>
      <c r="H40" s="15" t="n">
        <f aca="false">IF(ISNUMBER(C40),IFERROR((Results!$C$6*(A41-A40)/1000/((Results!$C$5+D40)/1000))/(B41-B40),""),"")</f>
        <v>0.0202839756592278</v>
      </c>
      <c r="I40" s="15" t="str">
        <f aca="false">IF(ISNUMBER(H40),IF(G40&lt;8,H40,""),"")</f>
        <v/>
      </c>
    </row>
    <row r="41" customFormat="false" ht="15" hidden="false" customHeight="false" outlineLevel="0" collapsed="false">
      <c r="A41" s="12" t="n">
        <v>24.4</v>
      </c>
      <c r="B41" s="12" t="n">
        <v>11.96</v>
      </c>
      <c r="C41" s="13" t="n">
        <f aca="false">IF(AND(ISNUMBER(A41),ISNUMBER(A42),ISNUMBER(B41),ISNUMBER(B42)),(B42-B41)/(A42-A41),"")</f>
        <v>0</v>
      </c>
      <c r="D41" s="14" t="n">
        <f aca="false">IF(ISNUMBER(C41),(A41+A42)/2,"")</f>
        <v>24.5</v>
      </c>
      <c r="E41" s="13" t="n">
        <f aca="false">IF(AND(ISNUMBER(C41),ISNUMBER(C42)),(C42-C41)/(D42-D41),"")</f>
        <v>0.749999999999976</v>
      </c>
      <c r="F41" s="13" t="n">
        <f aca="false">IF(ISNUMBER(E41),(D41+D42)/2,"")</f>
        <v>24.6</v>
      </c>
      <c r="G41" s="14" t="n">
        <f aca="false">IF(ISNUMBER(C41),(B41+B42)/2,"")</f>
        <v>11.96</v>
      </c>
      <c r="H41" s="15" t="str">
        <f aca="false">IF(ISNUMBER(C41),IFERROR((Results!$C$6*(A42-A41)/1000/((Results!$C$5+D41)/1000))/(B42-B41),""),"")</f>
        <v/>
      </c>
      <c r="I41" s="15" t="str">
        <f aca="false">IF(ISNUMBER(H41),IF(G41&lt;8,H41,""),"")</f>
        <v/>
      </c>
    </row>
    <row r="42" customFormat="false" ht="15" hidden="false" customHeight="false" outlineLevel="0" collapsed="false">
      <c r="A42" s="12" t="n">
        <v>24.6</v>
      </c>
      <c r="B42" s="12" t="n">
        <v>11.96</v>
      </c>
      <c r="C42" s="13" t="n">
        <f aca="false">IF(AND(ISNUMBER(A42),ISNUMBER(A43),ISNUMBER(B42),ISNUMBER(B43)),(B43-B42)/(A43-A42),"")</f>
        <v>0.149999999999997</v>
      </c>
      <c r="D42" s="14" t="n">
        <f aca="false">IF(ISNUMBER(C42),(A42+A43)/2,"")</f>
        <v>24.7</v>
      </c>
      <c r="E42" s="13" t="n">
        <f aca="false">IF(AND(ISNUMBER(C42),ISNUMBER(C43)),(C43-C42)/(D43-D42),"")</f>
        <v>0</v>
      </c>
      <c r="F42" s="13" t="n">
        <f aca="false">IF(ISNUMBER(E42),(D42+D43)/2,"")</f>
        <v>24.8</v>
      </c>
      <c r="G42" s="14" t="n">
        <f aca="false">IF(ISNUMBER(C42),(B42+B43)/2,"")</f>
        <v>11.975</v>
      </c>
      <c r="H42" s="15" t="n">
        <f aca="false">IF(ISNUMBER(C42),IFERROR((Results!$C$6*(A43-A42)/1000/((Results!$C$5+D42)/1000))/(B43-B42),""),"")</f>
        <v>0.0134138162307179</v>
      </c>
      <c r="I42" s="15" t="str">
        <f aca="false">IF(ISNUMBER(H42),IF(G42&lt;8,H42,""),"")</f>
        <v/>
      </c>
    </row>
    <row r="43" customFormat="false" ht="15" hidden="false" customHeight="false" outlineLevel="0" collapsed="false">
      <c r="A43" s="12" t="n">
        <v>24.8</v>
      </c>
      <c r="B43" s="12" t="n">
        <v>11.99</v>
      </c>
      <c r="C43" s="13" t="n">
        <f aca="false">IF(AND(ISNUMBER(A43),ISNUMBER(A44),ISNUMBER(B43),ISNUMBER(B44)),(B44-B43)/(A44-A43),"")</f>
        <v>0.149999999999997</v>
      </c>
      <c r="D43" s="14" t="n">
        <f aca="false">IF(ISNUMBER(C43),(A43+A44)/2,"")</f>
        <v>24.9</v>
      </c>
      <c r="E43" s="13" t="n">
        <f aca="false">IF(AND(ISNUMBER(C43),ISNUMBER(C44)),(C44-C43)/(D44-D43),"")</f>
        <v>-0.999999999999968</v>
      </c>
      <c r="F43" s="13" t="n">
        <f aca="false">IF(ISNUMBER(E43),(D43+D44)/2,"")</f>
        <v>25</v>
      </c>
      <c r="G43" s="14" t="n">
        <f aca="false">IF(ISNUMBER(C43),(B43+B44)/2,"")</f>
        <v>12.005</v>
      </c>
      <c r="H43" s="15" t="n">
        <f aca="false">IF(ISNUMBER(C43),IFERROR((Results!$C$6*(A44-A43)/1000/((Results!$C$5+D43)/1000))/(B44-B43),""),"")</f>
        <v>0.013360053440214</v>
      </c>
      <c r="I43" s="15" t="str">
        <f aca="false">IF(ISNUMBER(H43),IF(G43&lt;8,H43,""),"")</f>
        <v/>
      </c>
    </row>
    <row r="44" customFormat="false" ht="15" hidden="false" customHeight="false" outlineLevel="0" collapsed="false">
      <c r="A44" s="12" t="n">
        <v>25</v>
      </c>
      <c r="B44" s="12" t="n">
        <v>12.02</v>
      </c>
      <c r="C44" s="13" t="n">
        <f aca="false">IF(AND(ISNUMBER(A44),ISNUMBER(A45),ISNUMBER(B44),ISNUMBER(B45)),(B45-B44)/(A45-A44),"")</f>
        <v>-0.0499999999999991</v>
      </c>
      <c r="D44" s="14" t="n">
        <f aca="false">IF(ISNUMBER(C44),(A44+A45)/2,"")</f>
        <v>25.1</v>
      </c>
      <c r="E44" s="13" t="n">
        <f aca="false">IF(AND(ISNUMBER(C44),ISNUMBER(C45)),(C45-C44)/(D45-D44),"")</f>
        <v>0.250000000000001</v>
      </c>
      <c r="F44" s="13" t="n">
        <f aca="false">IF(ISNUMBER(E44),(D44+D45)/2,"")</f>
        <v>25.2</v>
      </c>
      <c r="G44" s="14" t="n">
        <f aca="false">IF(ISNUMBER(C44),(B44+B45)/2,"")</f>
        <v>12.015</v>
      </c>
      <c r="H44" s="15" t="n">
        <f aca="false">IF(ISNUMBER(C44),IFERROR((Results!$C$6*(A45-A44)/1000/((Results!$C$5+D44)/1000))/(B45-B44),""),"")</f>
        <v>-0.0399201596806394</v>
      </c>
      <c r="I44" s="15" t="str">
        <f aca="false">IF(ISNUMBER(H44),IF(G44&lt;8,H44,""),"")</f>
        <v/>
      </c>
    </row>
    <row r="45" customFormat="false" ht="15" hidden="false" customHeight="false" outlineLevel="0" collapsed="false">
      <c r="A45" s="12" t="n">
        <v>25.2</v>
      </c>
      <c r="B45" s="12" t="n">
        <v>12.01</v>
      </c>
      <c r="C45" s="13" t="n">
        <f aca="false">IF(AND(ISNUMBER(A45),ISNUMBER(A46),ISNUMBER(B45),ISNUMBER(B46)),(B46-B45)/(A46-A45),"")</f>
        <v>0</v>
      </c>
      <c r="D45" s="14" t="n">
        <f aca="false">IF(ISNUMBER(C45),(A45+A46)/2,"")</f>
        <v>25.3</v>
      </c>
      <c r="E45" s="13" t="n">
        <f aca="false">IF(AND(ISNUMBER(C45),ISNUMBER(C46)),(C46-C45)/(D46-D45),"")</f>
        <v>0.999999999999995</v>
      </c>
      <c r="F45" s="13" t="n">
        <f aca="false">IF(ISNUMBER(E45),(D45+D46)/2,"")</f>
        <v>25.4</v>
      </c>
      <c r="G45" s="14" t="n">
        <f aca="false">IF(ISNUMBER(C45),(B45+B46)/2,"")</f>
        <v>12.01</v>
      </c>
      <c r="H45" s="15" t="str">
        <f aca="false">IF(ISNUMBER(C45),IFERROR((Results!$C$6*(A46-A45)/1000/((Results!$C$5+D45)/1000))/(B46-B45),""),"")</f>
        <v/>
      </c>
      <c r="I45" s="15" t="str">
        <f aca="false">IF(ISNUMBER(H45),IF(G45&lt;8,H45,""),"")</f>
        <v/>
      </c>
    </row>
    <row r="46" customFormat="false" ht="15" hidden="false" customHeight="false" outlineLevel="0" collapsed="false">
      <c r="A46" s="12" t="n">
        <v>25.4</v>
      </c>
      <c r="B46" s="12" t="n">
        <v>12.01</v>
      </c>
      <c r="C46" s="13" t="n">
        <f aca="false">IF(AND(ISNUMBER(A46),ISNUMBER(A47),ISNUMBER(B46),ISNUMBER(B47)),(B47-B46)/(A47-A46),"")</f>
        <v>0.200000000000002</v>
      </c>
      <c r="D46" s="14" t="n">
        <f aca="false">IF(ISNUMBER(C46),(A46+A47)/2,"")</f>
        <v>25.5</v>
      </c>
      <c r="E46" s="13" t="n">
        <f aca="false">IF(AND(ISNUMBER(C46),ISNUMBER(C47)),(C47-C46)/(D47-D46),"")</f>
        <v>-0.750000000000003</v>
      </c>
      <c r="F46" s="13" t="n">
        <f aca="false">IF(ISNUMBER(E46),(D46+D47)/2,"")</f>
        <v>25.6</v>
      </c>
      <c r="G46" s="14" t="n">
        <f aca="false">IF(ISNUMBER(C46),(B46+B47)/2,"")</f>
        <v>12.03</v>
      </c>
      <c r="H46" s="15" t="n">
        <f aca="false">IF(ISNUMBER(C46),IFERROR((Results!$C$6*(A47-A46)/1000/((Results!$C$5+D46)/1000))/(B47-B46),""),"")</f>
        <v>0.00990099009900981</v>
      </c>
      <c r="I46" s="15" t="str">
        <f aca="false">IF(ISNUMBER(H46),IF(G46&lt;8,H46,""),"")</f>
        <v/>
      </c>
    </row>
    <row r="47" customFormat="false" ht="15" hidden="false" customHeight="false" outlineLevel="0" collapsed="false">
      <c r="A47" s="12" t="n">
        <v>25.6</v>
      </c>
      <c r="B47" s="12" t="n">
        <v>12.05</v>
      </c>
      <c r="C47" s="13" t="n">
        <f aca="false">IF(AND(ISNUMBER(A47),ISNUMBER(A48),ISNUMBER(B47),ISNUMBER(B48)),(B48-B47)/(A48-A47),"")</f>
        <v>0.0499999999999991</v>
      </c>
      <c r="D47" s="14" t="n">
        <f aca="false">IF(ISNUMBER(C47),(A47+A48)/2,"")</f>
        <v>25.7</v>
      </c>
      <c r="E47" s="13" t="n">
        <f aca="false">IF(AND(ISNUMBER(C47),ISNUMBER(C48)),(C48-C47)/(D48-D47),"")</f>
        <v>0.500000000000002</v>
      </c>
      <c r="F47" s="13" t="n">
        <f aca="false">IF(ISNUMBER(E47),(D47+D48)/2,"")</f>
        <v>25.8</v>
      </c>
      <c r="G47" s="14" t="n">
        <f aca="false">IF(ISNUMBER(C47),(B47+B48)/2,"")</f>
        <v>12.055</v>
      </c>
      <c r="H47" s="15" t="n">
        <f aca="false">IF(ISNUMBER(C47),IFERROR((Results!$C$6*(A48-A47)/1000/((Results!$C$5+D47)/1000))/(B48-B47),""),"")</f>
        <v>0.0394477317554248</v>
      </c>
      <c r="I47" s="15" t="str">
        <f aca="false">IF(ISNUMBER(H47),IF(G47&lt;8,H47,""),"")</f>
        <v/>
      </c>
    </row>
    <row r="48" customFormat="false" ht="15" hidden="false" customHeight="false" outlineLevel="0" collapsed="false">
      <c r="A48" s="12" t="n">
        <v>25.8</v>
      </c>
      <c r="B48" s="12" t="n">
        <v>12.06</v>
      </c>
      <c r="C48" s="13" t="n">
        <f aca="false">IF(AND(ISNUMBER(A48),ISNUMBER(A49),ISNUMBER(B48),ISNUMBER(B49)),(B49-B48)/(A49-A48),"")</f>
        <v>0.149999999999997</v>
      </c>
      <c r="D48" s="14" t="n">
        <f aca="false">IF(ISNUMBER(C48),(A48+A49)/2,"")</f>
        <v>25.9</v>
      </c>
      <c r="E48" s="13" t="n">
        <f aca="false">IF(AND(ISNUMBER(C48),ISNUMBER(C49)),(C49-C48)/(D49-D48),"")</f>
        <v>-0.233333333333329</v>
      </c>
      <c r="F48" s="13" t="n">
        <f aca="false">IF(ISNUMBER(E48),(D48+D49)/2,"")</f>
        <v>26.2</v>
      </c>
      <c r="G48" s="14" t="n">
        <f aca="false">IF(ISNUMBER(C48),(B48+B49)/2,"")</f>
        <v>12.075</v>
      </c>
      <c r="H48" s="15" t="n">
        <f aca="false">IF(ISNUMBER(C48),IFERROR((Results!$C$6*(A49-A48)/1000/((Results!$C$5+D48)/1000))/(B49-B48),""),"")</f>
        <v>0.0130975769482648</v>
      </c>
      <c r="I48" s="15" t="str">
        <f aca="false">IF(ISNUMBER(H48),IF(G48&lt;8,H48,""),"")</f>
        <v/>
      </c>
    </row>
    <row r="49" customFormat="false" ht="15" hidden="false" customHeight="false" outlineLevel="0" collapsed="false">
      <c r="A49" s="12" t="n">
        <v>26</v>
      </c>
      <c r="B49" s="12" t="n">
        <v>12.09</v>
      </c>
      <c r="C49" s="13" t="n">
        <f aca="false">IF(AND(ISNUMBER(A49),ISNUMBER(A50),ISNUMBER(B49),ISNUMBER(B50)),(B50-B49)/(A50-A49),"")</f>
        <v>0.00999999999999979</v>
      </c>
      <c r="D49" s="14" t="n">
        <f aca="false">IF(ISNUMBER(C49),(A49+A50)/2,"")</f>
        <v>26.5</v>
      </c>
      <c r="E49" s="13" t="n">
        <f aca="false">IF(AND(ISNUMBER(C49),ISNUMBER(C50)),(C50-C49)/(D50-D49),"")</f>
        <v>0.0600000000000005</v>
      </c>
      <c r="F49" s="13" t="n">
        <f aca="false">IF(ISNUMBER(E49),(D49+D50)/2,"")</f>
        <v>27</v>
      </c>
      <c r="G49" s="14" t="n">
        <f aca="false">IF(ISNUMBER(C49),(B49+B50)/2,"")</f>
        <v>12.095</v>
      </c>
      <c r="H49" s="15" t="n">
        <f aca="false">IF(ISNUMBER(C49),IFERROR((Results!$C$6*(A50-A49)/1000/((Results!$C$5+D49)/1000))/(B50-B49),""),"")</f>
        <v>0.194174757281558</v>
      </c>
      <c r="I49" s="15" t="str">
        <f aca="false">IF(ISNUMBER(H49),IF(G49&lt;8,H49,""),"")</f>
        <v/>
      </c>
    </row>
    <row r="50" customFormat="false" ht="15" hidden="false" customHeight="false" outlineLevel="0" collapsed="false">
      <c r="A50" s="12" t="n">
        <v>27</v>
      </c>
      <c r="B50" s="12" t="n">
        <v>12.1</v>
      </c>
      <c r="C50" s="13" t="n">
        <f aca="false">IF(AND(ISNUMBER(A50),ISNUMBER(A51),ISNUMBER(B50),ISNUMBER(B51)),(B51-B50)/(A51-A50),"")</f>
        <v>0.0700000000000003</v>
      </c>
      <c r="D50" s="14" t="n">
        <f aca="false">IF(ISNUMBER(C50),(A50+A51)/2,"")</f>
        <v>27.5</v>
      </c>
      <c r="E50" s="13" t="n">
        <f aca="false">IF(AND(ISNUMBER(C50),ISNUMBER(C51)),(C51-C50)/(D51-D50),"")</f>
        <v>-0.0299999999999994</v>
      </c>
      <c r="F50" s="13" t="n">
        <f aca="false">IF(ISNUMBER(E50),(D50+D51)/2,"")</f>
        <v>28</v>
      </c>
      <c r="G50" s="14" t="n">
        <f aca="false">IF(ISNUMBER(C50),(B50+B51)/2,"")</f>
        <v>12.135</v>
      </c>
      <c r="H50" s="15" t="n">
        <f aca="false">IF(ISNUMBER(C50),IFERROR((Results!$C$6*(A51-A50)/1000/((Results!$C$5+D50)/1000))/(B51-B50),""),"")</f>
        <v>0.0272108843537414</v>
      </c>
      <c r="I50" s="15" t="str">
        <f aca="false">IF(ISNUMBER(H50),IF(G50&lt;8,H50,""),"")</f>
        <v/>
      </c>
    </row>
    <row r="51" customFormat="false" ht="15" hidden="false" customHeight="false" outlineLevel="0" collapsed="false">
      <c r="A51" s="12" t="n">
        <v>28</v>
      </c>
      <c r="B51" s="12" t="n">
        <v>12.17</v>
      </c>
      <c r="C51" s="13" t="n">
        <f aca="false">IF(AND(ISNUMBER(A51),ISNUMBER(A52),ISNUMBER(B51),ISNUMBER(B52)),(B52-B51)/(A52-A51),"")</f>
        <v>0.0400000000000009</v>
      </c>
      <c r="D51" s="14" t="n">
        <f aca="false">IF(ISNUMBER(C51),(A51+A52)/2,"")</f>
        <v>28.5</v>
      </c>
      <c r="E51" s="13" t="n">
        <f aca="false">IF(AND(ISNUMBER(C51),ISNUMBER(C52)),(C52-C51)/(D52-D51),"")</f>
        <v>-0.0300000000000011</v>
      </c>
      <c r="F51" s="13" t="n">
        <f aca="false">IF(ISNUMBER(E51),(D51+D52)/2,"")</f>
        <v>29</v>
      </c>
      <c r="G51" s="14" t="n">
        <f aca="false">IF(ISNUMBER(C51),(B51+B52)/2,"")</f>
        <v>12.19</v>
      </c>
      <c r="H51" s="15" t="n">
        <f aca="false">IF(ISNUMBER(C51),IFERROR((Results!$C$6*(A52-A51)/1000/((Results!$C$5+D51)/1000))/(B52-B51),""),"")</f>
        <v>0.0467289719626157</v>
      </c>
      <c r="I51" s="15" t="str">
        <f aca="false">IF(ISNUMBER(H51),IF(G51&lt;8,H51,""),"")</f>
        <v/>
      </c>
    </row>
    <row r="52" customFormat="false" ht="15" hidden="false" customHeight="false" outlineLevel="0" collapsed="false">
      <c r="A52" s="12" t="n">
        <v>29</v>
      </c>
      <c r="B52" s="12" t="n">
        <v>12.21</v>
      </c>
      <c r="C52" s="13" t="n">
        <f aca="false">IF(AND(ISNUMBER(A52),ISNUMBER(A53),ISNUMBER(B52),ISNUMBER(B53)),(B53-B52)/(A53-A52),"")</f>
        <v>0.00999999999999979</v>
      </c>
      <c r="D52" s="14" t="n">
        <f aca="false">IF(ISNUMBER(C52),(A52+A53)/2,"")</f>
        <v>29.5</v>
      </c>
      <c r="E52" s="13" t="n">
        <f aca="false">IF(AND(ISNUMBER(C52),ISNUMBER(C53)),(C53-C52)/(D53-D52),"")</f>
        <v>0.0700000000000003</v>
      </c>
      <c r="F52" s="13" t="n">
        <f aca="false">IF(ISNUMBER(E52),(D52+D53)/2,"")</f>
        <v>30</v>
      </c>
      <c r="G52" s="14" t="n">
        <f aca="false">IF(ISNUMBER(C52),(B52+B53)/2,"")</f>
        <v>12.215</v>
      </c>
      <c r="H52" s="15" t="n">
        <f aca="false">IF(ISNUMBER(C52),IFERROR((Results!$C$6*(A53-A52)/1000/((Results!$C$5+D52)/1000))/(B53-B52),""),"")</f>
        <v>0.183486238532114</v>
      </c>
      <c r="I52" s="15" t="str">
        <f aca="false">IF(ISNUMBER(H52),IF(G52&lt;8,H52,""),"")</f>
        <v/>
      </c>
    </row>
    <row r="53" customFormat="false" ht="15" hidden="false" customHeight="false" outlineLevel="0" collapsed="false">
      <c r="A53" s="12" t="n">
        <v>30</v>
      </c>
      <c r="B53" s="12" t="n">
        <v>12.22</v>
      </c>
      <c r="C53" s="13" t="n">
        <f aca="false">IF(AND(ISNUMBER(A53),ISNUMBER(A54),ISNUMBER(B53),ISNUMBER(B54)),(B54-B53)/(A54-A53),"")</f>
        <v>0.0800000000000001</v>
      </c>
      <c r="D53" s="14" t="n">
        <f aca="false">IF(ISNUMBER(C53),(A53+A54)/2,"")</f>
        <v>30.5</v>
      </c>
      <c r="E53" s="13" t="n">
        <f aca="false">IF(AND(ISNUMBER(C53),ISNUMBER(C54)),(C54-C53)/(D54-D53),"")</f>
        <v>-0.0500000000000007</v>
      </c>
      <c r="F53" s="13" t="n">
        <f aca="false">IF(ISNUMBER(E53),(D53+D54)/2,"")</f>
        <v>31</v>
      </c>
      <c r="G53" s="14" t="n">
        <f aca="false">IF(ISNUMBER(C53),(B53+B54)/2,"")</f>
        <v>12.26</v>
      </c>
      <c r="H53" s="15" t="n">
        <f aca="false">IF(ISNUMBER(C53),IFERROR((Results!$C$6*(A54-A53)/1000/((Results!$C$5+D53)/1000))/(B54-B53),""),"")</f>
        <v>0.0225225225225225</v>
      </c>
      <c r="I53" s="15" t="str">
        <f aca="false">IF(ISNUMBER(H53),IF(G53&lt;8,H53,""),"")</f>
        <v/>
      </c>
    </row>
    <row r="54" customFormat="false" ht="15" hidden="false" customHeight="false" outlineLevel="0" collapsed="false">
      <c r="A54" s="12" t="n">
        <v>31</v>
      </c>
      <c r="B54" s="12" t="n">
        <v>12.3</v>
      </c>
      <c r="C54" s="13" t="n">
        <f aca="false">IF(AND(ISNUMBER(A54),ISNUMBER(A55),ISNUMBER(B54),ISNUMBER(B55)),(B55-B54)/(A55-A54),"")</f>
        <v>0.0299999999999994</v>
      </c>
      <c r="D54" s="14" t="n">
        <f aca="false">IF(ISNUMBER(C54),(A54+A55)/2,"")</f>
        <v>31.5</v>
      </c>
      <c r="E54" s="13" t="str">
        <f aca="false">IF(AND(ISNUMBER(C54),ISNUMBER(C55)),(C55-C54)/(D55-D54),"")</f>
        <v/>
      </c>
      <c r="F54" s="13" t="str">
        <f aca="false">IF(ISNUMBER(E54),(D54+D55)/2,"")</f>
        <v/>
      </c>
      <c r="G54" s="14" t="n">
        <f aca="false">IF(ISNUMBER(C54),(B54+B55)/2,"")</f>
        <v>12.315</v>
      </c>
      <c r="H54" s="15" t="n">
        <f aca="false">IF(ISNUMBER(C54),IFERROR((Results!$C$6*(A55-A54)/1000/((Results!$C$5+D54)/1000))/(B55-B54),""),"")</f>
        <v>0.0589970501474939</v>
      </c>
      <c r="I54" s="15" t="str">
        <f aca="false">IF(ISNUMBER(H54),IF(G54&lt;8,H54,""),"")</f>
        <v/>
      </c>
    </row>
    <row r="55" customFormat="false" ht="15" hidden="false" customHeight="false" outlineLevel="0" collapsed="false">
      <c r="A55" s="12" t="n">
        <v>32</v>
      </c>
      <c r="B55" s="12" t="n">
        <v>12.33</v>
      </c>
      <c r="C55" s="13" t="str">
        <f aca="false">IF(AND(ISNUMBER(A55),ISNUMBER(A56),ISNUMBER(B55),ISNUMBER(B56)),(B56-B55)/(A56-A55),"")</f>
        <v/>
      </c>
      <c r="D55" s="14" t="str">
        <f aca="false">IF(ISNUMBER(C55),(A55+A56)/2,"")</f>
        <v/>
      </c>
      <c r="E55" s="13" t="str">
        <f aca="false">IF(AND(ISNUMBER(C55),ISNUMBER(C56)),(C56-C55)/(D56-D55),"")</f>
        <v/>
      </c>
      <c r="F55" s="13" t="str">
        <f aca="false">IF(ISNUMBER(E55),(D55+D56)/2,"")</f>
        <v/>
      </c>
      <c r="G55" s="14" t="str">
        <f aca="false">IF(ISNUMBER(C55),(B55+B56)/2,"")</f>
        <v/>
      </c>
      <c r="H55" s="15" t="str">
        <f aca="false">IF(ISNUMBER(C55),IFERROR((Results!$C$6*(A56-A55)/1000/((Results!$C$5+D55)/1000))/(B56-B55),""),"")</f>
        <v/>
      </c>
      <c r="I55" s="15" t="str">
        <f aca="false">IF(ISNUMBER(H55),IF(G55&lt;8,H55,""),"")</f>
        <v/>
      </c>
    </row>
    <row r="56" customFormat="false" ht="15" hidden="false" customHeight="false" outlineLevel="0" collapsed="false">
      <c r="A56" s="12"/>
      <c r="B56" s="12"/>
      <c r="C56" s="13" t="str">
        <f aca="false">IF(AND(ISNUMBER(A56),ISNUMBER(A57),ISNUMBER(B56),ISNUMBER(B57)),(B57-B56)/(A57-A56),"")</f>
        <v/>
      </c>
      <c r="D56" s="14" t="str">
        <f aca="false">IF(ISNUMBER(C56),(A56+A57)/2,"")</f>
        <v/>
      </c>
      <c r="E56" s="13" t="str">
        <f aca="false">IF(AND(ISNUMBER(C56),ISNUMBER(C57)),(C57-C56)/(D57-D56),"")</f>
        <v/>
      </c>
      <c r="F56" s="13" t="str">
        <f aca="false">IF(ISNUMBER(E56),(D56+D57)/2,"")</f>
        <v/>
      </c>
      <c r="G56" s="14" t="str">
        <f aca="false">IF(ISNUMBER(C56),(B56+B57)/2,"")</f>
        <v/>
      </c>
      <c r="H56" s="15" t="str">
        <f aca="false">IF(ISNUMBER(C56),IFERROR((Results!$C$6*(A57-A56)/1000/((Results!$C$5+D56)/1000))/(B57-B56),""),"")</f>
        <v/>
      </c>
      <c r="I56" s="15" t="str">
        <f aca="false">IF(ISNUMBER(H56),IF(G56&lt;8,H56,""),"")</f>
        <v/>
      </c>
    </row>
    <row r="57" customFormat="false" ht="15" hidden="false" customHeight="false" outlineLevel="0" collapsed="false">
      <c r="A57" s="12"/>
      <c r="B57" s="12"/>
      <c r="C57" s="13" t="str">
        <f aca="false">IF(AND(ISNUMBER(A57),ISNUMBER(A58),ISNUMBER(B57),ISNUMBER(B58)),(B58-B57)/(A58-A57),"")</f>
        <v/>
      </c>
      <c r="D57" s="14" t="str">
        <f aca="false">IF(ISNUMBER(C57),(A57+A58)/2,"")</f>
        <v/>
      </c>
      <c r="E57" s="13" t="str">
        <f aca="false">IF(AND(ISNUMBER(C57),ISNUMBER(C58)),(C58-C57)/(D58-D57),"")</f>
        <v/>
      </c>
      <c r="F57" s="13" t="str">
        <f aca="false">IF(ISNUMBER(E57),(D57+D58)/2,"")</f>
        <v/>
      </c>
      <c r="G57" s="14" t="str">
        <f aca="false">IF(ISNUMBER(C57),(B57+B58)/2,"")</f>
        <v/>
      </c>
      <c r="H57" s="15" t="str">
        <f aca="false">IF(ISNUMBER(C57),IFERROR((Results!$C$6*(A58-A57)/1000/((Results!$C$5+D57)/1000))/(B58-B57),""),"")</f>
        <v/>
      </c>
      <c r="I57" s="15" t="str">
        <f aca="false">IF(ISNUMBER(H57),IF(G57&lt;8,H57,""),"")</f>
        <v/>
      </c>
    </row>
    <row r="58" customFormat="false" ht="15" hidden="false" customHeight="false" outlineLevel="0" collapsed="false">
      <c r="A58" s="12"/>
      <c r="B58" s="12"/>
      <c r="C58" s="13" t="str">
        <f aca="false">IF(AND(ISNUMBER(A58),ISNUMBER(A59),ISNUMBER(B58),ISNUMBER(B59)),(B59-B58)/(A59-A58),"")</f>
        <v/>
      </c>
      <c r="D58" s="14" t="str">
        <f aca="false">IF(ISNUMBER(C58),(A58+A59)/2,"")</f>
        <v/>
      </c>
      <c r="E58" s="13" t="str">
        <f aca="false">IF(AND(ISNUMBER(C58),ISNUMBER(C59)),(C59-C58)/(D59-D58),"")</f>
        <v/>
      </c>
      <c r="F58" s="13" t="str">
        <f aca="false">IF(ISNUMBER(E58),(D58+D59)/2,"")</f>
        <v/>
      </c>
      <c r="G58" s="14" t="str">
        <f aca="false">IF(ISNUMBER(C58),(B58+B59)/2,"")</f>
        <v/>
      </c>
      <c r="H58" s="15" t="str">
        <f aca="false">IF(ISNUMBER(C58),IFERROR((Results!$C$6*(A59-A58)/1000/((Results!$C$5+D58)/1000))/(B59-B58),""),"")</f>
        <v/>
      </c>
      <c r="I58" s="15" t="str">
        <f aca="false">IF(ISNUMBER(H58),IF(G58&lt;8,H58,""),"")</f>
        <v/>
      </c>
    </row>
    <row r="59" customFormat="false" ht="15" hidden="false" customHeight="false" outlineLevel="0" collapsed="false">
      <c r="A59" s="12"/>
      <c r="B59" s="12"/>
      <c r="C59" s="13" t="str">
        <f aca="false">IF(AND(ISNUMBER(A59),ISNUMBER(A60),ISNUMBER(B59),ISNUMBER(B60)),(B60-B59)/(A60-A59),"")</f>
        <v/>
      </c>
      <c r="D59" s="14" t="str">
        <f aca="false">IF(ISNUMBER(C59),(A59+A60)/2,"")</f>
        <v/>
      </c>
      <c r="E59" s="13" t="str">
        <f aca="false">IF(AND(ISNUMBER(C59),ISNUMBER(C60)),(C60-C59)/(D60-D59),"")</f>
        <v/>
      </c>
      <c r="F59" s="13" t="str">
        <f aca="false">IF(ISNUMBER(E59),(D59+D60)/2,"")</f>
        <v/>
      </c>
      <c r="G59" s="14" t="str">
        <f aca="false">IF(ISNUMBER(C59),(B59+B60)/2,"")</f>
        <v/>
      </c>
      <c r="H59" s="15" t="str">
        <f aca="false">IF(ISNUMBER(C59),IFERROR((Results!$C$6*(A60-A59)/1000/((Results!$C$5+D59)/1000))/(B60-B59),""),"")</f>
        <v/>
      </c>
      <c r="I59" s="15" t="str">
        <f aca="false">IF(ISNUMBER(H59),IF(G59&lt;8,H59,""),"")</f>
        <v/>
      </c>
    </row>
    <row r="60" customFormat="false" ht="15" hidden="false" customHeight="false" outlineLevel="0" collapsed="false">
      <c r="A60" s="12"/>
      <c r="B60" s="12"/>
      <c r="C60" s="13" t="str">
        <f aca="false">IF(AND(ISNUMBER(A60),ISNUMBER(A61),ISNUMBER(B60),ISNUMBER(B61)),(B61-B60)/(A61-A60),"")</f>
        <v/>
      </c>
      <c r="D60" s="14" t="str">
        <f aca="false">IF(ISNUMBER(C60),(A60+A61)/2,"")</f>
        <v/>
      </c>
      <c r="E60" s="13" t="str">
        <f aca="false">IF(AND(ISNUMBER(C60),ISNUMBER(C61)),(C61-C60)/(D61-D60),"")</f>
        <v/>
      </c>
      <c r="F60" s="13" t="str">
        <f aca="false">IF(ISNUMBER(E60),(D60+D61)/2,"")</f>
        <v/>
      </c>
      <c r="G60" s="14" t="str">
        <f aca="false">IF(ISNUMBER(C60),(B60+B61)/2,"")</f>
        <v/>
      </c>
      <c r="H60" s="15" t="str">
        <f aca="false">IF(ISNUMBER(C60),IFERROR((Results!$C$6*(A61-A60)/1000/((Results!$C$5+D60)/1000))/(B61-B60),""),"")</f>
        <v/>
      </c>
      <c r="I60" s="15" t="str">
        <f aca="false">IF(ISNUMBER(H60),IF(G60&lt;8,H60,""),"")</f>
        <v/>
      </c>
    </row>
    <row r="61" customFormat="false" ht="15" hidden="false" customHeight="false" outlineLevel="0" collapsed="false">
      <c r="A61" s="12"/>
      <c r="B61" s="12"/>
      <c r="C61" s="13" t="str">
        <f aca="false">IF(AND(ISNUMBER(A61),ISNUMBER(A62),ISNUMBER(B61),ISNUMBER(B62)),(B62-B61)/(A62-A61),"")</f>
        <v/>
      </c>
      <c r="D61" s="14" t="str">
        <f aca="false">IF(ISNUMBER(C61),(A61+A62)/2,"")</f>
        <v/>
      </c>
      <c r="E61" s="13" t="str">
        <f aca="false">IF(AND(ISNUMBER(C61),ISNUMBER(C62)),(C62-C61)/(D62-D61),"")</f>
        <v/>
      </c>
      <c r="F61" s="13" t="str">
        <f aca="false">IF(ISNUMBER(E61),(D61+D62)/2,"")</f>
        <v/>
      </c>
      <c r="G61" s="14" t="str">
        <f aca="false">IF(ISNUMBER(C61),(B61+B62)/2,"")</f>
        <v/>
      </c>
      <c r="H61" s="15" t="str">
        <f aca="false">IF(ISNUMBER(C61),IFERROR((Results!$C$6*(A62-A61)/1000/((Results!$C$5+D61)/1000))/(B62-B61),""),"")</f>
        <v/>
      </c>
      <c r="I61" s="15" t="str">
        <f aca="false">IF(ISNUMBER(H61),IF(G61&lt;8,H61,""),"")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6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6" t="s">
        <v>30</v>
      </c>
      <c r="C5" s="12" t="n">
        <v>25</v>
      </c>
      <c r="D5" s="8"/>
    </row>
    <row r="6" customFormat="false" ht="15" hidden="false" customHeight="false" outlineLevel="0" collapsed="false">
      <c r="B6" s="16" t="s">
        <v>31</v>
      </c>
      <c r="C6" s="12" t="n">
        <v>0.1</v>
      </c>
      <c r="D6" s="8"/>
    </row>
    <row r="8" customFormat="false" ht="15" hidden="false" customHeight="false" outlineLevel="0" collapsed="false">
      <c r="B8" s="9" t="s">
        <v>32</v>
      </c>
    </row>
    <row r="9" customFormat="false" ht="15" hidden="false" customHeight="false" outlineLevel="0" collapsed="false">
      <c r="B9" s="16" t="s">
        <v>33</v>
      </c>
      <c r="C9" s="17" t="n">
        <f aca="false">IFERROR(MATCH(MAX('Enter data'!$C$7:$C$61),'Enter data'!$C$7:$C$61,0),"")</f>
        <v>25</v>
      </c>
    </row>
    <row r="10" customFormat="false" ht="15" hidden="false" customHeight="false" outlineLevel="0" collapsed="false">
      <c r="B10" s="16" t="s">
        <v>34</v>
      </c>
      <c r="C10" s="18" t="n">
        <f aca="false">IFERROR(INDEX('Enter data'!$D$7:$D$61,$C$9),"")</f>
        <v>20.25</v>
      </c>
    </row>
    <row r="11" customFormat="false" ht="15" hidden="false" customHeight="false" outlineLevel="0" collapsed="false">
      <c r="B11" s="16" t="s">
        <v>35</v>
      </c>
      <c r="C11" s="18" t="n">
        <f aca="false">IFERROR(INDEX('Enter data'!$F$7:$F$61,$C$9-1)-INDEX('Enter data'!$E$7:$E$61,$C$9-1)*(INDEX('Enter data'!$F$7:$F$61,$C$9)-INDEX('Enter data'!$F$7:$F$61,$C$9-1))/(INDEX('Enter data'!$E$7:$E$61,$C$9)-INDEX('Enter data'!$E$7:$E$61,$C$9-1)),"")</f>
        <v>20.004854368932</v>
      </c>
    </row>
    <row r="12" customFormat="false" ht="15" hidden="false" customHeight="false" outlineLevel="0" collapsed="false">
      <c r="B12" s="16" t="s">
        <v>36</v>
      </c>
      <c r="C12" s="19" t="n">
        <f aca="false">IFERROR(Results!$C$6*$C$11/Results!$C$5,"")</f>
        <v>0.0800194174757282</v>
      </c>
    </row>
    <row r="14" customFormat="false" ht="15" hidden="false" customHeight="false" outlineLevel="0" collapsed="false">
      <c r="B14" s="9" t="s">
        <v>37</v>
      </c>
    </row>
    <row r="15" customFormat="false" ht="15" hidden="false" customHeight="false" outlineLevel="0" collapsed="false">
      <c r="B15" s="16" t="s">
        <v>38</v>
      </c>
      <c r="C15" s="18" t="n">
        <f aca="false">IFERROR($C$11/2,"")</f>
        <v>10.002427184466</v>
      </c>
    </row>
    <row r="16" customFormat="false" ht="15" hidden="false" customHeight="false" outlineLevel="0" collapsed="false">
      <c r="B16" s="16" t="s">
        <v>39</v>
      </c>
      <c r="C16" s="17" t="n">
        <f aca="false">IFERROR(MATCH($C$15,'Enter data'!$A$7:$A$61,1),"")</f>
        <v>11</v>
      </c>
    </row>
    <row r="17" customFormat="false" ht="15" hidden="false" customHeight="false" outlineLevel="0" collapsed="false">
      <c r="B17" s="16" t="s">
        <v>40</v>
      </c>
      <c r="C17" s="18" t="n">
        <f aca="false">IFERROR(INDEX('Enter data'!$B$7:$B$61,$C$16)+($C$15-INDEX('Enter data'!$A$7:$A$61,$C$16))*(INDEX('Enter data'!$B$7:$B$61,$C$16+1)-INDEX('Enter data'!$B$7:$B$61,$C$16))/(INDEX('Enter data'!$A$7:$A$61,$C$16+1)-INDEX('Enter data'!$A$7:$A$61,$C$16)),"")</f>
        <v>4.79014563106796</v>
      </c>
    </row>
    <row r="19" customFormat="false" ht="15" hidden="false" customHeight="false" outlineLevel="0" collapsed="false">
      <c r="B19" s="9" t="s">
        <v>41</v>
      </c>
    </row>
    <row r="20" customFormat="false" ht="15" hidden="false" customHeight="false" outlineLevel="0" collapsed="false">
      <c r="B20" s="16" t="s">
        <v>42</v>
      </c>
      <c r="C20" s="19" t="n">
        <f aca="false">IFERROR(MAX('Enter data'!$I$7:$I$61),"")</f>
        <v>0.0746268656716417</v>
      </c>
    </row>
    <row r="21" customFormat="false" ht="15" hidden="false" customHeight="false" outlineLevel="0" collapsed="false">
      <c r="B21" s="16" t="s">
        <v>43</v>
      </c>
      <c r="C21" s="18" t="n">
        <f aca="false">IFERROR(INDEX('Enter data'!$G$7:$G$61,MATCH($C$20,'Enter data'!$I$7:$I$61,0)),"")</f>
        <v>4.62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2026-10-01T00:30:13Z</dcterms:modified>
  <cp:revision>1</cp:revision>
  <dc:subject/>
  <dc:title>BCH-01 Titration of a weak acid: equivalence point, pKa, buffer capacity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